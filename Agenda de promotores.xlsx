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tavi\Downloads\"/>
    </mc:Choice>
  </mc:AlternateContent>
  <xr:revisionPtr revIDLastSave="0" documentId="13_ncr:1_{638D4A16-C67C-4E5F-ADFB-77CEB45AB08A}" xr6:coauthVersionLast="47" xr6:coauthVersionMax="47" xr10:uidLastSave="{00000000-0000-0000-0000-000000000000}"/>
  <bookViews>
    <workbookView xWindow="-108" yWindow="-108" windowWidth="23256" windowHeight="12456" tabRatio="782" firstSheet="4" activeTab="10" xr2:uid="{00000000-000D-0000-FFFF-FFFF00000000}"/>
  </bookViews>
  <sheets>
    <sheet name="FAROL" sheetId="10" r:id="rId1"/>
    <sheet name="BASE DE CLIENTES" sheetId="12" r:id="rId2"/>
    <sheet name="JOSENILTON SOUZA" sheetId="3" r:id="rId3"/>
    <sheet name="EVA LUNAS" sheetId="1" r:id="rId4"/>
    <sheet name="CLEIVISON PEREIRA" sheetId="2" r:id="rId5"/>
    <sheet name="DANILO MENDONÇA" sheetId="4" r:id="rId6"/>
    <sheet name="CLAUDINEI FERREIRA" sheetId="5" r:id="rId7"/>
    <sheet name="GABRIEL SANTOS NEVES" sheetId="6" r:id="rId8"/>
    <sheet name="HIRLAN ALVES" sheetId="7" r:id="rId9"/>
    <sheet name="JOÃO VITOR FERREIRA" sheetId="8" r:id="rId10"/>
    <sheet name="PAULO RICARDO" sheetId="9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0" i="9" l="1"/>
  <c r="S100" i="9"/>
  <c r="O100" i="9"/>
  <c r="K100" i="9"/>
  <c r="G100" i="9"/>
  <c r="C100" i="9"/>
  <c r="W99" i="9"/>
  <c r="S99" i="9"/>
  <c r="O99" i="9"/>
  <c r="K99" i="9"/>
  <c r="G99" i="9"/>
  <c r="C99" i="9"/>
  <c r="W98" i="9"/>
  <c r="S98" i="9"/>
  <c r="O98" i="9"/>
  <c r="K98" i="9"/>
  <c r="G98" i="9"/>
  <c r="C98" i="9"/>
  <c r="W97" i="9"/>
  <c r="S97" i="9"/>
  <c r="O97" i="9"/>
  <c r="K97" i="9"/>
  <c r="G97" i="9"/>
  <c r="C97" i="9"/>
  <c r="W96" i="9"/>
  <c r="S96" i="9"/>
  <c r="O96" i="9"/>
  <c r="K96" i="9"/>
  <c r="G96" i="9"/>
  <c r="C96" i="9"/>
  <c r="W95" i="9"/>
  <c r="S95" i="9"/>
  <c r="O95" i="9"/>
  <c r="K95" i="9"/>
  <c r="G95" i="9"/>
  <c r="C95" i="9"/>
  <c r="W94" i="9"/>
  <c r="S94" i="9"/>
  <c r="O94" i="9"/>
  <c r="K94" i="9"/>
  <c r="G94" i="9"/>
  <c r="C94" i="9"/>
  <c r="W93" i="9"/>
  <c r="S93" i="9"/>
  <c r="O93" i="9"/>
  <c r="K93" i="9"/>
  <c r="G93" i="9"/>
  <c r="C93" i="9"/>
  <c r="W92" i="9"/>
  <c r="S92" i="9"/>
  <c r="O92" i="9"/>
  <c r="K92" i="9"/>
  <c r="G92" i="9"/>
  <c r="C92" i="9"/>
  <c r="W91" i="9"/>
  <c r="S91" i="9"/>
  <c r="O91" i="9"/>
  <c r="K91" i="9"/>
  <c r="G91" i="9"/>
  <c r="C91" i="9"/>
  <c r="W90" i="9"/>
  <c r="S90" i="9"/>
  <c r="O90" i="9"/>
  <c r="K90" i="9"/>
  <c r="G90" i="9"/>
  <c r="C90" i="9"/>
  <c r="W89" i="9"/>
  <c r="S89" i="9"/>
  <c r="O89" i="9"/>
  <c r="K89" i="9"/>
  <c r="G89" i="9"/>
  <c r="C89" i="9"/>
  <c r="W88" i="9"/>
  <c r="S88" i="9"/>
  <c r="O88" i="9"/>
  <c r="K88" i="9"/>
  <c r="G88" i="9"/>
  <c r="C88" i="9"/>
  <c r="W87" i="9"/>
  <c r="S87" i="9"/>
  <c r="O87" i="9"/>
  <c r="K87" i="9"/>
  <c r="G87" i="9"/>
  <c r="C87" i="9"/>
  <c r="W86" i="9"/>
  <c r="S86" i="9"/>
  <c r="O86" i="9"/>
  <c r="K86" i="9"/>
  <c r="G86" i="9"/>
  <c r="C86" i="9"/>
  <c r="W85" i="9"/>
  <c r="S85" i="9"/>
  <c r="O85" i="9"/>
  <c r="K85" i="9"/>
  <c r="G85" i="9"/>
  <c r="C85" i="9"/>
  <c r="W84" i="9"/>
  <c r="S84" i="9"/>
  <c r="O84" i="9"/>
  <c r="K84" i="9"/>
  <c r="G84" i="9"/>
  <c r="C84" i="9"/>
  <c r="W83" i="9"/>
  <c r="S83" i="9"/>
  <c r="O83" i="9"/>
  <c r="K83" i="9"/>
  <c r="G83" i="9"/>
  <c r="C83" i="9"/>
  <c r="W82" i="9"/>
  <c r="S82" i="9"/>
  <c r="O82" i="9"/>
  <c r="K82" i="9"/>
  <c r="G82" i="9"/>
  <c r="C82" i="9"/>
  <c r="W81" i="9"/>
  <c r="S81" i="9"/>
  <c r="O81" i="9"/>
  <c r="K81" i="9"/>
  <c r="G81" i="9"/>
  <c r="C81" i="9"/>
  <c r="W80" i="9"/>
  <c r="S80" i="9"/>
  <c r="O80" i="9"/>
  <c r="K80" i="9"/>
  <c r="G80" i="9"/>
  <c r="C80" i="9"/>
  <c r="W79" i="9"/>
  <c r="S79" i="9"/>
  <c r="O79" i="9"/>
  <c r="K79" i="9"/>
  <c r="G79" i="9"/>
  <c r="C79" i="9"/>
  <c r="W78" i="9"/>
  <c r="S78" i="9"/>
  <c r="O78" i="9"/>
  <c r="K78" i="9"/>
  <c r="G78" i="9"/>
  <c r="C78" i="9"/>
  <c r="W77" i="9"/>
  <c r="S77" i="9"/>
  <c r="O77" i="9"/>
  <c r="K77" i="9"/>
  <c r="G77" i="9"/>
  <c r="C77" i="9"/>
  <c r="W76" i="9"/>
  <c r="S76" i="9"/>
  <c r="O76" i="9"/>
  <c r="K76" i="9"/>
  <c r="G76" i="9"/>
  <c r="C76" i="9"/>
  <c r="W75" i="9"/>
  <c r="S75" i="9"/>
  <c r="O75" i="9"/>
  <c r="K75" i="9"/>
  <c r="G75" i="9"/>
  <c r="C75" i="9"/>
  <c r="W74" i="9"/>
  <c r="S74" i="9"/>
  <c r="O74" i="9"/>
  <c r="K74" i="9"/>
  <c r="G74" i="9"/>
  <c r="C74" i="9"/>
  <c r="W73" i="9"/>
  <c r="S73" i="9"/>
  <c r="O73" i="9"/>
  <c r="K73" i="9"/>
  <c r="G73" i="9"/>
  <c r="C73" i="9"/>
  <c r="W72" i="9"/>
  <c r="S72" i="9"/>
  <c r="O72" i="9"/>
  <c r="K72" i="9"/>
  <c r="G72" i="9"/>
  <c r="C72" i="9"/>
  <c r="W71" i="9"/>
  <c r="S71" i="9"/>
  <c r="O71" i="9"/>
  <c r="K71" i="9"/>
  <c r="G71" i="9"/>
  <c r="C71" i="9"/>
  <c r="W70" i="9"/>
  <c r="S70" i="9"/>
  <c r="O70" i="9"/>
  <c r="K70" i="9"/>
  <c r="G70" i="9"/>
  <c r="C70" i="9"/>
  <c r="W69" i="9"/>
  <c r="S69" i="9"/>
  <c r="O69" i="9"/>
  <c r="K69" i="9"/>
  <c r="G69" i="9"/>
  <c r="C69" i="9"/>
  <c r="W68" i="9"/>
  <c r="S68" i="9"/>
  <c r="O68" i="9"/>
  <c r="K68" i="9"/>
  <c r="G68" i="9"/>
  <c r="C68" i="9"/>
  <c r="W67" i="9"/>
  <c r="S67" i="9"/>
  <c r="O67" i="9"/>
  <c r="K67" i="9"/>
  <c r="G67" i="9"/>
  <c r="C67" i="9"/>
  <c r="W66" i="9"/>
  <c r="S66" i="9"/>
  <c r="O66" i="9"/>
  <c r="K66" i="9"/>
  <c r="G66" i="9"/>
  <c r="C66" i="9"/>
  <c r="W65" i="9"/>
  <c r="S65" i="9"/>
  <c r="O65" i="9"/>
  <c r="K65" i="9"/>
  <c r="G65" i="9"/>
  <c r="C65" i="9"/>
  <c r="W64" i="9"/>
  <c r="S64" i="9"/>
  <c r="O64" i="9"/>
  <c r="K64" i="9"/>
  <c r="G64" i="9"/>
  <c r="C64" i="9"/>
  <c r="W63" i="9"/>
  <c r="S63" i="9"/>
  <c r="O63" i="9"/>
  <c r="K63" i="9"/>
  <c r="G63" i="9"/>
  <c r="C63" i="9"/>
  <c r="W62" i="9"/>
  <c r="S62" i="9"/>
  <c r="O62" i="9"/>
  <c r="K62" i="9"/>
  <c r="G62" i="9"/>
  <c r="C62" i="9"/>
  <c r="W61" i="9"/>
  <c r="S61" i="9"/>
  <c r="O61" i="9"/>
  <c r="K61" i="9"/>
  <c r="G61" i="9"/>
  <c r="C61" i="9"/>
  <c r="W60" i="9"/>
  <c r="S60" i="9"/>
  <c r="O60" i="9"/>
  <c r="K60" i="9"/>
  <c r="G60" i="9"/>
  <c r="C60" i="9"/>
  <c r="W59" i="9"/>
  <c r="S59" i="9"/>
  <c r="O59" i="9"/>
  <c r="K59" i="9"/>
  <c r="G59" i="9"/>
  <c r="C59" i="9"/>
  <c r="W58" i="9"/>
  <c r="S58" i="9"/>
  <c r="O58" i="9"/>
  <c r="K58" i="9"/>
  <c r="G58" i="9"/>
  <c r="C58" i="9"/>
  <c r="W57" i="9"/>
  <c r="S57" i="9"/>
  <c r="O57" i="9"/>
  <c r="K57" i="9"/>
  <c r="G57" i="9"/>
  <c r="C57" i="9"/>
  <c r="W56" i="9"/>
  <c r="S56" i="9"/>
  <c r="O56" i="9"/>
  <c r="K56" i="9"/>
  <c r="G56" i="9"/>
  <c r="C56" i="9"/>
  <c r="W55" i="9"/>
  <c r="S55" i="9"/>
  <c r="O55" i="9"/>
  <c r="K55" i="9"/>
  <c r="G55" i="9"/>
  <c r="C55" i="9"/>
  <c r="W54" i="9"/>
  <c r="S54" i="9"/>
  <c r="O54" i="9"/>
  <c r="K54" i="9"/>
  <c r="G54" i="9"/>
  <c r="C54" i="9"/>
  <c r="W53" i="9"/>
  <c r="S53" i="9"/>
  <c r="O53" i="9"/>
  <c r="K53" i="9"/>
  <c r="G53" i="9"/>
  <c r="C53" i="9"/>
  <c r="W52" i="9"/>
  <c r="S52" i="9"/>
  <c r="O52" i="9"/>
  <c r="K52" i="9"/>
  <c r="G52" i="9"/>
  <c r="C52" i="9"/>
  <c r="W51" i="9"/>
  <c r="S51" i="9"/>
  <c r="O51" i="9"/>
  <c r="K51" i="9"/>
  <c r="G51" i="9"/>
  <c r="C51" i="9"/>
  <c r="W50" i="9"/>
  <c r="S50" i="9"/>
  <c r="O50" i="9"/>
  <c r="K50" i="9"/>
  <c r="G50" i="9"/>
  <c r="C50" i="9"/>
  <c r="W49" i="9"/>
  <c r="S49" i="9"/>
  <c r="O49" i="9"/>
  <c r="K49" i="9"/>
  <c r="G49" i="9"/>
  <c r="C49" i="9"/>
  <c r="W48" i="9"/>
  <c r="S48" i="9"/>
  <c r="O48" i="9"/>
  <c r="K48" i="9"/>
  <c r="G48" i="9"/>
  <c r="C48" i="9"/>
  <c r="W47" i="9"/>
  <c r="S47" i="9"/>
  <c r="O47" i="9"/>
  <c r="K47" i="9"/>
  <c r="G47" i="9"/>
  <c r="C47" i="9"/>
  <c r="W46" i="9"/>
  <c r="S46" i="9"/>
  <c r="O46" i="9"/>
  <c r="K46" i="9"/>
  <c r="G46" i="9"/>
  <c r="C46" i="9"/>
  <c r="W45" i="9"/>
  <c r="S45" i="9"/>
  <c r="O45" i="9"/>
  <c r="K45" i="9"/>
  <c r="G45" i="9"/>
  <c r="C45" i="9"/>
  <c r="W44" i="9"/>
  <c r="S44" i="9"/>
  <c r="O44" i="9"/>
  <c r="K44" i="9"/>
  <c r="G44" i="9"/>
  <c r="C44" i="9"/>
  <c r="W43" i="9"/>
  <c r="S43" i="9"/>
  <c r="O43" i="9"/>
  <c r="K43" i="9"/>
  <c r="G43" i="9"/>
  <c r="C43" i="9"/>
  <c r="W42" i="9"/>
  <c r="S42" i="9"/>
  <c r="O42" i="9"/>
  <c r="K42" i="9"/>
  <c r="G42" i="9"/>
  <c r="C42" i="9"/>
  <c r="W41" i="9"/>
  <c r="S41" i="9"/>
  <c r="O41" i="9"/>
  <c r="K41" i="9"/>
  <c r="G41" i="9"/>
  <c r="C41" i="9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W28" i="9"/>
  <c r="S28" i="9"/>
  <c r="O28" i="9"/>
  <c r="K28" i="9"/>
  <c r="G28" i="9"/>
  <c r="C28" i="9"/>
  <c r="W27" i="9"/>
  <c r="S27" i="9"/>
  <c r="O27" i="9"/>
  <c r="K27" i="9"/>
  <c r="G27" i="9"/>
  <c r="C27" i="9"/>
  <c r="W26" i="9"/>
  <c r="S26" i="9"/>
  <c r="O26" i="9"/>
  <c r="K26" i="9"/>
  <c r="G26" i="9"/>
  <c r="C26" i="9"/>
  <c r="W25" i="9"/>
  <c r="S25" i="9"/>
  <c r="O25" i="9"/>
  <c r="K25" i="9"/>
  <c r="G25" i="9"/>
  <c r="C25" i="9"/>
  <c r="W24" i="9"/>
  <c r="S24" i="9"/>
  <c r="O24" i="9"/>
  <c r="K24" i="9"/>
  <c r="G24" i="9"/>
  <c r="C24" i="9"/>
  <c r="W23" i="9"/>
  <c r="S23" i="9"/>
  <c r="O23" i="9"/>
  <c r="K23" i="9"/>
  <c r="G23" i="9"/>
  <c r="C23" i="9"/>
  <c r="W22" i="9"/>
  <c r="S22" i="9"/>
  <c r="O22" i="9"/>
  <c r="K22" i="9"/>
  <c r="G22" i="9"/>
  <c r="C22" i="9"/>
  <c r="W21" i="9"/>
  <c r="S21" i="9"/>
  <c r="O21" i="9"/>
  <c r="K21" i="9"/>
  <c r="G21" i="9"/>
  <c r="C21" i="9"/>
  <c r="W20" i="9"/>
  <c r="S20" i="9"/>
  <c r="O20" i="9"/>
  <c r="K20" i="9"/>
  <c r="G20" i="9"/>
  <c r="C20" i="9"/>
  <c r="W19" i="9"/>
  <c r="S19" i="9"/>
  <c r="O19" i="9"/>
  <c r="K19" i="9"/>
  <c r="G19" i="9"/>
  <c r="C19" i="9"/>
  <c r="W18" i="9"/>
  <c r="S18" i="9"/>
  <c r="O18" i="9"/>
  <c r="K18" i="9"/>
  <c r="G18" i="9"/>
  <c r="C18" i="9"/>
  <c r="W17" i="9"/>
  <c r="S17" i="9"/>
  <c r="O17" i="9"/>
  <c r="K17" i="9"/>
  <c r="G17" i="9"/>
  <c r="C17" i="9"/>
  <c r="W16" i="9"/>
  <c r="S16" i="9"/>
  <c r="O16" i="9"/>
  <c r="K16" i="9"/>
  <c r="G16" i="9"/>
  <c r="C16" i="9"/>
  <c r="W15" i="9"/>
  <c r="S15" i="9"/>
  <c r="O15" i="9"/>
  <c r="K15" i="9"/>
  <c r="G15" i="9"/>
  <c r="C15" i="9"/>
  <c r="W14" i="9"/>
  <c r="S14" i="9"/>
  <c r="O14" i="9"/>
  <c r="K14" i="9"/>
  <c r="G14" i="9"/>
  <c r="C14" i="9"/>
  <c r="W13" i="9"/>
  <c r="S13" i="9"/>
  <c r="O13" i="9"/>
  <c r="K13" i="9"/>
  <c r="G13" i="9"/>
  <c r="C13" i="9"/>
  <c r="W12" i="9"/>
  <c r="S12" i="9"/>
  <c r="O12" i="9"/>
  <c r="K12" i="9"/>
  <c r="G12" i="9"/>
  <c r="C12" i="9"/>
  <c r="W11" i="9"/>
  <c r="S11" i="9"/>
  <c r="O11" i="9"/>
  <c r="K11" i="9"/>
  <c r="G11" i="9"/>
  <c r="C11" i="9"/>
  <c r="W10" i="9"/>
  <c r="S10" i="9"/>
  <c r="O10" i="9"/>
  <c r="K10" i="9"/>
  <c r="G10" i="9"/>
  <c r="C10" i="9"/>
  <c r="W9" i="9"/>
  <c r="S9" i="9"/>
  <c r="O9" i="9"/>
  <c r="K9" i="9"/>
  <c r="G9" i="9"/>
  <c r="C9" i="9"/>
  <c r="W8" i="9"/>
  <c r="S8" i="9"/>
  <c r="O8" i="9"/>
  <c r="K8" i="9"/>
  <c r="G8" i="9"/>
  <c r="C8" i="9"/>
  <c r="W7" i="9"/>
  <c r="S7" i="9"/>
  <c r="O7" i="9"/>
  <c r="K7" i="9"/>
  <c r="G7" i="9"/>
  <c r="C7" i="9"/>
  <c r="W6" i="9"/>
  <c r="S6" i="9"/>
  <c r="O6" i="9"/>
  <c r="K6" i="9"/>
  <c r="G6" i="9"/>
  <c r="C6" i="9"/>
  <c r="W5" i="9"/>
  <c r="S5" i="9"/>
  <c r="O5" i="9"/>
  <c r="K5" i="9"/>
  <c r="G5" i="9"/>
  <c r="C5" i="9"/>
  <c r="W4" i="9"/>
  <c r="S4" i="9"/>
  <c r="O4" i="9"/>
  <c r="K4" i="9"/>
  <c r="G4" i="9"/>
  <c r="C4" i="9"/>
  <c r="W100" i="8"/>
  <c r="S100" i="8"/>
  <c r="O100" i="8"/>
  <c r="K100" i="8"/>
  <c r="G100" i="8"/>
  <c r="C100" i="8"/>
  <c r="W99" i="8"/>
  <c r="S99" i="8"/>
  <c r="O99" i="8"/>
  <c r="K99" i="8"/>
  <c r="G99" i="8"/>
  <c r="C99" i="8"/>
  <c r="W98" i="8"/>
  <c r="S98" i="8"/>
  <c r="O98" i="8"/>
  <c r="K98" i="8"/>
  <c r="G98" i="8"/>
  <c r="C98" i="8"/>
  <c r="W97" i="8"/>
  <c r="S97" i="8"/>
  <c r="O97" i="8"/>
  <c r="K97" i="8"/>
  <c r="G97" i="8"/>
  <c r="C97" i="8"/>
  <c r="W96" i="8"/>
  <c r="S96" i="8"/>
  <c r="O96" i="8"/>
  <c r="K96" i="8"/>
  <c r="G96" i="8"/>
  <c r="C96" i="8"/>
  <c r="W95" i="8"/>
  <c r="S95" i="8"/>
  <c r="O95" i="8"/>
  <c r="K95" i="8"/>
  <c r="G95" i="8"/>
  <c r="C95" i="8"/>
  <c r="W94" i="8"/>
  <c r="S94" i="8"/>
  <c r="O94" i="8"/>
  <c r="K94" i="8"/>
  <c r="G94" i="8"/>
  <c r="C94" i="8"/>
  <c r="W93" i="8"/>
  <c r="S93" i="8"/>
  <c r="O93" i="8"/>
  <c r="K93" i="8"/>
  <c r="G93" i="8"/>
  <c r="C93" i="8"/>
  <c r="W92" i="8"/>
  <c r="S92" i="8"/>
  <c r="O92" i="8"/>
  <c r="K92" i="8"/>
  <c r="G92" i="8"/>
  <c r="C92" i="8"/>
  <c r="W91" i="8"/>
  <c r="S91" i="8"/>
  <c r="O91" i="8"/>
  <c r="K91" i="8"/>
  <c r="G91" i="8"/>
  <c r="C91" i="8"/>
  <c r="W90" i="8"/>
  <c r="S90" i="8"/>
  <c r="O90" i="8"/>
  <c r="K90" i="8"/>
  <c r="G90" i="8"/>
  <c r="C90" i="8"/>
  <c r="W89" i="8"/>
  <c r="S89" i="8"/>
  <c r="O89" i="8"/>
  <c r="K89" i="8"/>
  <c r="G89" i="8"/>
  <c r="C89" i="8"/>
  <c r="W88" i="8"/>
  <c r="S88" i="8"/>
  <c r="O88" i="8"/>
  <c r="K88" i="8"/>
  <c r="G88" i="8"/>
  <c r="C88" i="8"/>
  <c r="W87" i="8"/>
  <c r="S87" i="8"/>
  <c r="O87" i="8"/>
  <c r="K87" i="8"/>
  <c r="G87" i="8"/>
  <c r="C87" i="8"/>
  <c r="W86" i="8"/>
  <c r="S86" i="8"/>
  <c r="O86" i="8"/>
  <c r="K86" i="8"/>
  <c r="G86" i="8"/>
  <c r="C86" i="8"/>
  <c r="W85" i="8"/>
  <c r="S85" i="8"/>
  <c r="O85" i="8"/>
  <c r="K85" i="8"/>
  <c r="G85" i="8"/>
  <c r="C85" i="8"/>
  <c r="W84" i="8"/>
  <c r="S84" i="8"/>
  <c r="O84" i="8"/>
  <c r="K84" i="8"/>
  <c r="G84" i="8"/>
  <c r="C84" i="8"/>
  <c r="W83" i="8"/>
  <c r="S83" i="8"/>
  <c r="O83" i="8"/>
  <c r="K83" i="8"/>
  <c r="G83" i="8"/>
  <c r="C83" i="8"/>
  <c r="W82" i="8"/>
  <c r="S82" i="8"/>
  <c r="O82" i="8"/>
  <c r="K82" i="8"/>
  <c r="G82" i="8"/>
  <c r="C82" i="8"/>
  <c r="W81" i="8"/>
  <c r="S81" i="8"/>
  <c r="O81" i="8"/>
  <c r="K81" i="8"/>
  <c r="G81" i="8"/>
  <c r="C81" i="8"/>
  <c r="W80" i="8"/>
  <c r="S80" i="8"/>
  <c r="O80" i="8"/>
  <c r="K80" i="8"/>
  <c r="G80" i="8"/>
  <c r="C80" i="8"/>
  <c r="W79" i="8"/>
  <c r="S79" i="8"/>
  <c r="O79" i="8"/>
  <c r="K79" i="8"/>
  <c r="G79" i="8"/>
  <c r="C79" i="8"/>
  <c r="W78" i="8"/>
  <c r="S78" i="8"/>
  <c r="O78" i="8"/>
  <c r="K78" i="8"/>
  <c r="G78" i="8"/>
  <c r="C78" i="8"/>
  <c r="W77" i="8"/>
  <c r="S77" i="8"/>
  <c r="O77" i="8"/>
  <c r="K77" i="8"/>
  <c r="G77" i="8"/>
  <c r="C77" i="8"/>
  <c r="W76" i="8"/>
  <c r="S76" i="8"/>
  <c r="O76" i="8"/>
  <c r="K76" i="8"/>
  <c r="G76" i="8"/>
  <c r="C76" i="8"/>
  <c r="W75" i="8"/>
  <c r="S75" i="8"/>
  <c r="O75" i="8"/>
  <c r="K75" i="8"/>
  <c r="G75" i="8"/>
  <c r="C75" i="8"/>
  <c r="W74" i="8"/>
  <c r="S74" i="8"/>
  <c r="O74" i="8"/>
  <c r="K74" i="8"/>
  <c r="G74" i="8"/>
  <c r="C74" i="8"/>
  <c r="W73" i="8"/>
  <c r="S73" i="8"/>
  <c r="O73" i="8"/>
  <c r="K73" i="8"/>
  <c r="G73" i="8"/>
  <c r="C73" i="8"/>
  <c r="W72" i="8"/>
  <c r="S72" i="8"/>
  <c r="O72" i="8"/>
  <c r="K72" i="8"/>
  <c r="G72" i="8"/>
  <c r="C72" i="8"/>
  <c r="W71" i="8"/>
  <c r="S71" i="8"/>
  <c r="O71" i="8"/>
  <c r="K71" i="8"/>
  <c r="G71" i="8"/>
  <c r="C71" i="8"/>
  <c r="W70" i="8"/>
  <c r="S70" i="8"/>
  <c r="O70" i="8"/>
  <c r="K70" i="8"/>
  <c r="G70" i="8"/>
  <c r="C70" i="8"/>
  <c r="W69" i="8"/>
  <c r="S69" i="8"/>
  <c r="O69" i="8"/>
  <c r="K69" i="8"/>
  <c r="G69" i="8"/>
  <c r="C69" i="8"/>
  <c r="W68" i="8"/>
  <c r="S68" i="8"/>
  <c r="O68" i="8"/>
  <c r="K68" i="8"/>
  <c r="G68" i="8"/>
  <c r="C68" i="8"/>
  <c r="W67" i="8"/>
  <c r="S67" i="8"/>
  <c r="O67" i="8"/>
  <c r="K67" i="8"/>
  <c r="G67" i="8"/>
  <c r="C67" i="8"/>
  <c r="W66" i="8"/>
  <c r="S66" i="8"/>
  <c r="O66" i="8"/>
  <c r="K66" i="8"/>
  <c r="G66" i="8"/>
  <c r="C66" i="8"/>
  <c r="W65" i="8"/>
  <c r="S65" i="8"/>
  <c r="O65" i="8"/>
  <c r="K65" i="8"/>
  <c r="G65" i="8"/>
  <c r="C65" i="8"/>
  <c r="W64" i="8"/>
  <c r="S64" i="8"/>
  <c r="O64" i="8"/>
  <c r="K64" i="8"/>
  <c r="G64" i="8"/>
  <c r="C64" i="8"/>
  <c r="W63" i="8"/>
  <c r="S63" i="8"/>
  <c r="O63" i="8"/>
  <c r="K63" i="8"/>
  <c r="G63" i="8"/>
  <c r="C63" i="8"/>
  <c r="W62" i="8"/>
  <c r="S62" i="8"/>
  <c r="O62" i="8"/>
  <c r="K62" i="8"/>
  <c r="G62" i="8"/>
  <c r="C62" i="8"/>
  <c r="W61" i="8"/>
  <c r="S61" i="8"/>
  <c r="O61" i="8"/>
  <c r="K61" i="8"/>
  <c r="G61" i="8"/>
  <c r="C61" i="8"/>
  <c r="W60" i="8"/>
  <c r="S60" i="8"/>
  <c r="O60" i="8"/>
  <c r="K60" i="8"/>
  <c r="G60" i="8"/>
  <c r="C60" i="8"/>
  <c r="W59" i="8"/>
  <c r="S59" i="8"/>
  <c r="O59" i="8"/>
  <c r="K59" i="8"/>
  <c r="G59" i="8"/>
  <c r="C59" i="8"/>
  <c r="W58" i="8"/>
  <c r="S58" i="8"/>
  <c r="O58" i="8"/>
  <c r="K58" i="8"/>
  <c r="G58" i="8"/>
  <c r="C58" i="8"/>
  <c r="W57" i="8"/>
  <c r="S57" i="8"/>
  <c r="O57" i="8"/>
  <c r="K57" i="8"/>
  <c r="G57" i="8"/>
  <c r="C57" i="8"/>
  <c r="W56" i="8"/>
  <c r="S56" i="8"/>
  <c r="O56" i="8"/>
  <c r="K56" i="8"/>
  <c r="G56" i="8"/>
  <c r="C56" i="8"/>
  <c r="W55" i="8"/>
  <c r="S55" i="8"/>
  <c r="O55" i="8"/>
  <c r="K55" i="8"/>
  <c r="G55" i="8"/>
  <c r="C55" i="8"/>
  <c r="W54" i="8"/>
  <c r="S54" i="8"/>
  <c r="O54" i="8"/>
  <c r="K54" i="8"/>
  <c r="G54" i="8"/>
  <c r="C54" i="8"/>
  <c r="W53" i="8"/>
  <c r="S53" i="8"/>
  <c r="O53" i="8"/>
  <c r="K53" i="8"/>
  <c r="G53" i="8"/>
  <c r="C53" i="8"/>
  <c r="W52" i="8"/>
  <c r="S52" i="8"/>
  <c r="O52" i="8"/>
  <c r="K52" i="8"/>
  <c r="G52" i="8"/>
  <c r="C52" i="8"/>
  <c r="W51" i="8"/>
  <c r="S51" i="8"/>
  <c r="O51" i="8"/>
  <c r="K51" i="8"/>
  <c r="G51" i="8"/>
  <c r="C51" i="8"/>
  <c r="W50" i="8"/>
  <c r="S50" i="8"/>
  <c r="O50" i="8"/>
  <c r="K50" i="8"/>
  <c r="G50" i="8"/>
  <c r="C50" i="8"/>
  <c r="W49" i="8"/>
  <c r="S49" i="8"/>
  <c r="O49" i="8"/>
  <c r="K49" i="8"/>
  <c r="G49" i="8"/>
  <c r="C49" i="8"/>
  <c r="W48" i="8"/>
  <c r="S48" i="8"/>
  <c r="O48" i="8"/>
  <c r="K48" i="8"/>
  <c r="G48" i="8"/>
  <c r="C48" i="8"/>
  <c r="W47" i="8"/>
  <c r="S47" i="8"/>
  <c r="O47" i="8"/>
  <c r="K47" i="8"/>
  <c r="G47" i="8"/>
  <c r="C47" i="8"/>
  <c r="W46" i="8"/>
  <c r="S46" i="8"/>
  <c r="O46" i="8"/>
  <c r="K46" i="8"/>
  <c r="G46" i="8"/>
  <c r="C46" i="8"/>
  <c r="W45" i="8"/>
  <c r="S45" i="8"/>
  <c r="O45" i="8"/>
  <c r="K45" i="8"/>
  <c r="G45" i="8"/>
  <c r="C45" i="8"/>
  <c r="W44" i="8"/>
  <c r="S44" i="8"/>
  <c r="O44" i="8"/>
  <c r="K44" i="8"/>
  <c r="G44" i="8"/>
  <c r="C44" i="8"/>
  <c r="W43" i="8"/>
  <c r="S43" i="8"/>
  <c r="O43" i="8"/>
  <c r="K43" i="8"/>
  <c r="G43" i="8"/>
  <c r="C43" i="8"/>
  <c r="W42" i="8"/>
  <c r="S42" i="8"/>
  <c r="O42" i="8"/>
  <c r="K42" i="8"/>
  <c r="G42" i="8"/>
  <c r="C42" i="8"/>
  <c r="W41" i="8"/>
  <c r="S41" i="8"/>
  <c r="O41" i="8"/>
  <c r="K41" i="8"/>
  <c r="G41" i="8"/>
  <c r="C41" i="8"/>
  <c r="W40" i="8"/>
  <c r="S40" i="8"/>
  <c r="O40" i="8"/>
  <c r="K40" i="8"/>
  <c r="G40" i="8"/>
  <c r="C40" i="8"/>
  <c r="W39" i="8"/>
  <c r="S39" i="8"/>
  <c r="O39" i="8"/>
  <c r="K39" i="8"/>
  <c r="G39" i="8"/>
  <c r="C39" i="8"/>
  <c r="W38" i="8"/>
  <c r="S38" i="8"/>
  <c r="O38" i="8"/>
  <c r="K38" i="8"/>
  <c r="G38" i="8"/>
  <c r="C38" i="8"/>
  <c r="W37" i="8"/>
  <c r="S37" i="8"/>
  <c r="O37" i="8"/>
  <c r="K37" i="8"/>
  <c r="G37" i="8"/>
  <c r="C37" i="8"/>
  <c r="W36" i="8"/>
  <c r="S36" i="8"/>
  <c r="O36" i="8"/>
  <c r="K36" i="8"/>
  <c r="G36" i="8"/>
  <c r="C36" i="8"/>
  <c r="W35" i="8"/>
  <c r="S35" i="8"/>
  <c r="O35" i="8"/>
  <c r="K35" i="8"/>
  <c r="G35" i="8"/>
  <c r="C35" i="8"/>
  <c r="W34" i="8"/>
  <c r="S34" i="8"/>
  <c r="O34" i="8"/>
  <c r="K34" i="8"/>
  <c r="G34" i="8"/>
  <c r="C34" i="8"/>
  <c r="W33" i="8"/>
  <c r="S33" i="8"/>
  <c r="O33" i="8"/>
  <c r="K33" i="8"/>
  <c r="G33" i="8"/>
  <c r="C33" i="8"/>
  <c r="W32" i="8"/>
  <c r="S32" i="8"/>
  <c r="O32" i="8"/>
  <c r="K32" i="8"/>
  <c r="G32" i="8"/>
  <c r="C32" i="8"/>
  <c r="W31" i="8"/>
  <c r="S31" i="8"/>
  <c r="O31" i="8"/>
  <c r="K31" i="8"/>
  <c r="G31" i="8"/>
  <c r="C31" i="8"/>
  <c r="W30" i="8"/>
  <c r="S30" i="8"/>
  <c r="O30" i="8"/>
  <c r="K30" i="8"/>
  <c r="G30" i="8"/>
  <c r="C30" i="8"/>
  <c r="W29" i="8"/>
  <c r="S29" i="8"/>
  <c r="O29" i="8"/>
  <c r="K29" i="8"/>
  <c r="G29" i="8"/>
  <c r="C29" i="8"/>
  <c r="W28" i="8"/>
  <c r="S28" i="8"/>
  <c r="O28" i="8"/>
  <c r="K28" i="8"/>
  <c r="G28" i="8"/>
  <c r="C28" i="8"/>
  <c r="W27" i="8"/>
  <c r="S27" i="8"/>
  <c r="O27" i="8"/>
  <c r="K27" i="8"/>
  <c r="G27" i="8"/>
  <c r="C27" i="8"/>
  <c r="W26" i="8"/>
  <c r="S26" i="8"/>
  <c r="O26" i="8"/>
  <c r="K26" i="8"/>
  <c r="G26" i="8"/>
  <c r="C26" i="8"/>
  <c r="W25" i="8"/>
  <c r="S25" i="8"/>
  <c r="O25" i="8"/>
  <c r="K25" i="8"/>
  <c r="G25" i="8"/>
  <c r="C25" i="8"/>
  <c r="W24" i="8"/>
  <c r="S24" i="8"/>
  <c r="O24" i="8"/>
  <c r="K24" i="8"/>
  <c r="G24" i="8"/>
  <c r="C24" i="8"/>
  <c r="W23" i="8"/>
  <c r="S23" i="8"/>
  <c r="O23" i="8"/>
  <c r="K23" i="8"/>
  <c r="G23" i="8"/>
  <c r="C23" i="8"/>
  <c r="W22" i="8"/>
  <c r="S22" i="8"/>
  <c r="O22" i="8"/>
  <c r="K22" i="8"/>
  <c r="G22" i="8"/>
  <c r="C22" i="8"/>
  <c r="W21" i="8"/>
  <c r="S21" i="8"/>
  <c r="O21" i="8"/>
  <c r="K21" i="8"/>
  <c r="G21" i="8"/>
  <c r="C21" i="8"/>
  <c r="W20" i="8"/>
  <c r="S20" i="8"/>
  <c r="O20" i="8"/>
  <c r="K20" i="8"/>
  <c r="G20" i="8"/>
  <c r="C20" i="8"/>
  <c r="W19" i="8"/>
  <c r="S19" i="8"/>
  <c r="O19" i="8"/>
  <c r="K19" i="8"/>
  <c r="G19" i="8"/>
  <c r="C19" i="8"/>
  <c r="W18" i="8"/>
  <c r="S18" i="8"/>
  <c r="O18" i="8"/>
  <c r="K18" i="8"/>
  <c r="G18" i="8"/>
  <c r="C18" i="8"/>
  <c r="W17" i="8"/>
  <c r="S17" i="8"/>
  <c r="O17" i="8"/>
  <c r="K17" i="8"/>
  <c r="G17" i="8"/>
  <c r="C17" i="8"/>
  <c r="W16" i="8"/>
  <c r="S16" i="8"/>
  <c r="O16" i="8"/>
  <c r="K16" i="8"/>
  <c r="G16" i="8"/>
  <c r="C16" i="8"/>
  <c r="W15" i="8"/>
  <c r="S15" i="8"/>
  <c r="O15" i="8"/>
  <c r="K15" i="8"/>
  <c r="G15" i="8"/>
  <c r="C15" i="8"/>
  <c r="W14" i="8"/>
  <c r="S14" i="8"/>
  <c r="O14" i="8"/>
  <c r="K14" i="8"/>
  <c r="G14" i="8"/>
  <c r="C14" i="8"/>
  <c r="W13" i="8"/>
  <c r="S13" i="8"/>
  <c r="O13" i="8"/>
  <c r="K13" i="8"/>
  <c r="G13" i="8"/>
  <c r="C13" i="8"/>
  <c r="W12" i="8"/>
  <c r="S12" i="8"/>
  <c r="O12" i="8"/>
  <c r="K12" i="8"/>
  <c r="G12" i="8"/>
  <c r="C12" i="8"/>
  <c r="W11" i="8"/>
  <c r="S11" i="8"/>
  <c r="O11" i="8"/>
  <c r="K11" i="8"/>
  <c r="G11" i="8"/>
  <c r="C11" i="8"/>
  <c r="W10" i="8"/>
  <c r="S10" i="8"/>
  <c r="O10" i="8"/>
  <c r="K10" i="8"/>
  <c r="G10" i="8"/>
  <c r="C10" i="8"/>
  <c r="W9" i="8"/>
  <c r="S9" i="8"/>
  <c r="O9" i="8"/>
  <c r="K9" i="8"/>
  <c r="G9" i="8"/>
  <c r="C9" i="8"/>
  <c r="W8" i="8"/>
  <c r="S8" i="8"/>
  <c r="O8" i="8"/>
  <c r="K8" i="8"/>
  <c r="G8" i="8"/>
  <c r="C8" i="8"/>
  <c r="W7" i="8"/>
  <c r="S7" i="8"/>
  <c r="O7" i="8"/>
  <c r="K7" i="8"/>
  <c r="G7" i="8"/>
  <c r="C7" i="8"/>
  <c r="W6" i="8"/>
  <c r="S6" i="8"/>
  <c r="O6" i="8"/>
  <c r="K6" i="8"/>
  <c r="G6" i="8"/>
  <c r="C6" i="8"/>
  <c r="W5" i="8"/>
  <c r="S5" i="8"/>
  <c r="O5" i="8"/>
  <c r="K5" i="8"/>
  <c r="G5" i="8"/>
  <c r="C5" i="8"/>
  <c r="W4" i="8"/>
  <c r="S4" i="8"/>
  <c r="O4" i="8"/>
  <c r="K4" i="8"/>
  <c r="G4" i="8"/>
  <c r="C4" i="8"/>
  <c r="W100" i="7"/>
  <c r="S100" i="7"/>
  <c r="O100" i="7"/>
  <c r="K100" i="7"/>
  <c r="G100" i="7"/>
  <c r="C100" i="7"/>
  <c r="W99" i="7"/>
  <c r="S99" i="7"/>
  <c r="O99" i="7"/>
  <c r="K99" i="7"/>
  <c r="G99" i="7"/>
  <c r="C99" i="7"/>
  <c r="W98" i="7"/>
  <c r="S98" i="7"/>
  <c r="O98" i="7"/>
  <c r="K98" i="7"/>
  <c r="G98" i="7"/>
  <c r="C98" i="7"/>
  <c r="W97" i="7"/>
  <c r="S97" i="7"/>
  <c r="O97" i="7"/>
  <c r="K97" i="7"/>
  <c r="G97" i="7"/>
  <c r="C97" i="7"/>
  <c r="W96" i="7"/>
  <c r="S96" i="7"/>
  <c r="O96" i="7"/>
  <c r="K96" i="7"/>
  <c r="G96" i="7"/>
  <c r="C96" i="7"/>
  <c r="W95" i="7"/>
  <c r="S95" i="7"/>
  <c r="O95" i="7"/>
  <c r="K95" i="7"/>
  <c r="G95" i="7"/>
  <c r="C95" i="7"/>
  <c r="W94" i="7"/>
  <c r="S94" i="7"/>
  <c r="O94" i="7"/>
  <c r="K94" i="7"/>
  <c r="G94" i="7"/>
  <c r="C94" i="7"/>
  <c r="W93" i="7"/>
  <c r="S93" i="7"/>
  <c r="O93" i="7"/>
  <c r="K93" i="7"/>
  <c r="G93" i="7"/>
  <c r="C93" i="7"/>
  <c r="W92" i="7"/>
  <c r="S92" i="7"/>
  <c r="O92" i="7"/>
  <c r="K92" i="7"/>
  <c r="G92" i="7"/>
  <c r="C92" i="7"/>
  <c r="W91" i="7"/>
  <c r="S91" i="7"/>
  <c r="O91" i="7"/>
  <c r="K91" i="7"/>
  <c r="G91" i="7"/>
  <c r="C91" i="7"/>
  <c r="W90" i="7"/>
  <c r="S90" i="7"/>
  <c r="O90" i="7"/>
  <c r="K90" i="7"/>
  <c r="G90" i="7"/>
  <c r="C90" i="7"/>
  <c r="W89" i="7"/>
  <c r="S89" i="7"/>
  <c r="O89" i="7"/>
  <c r="K89" i="7"/>
  <c r="G89" i="7"/>
  <c r="C89" i="7"/>
  <c r="W88" i="7"/>
  <c r="S88" i="7"/>
  <c r="O88" i="7"/>
  <c r="K88" i="7"/>
  <c r="G88" i="7"/>
  <c r="C88" i="7"/>
  <c r="W87" i="7"/>
  <c r="S87" i="7"/>
  <c r="O87" i="7"/>
  <c r="K87" i="7"/>
  <c r="G87" i="7"/>
  <c r="C87" i="7"/>
  <c r="W86" i="7"/>
  <c r="S86" i="7"/>
  <c r="O86" i="7"/>
  <c r="K86" i="7"/>
  <c r="G86" i="7"/>
  <c r="C86" i="7"/>
  <c r="W85" i="7"/>
  <c r="S85" i="7"/>
  <c r="O85" i="7"/>
  <c r="K85" i="7"/>
  <c r="G85" i="7"/>
  <c r="C85" i="7"/>
  <c r="W84" i="7"/>
  <c r="S84" i="7"/>
  <c r="O84" i="7"/>
  <c r="K84" i="7"/>
  <c r="G84" i="7"/>
  <c r="C84" i="7"/>
  <c r="W83" i="7"/>
  <c r="S83" i="7"/>
  <c r="O83" i="7"/>
  <c r="K83" i="7"/>
  <c r="G83" i="7"/>
  <c r="C83" i="7"/>
  <c r="W82" i="7"/>
  <c r="S82" i="7"/>
  <c r="O82" i="7"/>
  <c r="K82" i="7"/>
  <c r="G82" i="7"/>
  <c r="C82" i="7"/>
  <c r="W81" i="7"/>
  <c r="S81" i="7"/>
  <c r="O81" i="7"/>
  <c r="K81" i="7"/>
  <c r="G81" i="7"/>
  <c r="C81" i="7"/>
  <c r="W80" i="7"/>
  <c r="S80" i="7"/>
  <c r="O80" i="7"/>
  <c r="K80" i="7"/>
  <c r="G80" i="7"/>
  <c r="C80" i="7"/>
  <c r="W79" i="7"/>
  <c r="S79" i="7"/>
  <c r="O79" i="7"/>
  <c r="K79" i="7"/>
  <c r="G79" i="7"/>
  <c r="C79" i="7"/>
  <c r="W78" i="7"/>
  <c r="S78" i="7"/>
  <c r="O78" i="7"/>
  <c r="K78" i="7"/>
  <c r="G78" i="7"/>
  <c r="C78" i="7"/>
  <c r="W77" i="7"/>
  <c r="S77" i="7"/>
  <c r="O77" i="7"/>
  <c r="K77" i="7"/>
  <c r="G77" i="7"/>
  <c r="C77" i="7"/>
  <c r="W76" i="7"/>
  <c r="S76" i="7"/>
  <c r="O76" i="7"/>
  <c r="K76" i="7"/>
  <c r="G76" i="7"/>
  <c r="C76" i="7"/>
  <c r="W75" i="7"/>
  <c r="S75" i="7"/>
  <c r="O75" i="7"/>
  <c r="K75" i="7"/>
  <c r="G75" i="7"/>
  <c r="C75" i="7"/>
  <c r="W74" i="7"/>
  <c r="S74" i="7"/>
  <c r="O74" i="7"/>
  <c r="K74" i="7"/>
  <c r="G74" i="7"/>
  <c r="C74" i="7"/>
  <c r="W73" i="7"/>
  <c r="S73" i="7"/>
  <c r="O73" i="7"/>
  <c r="K73" i="7"/>
  <c r="G73" i="7"/>
  <c r="C73" i="7"/>
  <c r="W72" i="7"/>
  <c r="S72" i="7"/>
  <c r="O72" i="7"/>
  <c r="K72" i="7"/>
  <c r="G72" i="7"/>
  <c r="C72" i="7"/>
  <c r="W71" i="7"/>
  <c r="S71" i="7"/>
  <c r="O71" i="7"/>
  <c r="K71" i="7"/>
  <c r="G71" i="7"/>
  <c r="C71" i="7"/>
  <c r="W70" i="7"/>
  <c r="S70" i="7"/>
  <c r="O70" i="7"/>
  <c r="K70" i="7"/>
  <c r="G70" i="7"/>
  <c r="C70" i="7"/>
  <c r="W69" i="7"/>
  <c r="S69" i="7"/>
  <c r="O69" i="7"/>
  <c r="K69" i="7"/>
  <c r="G69" i="7"/>
  <c r="C69" i="7"/>
  <c r="W68" i="7"/>
  <c r="S68" i="7"/>
  <c r="O68" i="7"/>
  <c r="K68" i="7"/>
  <c r="G68" i="7"/>
  <c r="C68" i="7"/>
  <c r="W67" i="7"/>
  <c r="S67" i="7"/>
  <c r="O67" i="7"/>
  <c r="K67" i="7"/>
  <c r="G67" i="7"/>
  <c r="C67" i="7"/>
  <c r="W66" i="7"/>
  <c r="S66" i="7"/>
  <c r="O66" i="7"/>
  <c r="K66" i="7"/>
  <c r="G66" i="7"/>
  <c r="C66" i="7"/>
  <c r="W65" i="7"/>
  <c r="S65" i="7"/>
  <c r="O65" i="7"/>
  <c r="K65" i="7"/>
  <c r="G65" i="7"/>
  <c r="C65" i="7"/>
  <c r="W64" i="7"/>
  <c r="S64" i="7"/>
  <c r="O64" i="7"/>
  <c r="K64" i="7"/>
  <c r="G64" i="7"/>
  <c r="C64" i="7"/>
  <c r="W63" i="7"/>
  <c r="S63" i="7"/>
  <c r="O63" i="7"/>
  <c r="K63" i="7"/>
  <c r="G63" i="7"/>
  <c r="C63" i="7"/>
  <c r="W62" i="7"/>
  <c r="S62" i="7"/>
  <c r="O62" i="7"/>
  <c r="K62" i="7"/>
  <c r="G62" i="7"/>
  <c r="C62" i="7"/>
  <c r="W61" i="7"/>
  <c r="S61" i="7"/>
  <c r="O61" i="7"/>
  <c r="K61" i="7"/>
  <c r="G61" i="7"/>
  <c r="C61" i="7"/>
  <c r="W60" i="7"/>
  <c r="S60" i="7"/>
  <c r="O60" i="7"/>
  <c r="K60" i="7"/>
  <c r="G60" i="7"/>
  <c r="C60" i="7"/>
  <c r="W59" i="7"/>
  <c r="S59" i="7"/>
  <c r="O59" i="7"/>
  <c r="K59" i="7"/>
  <c r="G59" i="7"/>
  <c r="C59" i="7"/>
  <c r="W58" i="7"/>
  <c r="S58" i="7"/>
  <c r="O58" i="7"/>
  <c r="K58" i="7"/>
  <c r="G58" i="7"/>
  <c r="C58" i="7"/>
  <c r="W57" i="7"/>
  <c r="S57" i="7"/>
  <c r="O57" i="7"/>
  <c r="K57" i="7"/>
  <c r="G57" i="7"/>
  <c r="C57" i="7"/>
  <c r="W56" i="7"/>
  <c r="S56" i="7"/>
  <c r="O56" i="7"/>
  <c r="K56" i="7"/>
  <c r="G56" i="7"/>
  <c r="C56" i="7"/>
  <c r="W55" i="7"/>
  <c r="S55" i="7"/>
  <c r="O55" i="7"/>
  <c r="K55" i="7"/>
  <c r="G55" i="7"/>
  <c r="C55" i="7"/>
  <c r="W54" i="7"/>
  <c r="S54" i="7"/>
  <c r="O54" i="7"/>
  <c r="K54" i="7"/>
  <c r="G54" i="7"/>
  <c r="C54" i="7"/>
  <c r="W53" i="7"/>
  <c r="S53" i="7"/>
  <c r="O53" i="7"/>
  <c r="K53" i="7"/>
  <c r="G53" i="7"/>
  <c r="C53" i="7"/>
  <c r="W52" i="7"/>
  <c r="S52" i="7"/>
  <c r="O52" i="7"/>
  <c r="K52" i="7"/>
  <c r="G52" i="7"/>
  <c r="C52" i="7"/>
  <c r="W51" i="7"/>
  <c r="S51" i="7"/>
  <c r="O51" i="7"/>
  <c r="K51" i="7"/>
  <c r="G51" i="7"/>
  <c r="C51" i="7"/>
  <c r="W50" i="7"/>
  <c r="S50" i="7"/>
  <c r="O50" i="7"/>
  <c r="K50" i="7"/>
  <c r="G50" i="7"/>
  <c r="C50" i="7"/>
  <c r="W49" i="7"/>
  <c r="S49" i="7"/>
  <c r="O49" i="7"/>
  <c r="K49" i="7"/>
  <c r="G49" i="7"/>
  <c r="C49" i="7"/>
  <c r="W48" i="7"/>
  <c r="S48" i="7"/>
  <c r="O48" i="7"/>
  <c r="K48" i="7"/>
  <c r="G48" i="7"/>
  <c r="C48" i="7"/>
  <c r="W47" i="7"/>
  <c r="S47" i="7"/>
  <c r="O47" i="7"/>
  <c r="K47" i="7"/>
  <c r="G47" i="7"/>
  <c r="C47" i="7"/>
  <c r="W46" i="7"/>
  <c r="S46" i="7"/>
  <c r="O46" i="7"/>
  <c r="K46" i="7"/>
  <c r="G46" i="7"/>
  <c r="C46" i="7"/>
  <c r="W45" i="7"/>
  <c r="S45" i="7"/>
  <c r="O45" i="7"/>
  <c r="K45" i="7"/>
  <c r="G45" i="7"/>
  <c r="C45" i="7"/>
  <c r="W44" i="7"/>
  <c r="S44" i="7"/>
  <c r="O44" i="7"/>
  <c r="K44" i="7"/>
  <c r="G44" i="7"/>
  <c r="C44" i="7"/>
  <c r="W43" i="7"/>
  <c r="S43" i="7"/>
  <c r="O43" i="7"/>
  <c r="K43" i="7"/>
  <c r="G43" i="7"/>
  <c r="C43" i="7"/>
  <c r="W42" i="7"/>
  <c r="S42" i="7"/>
  <c r="O42" i="7"/>
  <c r="K42" i="7"/>
  <c r="G42" i="7"/>
  <c r="C42" i="7"/>
  <c r="W41" i="7"/>
  <c r="S41" i="7"/>
  <c r="O41" i="7"/>
  <c r="K41" i="7"/>
  <c r="G41" i="7"/>
  <c r="C41" i="7"/>
  <c r="W40" i="7"/>
  <c r="S40" i="7"/>
  <c r="O40" i="7"/>
  <c r="K40" i="7"/>
  <c r="G40" i="7"/>
  <c r="C40" i="7"/>
  <c r="W39" i="7"/>
  <c r="S39" i="7"/>
  <c r="O39" i="7"/>
  <c r="K39" i="7"/>
  <c r="G39" i="7"/>
  <c r="C39" i="7"/>
  <c r="W38" i="7"/>
  <c r="S38" i="7"/>
  <c r="O38" i="7"/>
  <c r="K38" i="7"/>
  <c r="G38" i="7"/>
  <c r="C38" i="7"/>
  <c r="W37" i="7"/>
  <c r="S37" i="7"/>
  <c r="O37" i="7"/>
  <c r="K37" i="7"/>
  <c r="G37" i="7"/>
  <c r="C37" i="7"/>
  <c r="W36" i="7"/>
  <c r="S36" i="7"/>
  <c r="O36" i="7"/>
  <c r="K36" i="7"/>
  <c r="G36" i="7"/>
  <c r="C36" i="7"/>
  <c r="W35" i="7"/>
  <c r="S35" i="7"/>
  <c r="O35" i="7"/>
  <c r="K35" i="7"/>
  <c r="G35" i="7"/>
  <c r="C35" i="7"/>
  <c r="W34" i="7"/>
  <c r="S34" i="7"/>
  <c r="O34" i="7"/>
  <c r="K34" i="7"/>
  <c r="G34" i="7"/>
  <c r="C34" i="7"/>
  <c r="W33" i="7"/>
  <c r="S33" i="7"/>
  <c r="O33" i="7"/>
  <c r="K33" i="7"/>
  <c r="G33" i="7"/>
  <c r="C33" i="7"/>
  <c r="W32" i="7"/>
  <c r="S32" i="7"/>
  <c r="O32" i="7"/>
  <c r="K32" i="7"/>
  <c r="G32" i="7"/>
  <c r="C32" i="7"/>
  <c r="W31" i="7"/>
  <c r="S31" i="7"/>
  <c r="O31" i="7"/>
  <c r="K31" i="7"/>
  <c r="G31" i="7"/>
  <c r="C31" i="7"/>
  <c r="W30" i="7"/>
  <c r="S30" i="7"/>
  <c r="O30" i="7"/>
  <c r="K30" i="7"/>
  <c r="G30" i="7"/>
  <c r="C30" i="7"/>
  <c r="W29" i="7"/>
  <c r="S29" i="7"/>
  <c r="O29" i="7"/>
  <c r="K29" i="7"/>
  <c r="G29" i="7"/>
  <c r="C29" i="7"/>
  <c r="W28" i="7"/>
  <c r="S28" i="7"/>
  <c r="O28" i="7"/>
  <c r="K28" i="7"/>
  <c r="G28" i="7"/>
  <c r="C28" i="7"/>
  <c r="W27" i="7"/>
  <c r="S27" i="7"/>
  <c r="O27" i="7"/>
  <c r="K27" i="7"/>
  <c r="G27" i="7"/>
  <c r="C27" i="7"/>
  <c r="W26" i="7"/>
  <c r="S26" i="7"/>
  <c r="O26" i="7"/>
  <c r="K26" i="7"/>
  <c r="G26" i="7"/>
  <c r="C26" i="7"/>
  <c r="W25" i="7"/>
  <c r="S25" i="7"/>
  <c r="O25" i="7"/>
  <c r="K25" i="7"/>
  <c r="G25" i="7"/>
  <c r="C25" i="7"/>
  <c r="W24" i="7"/>
  <c r="S24" i="7"/>
  <c r="O24" i="7"/>
  <c r="K24" i="7"/>
  <c r="G24" i="7"/>
  <c r="C24" i="7"/>
  <c r="W23" i="7"/>
  <c r="S23" i="7"/>
  <c r="O23" i="7"/>
  <c r="K23" i="7"/>
  <c r="G23" i="7"/>
  <c r="C23" i="7"/>
  <c r="W22" i="7"/>
  <c r="S22" i="7"/>
  <c r="O22" i="7"/>
  <c r="K22" i="7"/>
  <c r="G22" i="7"/>
  <c r="C22" i="7"/>
  <c r="W21" i="7"/>
  <c r="S21" i="7"/>
  <c r="O21" i="7"/>
  <c r="K21" i="7"/>
  <c r="G21" i="7"/>
  <c r="C21" i="7"/>
  <c r="W20" i="7"/>
  <c r="S20" i="7"/>
  <c r="O20" i="7"/>
  <c r="K20" i="7"/>
  <c r="G20" i="7"/>
  <c r="C20" i="7"/>
  <c r="W19" i="7"/>
  <c r="S19" i="7"/>
  <c r="O19" i="7"/>
  <c r="K19" i="7"/>
  <c r="G19" i="7"/>
  <c r="C19" i="7"/>
  <c r="W18" i="7"/>
  <c r="S18" i="7"/>
  <c r="O18" i="7"/>
  <c r="K18" i="7"/>
  <c r="G18" i="7"/>
  <c r="C18" i="7"/>
  <c r="W17" i="7"/>
  <c r="S17" i="7"/>
  <c r="O17" i="7"/>
  <c r="K17" i="7"/>
  <c r="G17" i="7"/>
  <c r="C17" i="7"/>
  <c r="W16" i="7"/>
  <c r="S16" i="7"/>
  <c r="O16" i="7"/>
  <c r="K16" i="7"/>
  <c r="G16" i="7"/>
  <c r="C16" i="7"/>
  <c r="W15" i="7"/>
  <c r="S15" i="7"/>
  <c r="O15" i="7"/>
  <c r="K15" i="7"/>
  <c r="G15" i="7"/>
  <c r="C15" i="7"/>
  <c r="W14" i="7"/>
  <c r="S14" i="7"/>
  <c r="O14" i="7"/>
  <c r="K14" i="7"/>
  <c r="G14" i="7"/>
  <c r="C14" i="7"/>
  <c r="W13" i="7"/>
  <c r="S13" i="7"/>
  <c r="O13" i="7"/>
  <c r="K13" i="7"/>
  <c r="G13" i="7"/>
  <c r="C13" i="7"/>
  <c r="W12" i="7"/>
  <c r="S12" i="7"/>
  <c r="O12" i="7"/>
  <c r="K12" i="7"/>
  <c r="G12" i="7"/>
  <c r="C12" i="7"/>
  <c r="W11" i="7"/>
  <c r="S11" i="7"/>
  <c r="O11" i="7"/>
  <c r="K11" i="7"/>
  <c r="G11" i="7"/>
  <c r="C11" i="7"/>
  <c r="W10" i="7"/>
  <c r="S10" i="7"/>
  <c r="O10" i="7"/>
  <c r="K10" i="7"/>
  <c r="G10" i="7"/>
  <c r="C10" i="7"/>
  <c r="W9" i="7"/>
  <c r="S9" i="7"/>
  <c r="O9" i="7"/>
  <c r="K9" i="7"/>
  <c r="G9" i="7"/>
  <c r="C9" i="7"/>
  <c r="W8" i="7"/>
  <c r="S8" i="7"/>
  <c r="O8" i="7"/>
  <c r="K8" i="7"/>
  <c r="G8" i="7"/>
  <c r="C8" i="7"/>
  <c r="W7" i="7"/>
  <c r="S7" i="7"/>
  <c r="O7" i="7"/>
  <c r="K7" i="7"/>
  <c r="G7" i="7"/>
  <c r="C7" i="7"/>
  <c r="W6" i="7"/>
  <c r="S6" i="7"/>
  <c r="O6" i="7"/>
  <c r="K6" i="7"/>
  <c r="G6" i="7"/>
  <c r="C6" i="7"/>
  <c r="W5" i="7"/>
  <c r="S5" i="7"/>
  <c r="O5" i="7"/>
  <c r="K5" i="7"/>
  <c r="G5" i="7"/>
  <c r="C5" i="7"/>
  <c r="W4" i="7"/>
  <c r="S4" i="7"/>
  <c r="O4" i="7"/>
  <c r="K4" i="7"/>
  <c r="G4" i="7"/>
  <c r="C4" i="7"/>
  <c r="W100" i="6"/>
  <c r="S100" i="6"/>
  <c r="O100" i="6"/>
  <c r="K100" i="6"/>
  <c r="G100" i="6"/>
  <c r="C100" i="6"/>
  <c r="W99" i="6"/>
  <c r="S99" i="6"/>
  <c r="O99" i="6"/>
  <c r="K99" i="6"/>
  <c r="G99" i="6"/>
  <c r="C99" i="6"/>
  <c r="W98" i="6"/>
  <c r="S98" i="6"/>
  <c r="O98" i="6"/>
  <c r="K98" i="6"/>
  <c r="G98" i="6"/>
  <c r="C98" i="6"/>
  <c r="W97" i="6"/>
  <c r="S97" i="6"/>
  <c r="O97" i="6"/>
  <c r="K97" i="6"/>
  <c r="G97" i="6"/>
  <c r="C97" i="6"/>
  <c r="W96" i="6"/>
  <c r="S96" i="6"/>
  <c r="O96" i="6"/>
  <c r="K96" i="6"/>
  <c r="G96" i="6"/>
  <c r="C96" i="6"/>
  <c r="W95" i="6"/>
  <c r="S95" i="6"/>
  <c r="O95" i="6"/>
  <c r="K95" i="6"/>
  <c r="G95" i="6"/>
  <c r="C95" i="6"/>
  <c r="W94" i="6"/>
  <c r="S94" i="6"/>
  <c r="O94" i="6"/>
  <c r="K94" i="6"/>
  <c r="G94" i="6"/>
  <c r="C94" i="6"/>
  <c r="W93" i="6"/>
  <c r="S93" i="6"/>
  <c r="O93" i="6"/>
  <c r="K93" i="6"/>
  <c r="G93" i="6"/>
  <c r="C93" i="6"/>
  <c r="W92" i="6"/>
  <c r="S92" i="6"/>
  <c r="O92" i="6"/>
  <c r="K92" i="6"/>
  <c r="G92" i="6"/>
  <c r="C92" i="6"/>
  <c r="W91" i="6"/>
  <c r="S91" i="6"/>
  <c r="O91" i="6"/>
  <c r="K91" i="6"/>
  <c r="G91" i="6"/>
  <c r="C91" i="6"/>
  <c r="W90" i="6"/>
  <c r="S90" i="6"/>
  <c r="O90" i="6"/>
  <c r="K90" i="6"/>
  <c r="G90" i="6"/>
  <c r="C90" i="6"/>
  <c r="W89" i="6"/>
  <c r="S89" i="6"/>
  <c r="O89" i="6"/>
  <c r="K89" i="6"/>
  <c r="G89" i="6"/>
  <c r="C89" i="6"/>
  <c r="W88" i="6"/>
  <c r="S88" i="6"/>
  <c r="O88" i="6"/>
  <c r="K88" i="6"/>
  <c r="G88" i="6"/>
  <c r="C88" i="6"/>
  <c r="W87" i="6"/>
  <c r="S87" i="6"/>
  <c r="O87" i="6"/>
  <c r="K87" i="6"/>
  <c r="G87" i="6"/>
  <c r="C87" i="6"/>
  <c r="W86" i="6"/>
  <c r="S86" i="6"/>
  <c r="O86" i="6"/>
  <c r="K86" i="6"/>
  <c r="G86" i="6"/>
  <c r="C86" i="6"/>
  <c r="W85" i="6"/>
  <c r="S85" i="6"/>
  <c r="O85" i="6"/>
  <c r="K85" i="6"/>
  <c r="G85" i="6"/>
  <c r="C85" i="6"/>
  <c r="W84" i="6"/>
  <c r="S84" i="6"/>
  <c r="O84" i="6"/>
  <c r="K84" i="6"/>
  <c r="G84" i="6"/>
  <c r="C84" i="6"/>
  <c r="W83" i="6"/>
  <c r="S83" i="6"/>
  <c r="O83" i="6"/>
  <c r="K83" i="6"/>
  <c r="G83" i="6"/>
  <c r="C83" i="6"/>
  <c r="W82" i="6"/>
  <c r="S82" i="6"/>
  <c r="O82" i="6"/>
  <c r="K82" i="6"/>
  <c r="G82" i="6"/>
  <c r="C82" i="6"/>
  <c r="W81" i="6"/>
  <c r="S81" i="6"/>
  <c r="O81" i="6"/>
  <c r="K81" i="6"/>
  <c r="G81" i="6"/>
  <c r="C81" i="6"/>
  <c r="W80" i="6"/>
  <c r="S80" i="6"/>
  <c r="O80" i="6"/>
  <c r="K80" i="6"/>
  <c r="G80" i="6"/>
  <c r="C80" i="6"/>
  <c r="W79" i="6"/>
  <c r="S79" i="6"/>
  <c r="O79" i="6"/>
  <c r="K79" i="6"/>
  <c r="G79" i="6"/>
  <c r="C79" i="6"/>
  <c r="W78" i="6"/>
  <c r="S78" i="6"/>
  <c r="O78" i="6"/>
  <c r="K78" i="6"/>
  <c r="G78" i="6"/>
  <c r="C78" i="6"/>
  <c r="W77" i="6"/>
  <c r="S77" i="6"/>
  <c r="O77" i="6"/>
  <c r="K77" i="6"/>
  <c r="G77" i="6"/>
  <c r="C77" i="6"/>
  <c r="W76" i="6"/>
  <c r="S76" i="6"/>
  <c r="O76" i="6"/>
  <c r="K76" i="6"/>
  <c r="G76" i="6"/>
  <c r="C76" i="6"/>
  <c r="W75" i="6"/>
  <c r="S75" i="6"/>
  <c r="O75" i="6"/>
  <c r="K75" i="6"/>
  <c r="G75" i="6"/>
  <c r="C75" i="6"/>
  <c r="W74" i="6"/>
  <c r="S74" i="6"/>
  <c r="O74" i="6"/>
  <c r="K74" i="6"/>
  <c r="G74" i="6"/>
  <c r="C74" i="6"/>
  <c r="W73" i="6"/>
  <c r="S73" i="6"/>
  <c r="O73" i="6"/>
  <c r="K73" i="6"/>
  <c r="G73" i="6"/>
  <c r="C73" i="6"/>
  <c r="W72" i="6"/>
  <c r="S72" i="6"/>
  <c r="O72" i="6"/>
  <c r="K72" i="6"/>
  <c r="G72" i="6"/>
  <c r="C72" i="6"/>
  <c r="W71" i="6"/>
  <c r="S71" i="6"/>
  <c r="O71" i="6"/>
  <c r="K71" i="6"/>
  <c r="G71" i="6"/>
  <c r="C71" i="6"/>
  <c r="W70" i="6"/>
  <c r="S70" i="6"/>
  <c r="O70" i="6"/>
  <c r="K70" i="6"/>
  <c r="G70" i="6"/>
  <c r="C70" i="6"/>
  <c r="W69" i="6"/>
  <c r="S69" i="6"/>
  <c r="O69" i="6"/>
  <c r="K69" i="6"/>
  <c r="G69" i="6"/>
  <c r="C69" i="6"/>
  <c r="W68" i="6"/>
  <c r="S68" i="6"/>
  <c r="O68" i="6"/>
  <c r="K68" i="6"/>
  <c r="G68" i="6"/>
  <c r="C68" i="6"/>
  <c r="W67" i="6"/>
  <c r="S67" i="6"/>
  <c r="O67" i="6"/>
  <c r="K67" i="6"/>
  <c r="G67" i="6"/>
  <c r="C67" i="6"/>
  <c r="W66" i="6"/>
  <c r="S66" i="6"/>
  <c r="O66" i="6"/>
  <c r="K66" i="6"/>
  <c r="G66" i="6"/>
  <c r="C66" i="6"/>
  <c r="W65" i="6"/>
  <c r="S65" i="6"/>
  <c r="O65" i="6"/>
  <c r="K65" i="6"/>
  <c r="G65" i="6"/>
  <c r="C65" i="6"/>
  <c r="W64" i="6"/>
  <c r="S64" i="6"/>
  <c r="O64" i="6"/>
  <c r="K64" i="6"/>
  <c r="G64" i="6"/>
  <c r="C64" i="6"/>
  <c r="W63" i="6"/>
  <c r="S63" i="6"/>
  <c r="O63" i="6"/>
  <c r="K63" i="6"/>
  <c r="G63" i="6"/>
  <c r="C63" i="6"/>
  <c r="W62" i="6"/>
  <c r="S62" i="6"/>
  <c r="O62" i="6"/>
  <c r="K62" i="6"/>
  <c r="G62" i="6"/>
  <c r="C62" i="6"/>
  <c r="W61" i="6"/>
  <c r="S61" i="6"/>
  <c r="O61" i="6"/>
  <c r="K61" i="6"/>
  <c r="G61" i="6"/>
  <c r="C61" i="6"/>
  <c r="W60" i="6"/>
  <c r="S60" i="6"/>
  <c r="O60" i="6"/>
  <c r="K60" i="6"/>
  <c r="G60" i="6"/>
  <c r="C60" i="6"/>
  <c r="W59" i="6"/>
  <c r="S59" i="6"/>
  <c r="O59" i="6"/>
  <c r="K59" i="6"/>
  <c r="G59" i="6"/>
  <c r="C59" i="6"/>
  <c r="W58" i="6"/>
  <c r="S58" i="6"/>
  <c r="O58" i="6"/>
  <c r="K58" i="6"/>
  <c r="G58" i="6"/>
  <c r="C58" i="6"/>
  <c r="W57" i="6"/>
  <c r="S57" i="6"/>
  <c r="O57" i="6"/>
  <c r="K57" i="6"/>
  <c r="G57" i="6"/>
  <c r="C57" i="6"/>
  <c r="W56" i="6"/>
  <c r="S56" i="6"/>
  <c r="O56" i="6"/>
  <c r="K56" i="6"/>
  <c r="G56" i="6"/>
  <c r="C56" i="6"/>
  <c r="W55" i="6"/>
  <c r="S55" i="6"/>
  <c r="O55" i="6"/>
  <c r="K55" i="6"/>
  <c r="G55" i="6"/>
  <c r="C55" i="6"/>
  <c r="W54" i="6"/>
  <c r="S54" i="6"/>
  <c r="O54" i="6"/>
  <c r="K54" i="6"/>
  <c r="G54" i="6"/>
  <c r="C54" i="6"/>
  <c r="W53" i="6"/>
  <c r="S53" i="6"/>
  <c r="O53" i="6"/>
  <c r="K53" i="6"/>
  <c r="G53" i="6"/>
  <c r="C53" i="6"/>
  <c r="W52" i="6"/>
  <c r="S52" i="6"/>
  <c r="O52" i="6"/>
  <c r="K52" i="6"/>
  <c r="G52" i="6"/>
  <c r="C52" i="6"/>
  <c r="W51" i="6"/>
  <c r="S51" i="6"/>
  <c r="O51" i="6"/>
  <c r="K51" i="6"/>
  <c r="G51" i="6"/>
  <c r="C51" i="6"/>
  <c r="W50" i="6"/>
  <c r="S50" i="6"/>
  <c r="O50" i="6"/>
  <c r="K50" i="6"/>
  <c r="G50" i="6"/>
  <c r="C50" i="6"/>
  <c r="W49" i="6"/>
  <c r="S49" i="6"/>
  <c r="O49" i="6"/>
  <c r="K49" i="6"/>
  <c r="G49" i="6"/>
  <c r="C49" i="6"/>
  <c r="W48" i="6"/>
  <c r="S48" i="6"/>
  <c r="O48" i="6"/>
  <c r="K48" i="6"/>
  <c r="G48" i="6"/>
  <c r="C48" i="6"/>
  <c r="W47" i="6"/>
  <c r="S47" i="6"/>
  <c r="O47" i="6"/>
  <c r="K47" i="6"/>
  <c r="G47" i="6"/>
  <c r="C47" i="6"/>
  <c r="W46" i="6"/>
  <c r="S46" i="6"/>
  <c r="O46" i="6"/>
  <c r="K46" i="6"/>
  <c r="G46" i="6"/>
  <c r="C46" i="6"/>
  <c r="W45" i="6"/>
  <c r="S45" i="6"/>
  <c r="O45" i="6"/>
  <c r="K45" i="6"/>
  <c r="G45" i="6"/>
  <c r="C45" i="6"/>
  <c r="W44" i="6"/>
  <c r="S44" i="6"/>
  <c r="O44" i="6"/>
  <c r="K44" i="6"/>
  <c r="G44" i="6"/>
  <c r="C44" i="6"/>
  <c r="W43" i="6"/>
  <c r="S43" i="6"/>
  <c r="O43" i="6"/>
  <c r="K43" i="6"/>
  <c r="G43" i="6"/>
  <c r="C43" i="6"/>
  <c r="W42" i="6"/>
  <c r="S42" i="6"/>
  <c r="O42" i="6"/>
  <c r="K42" i="6"/>
  <c r="G42" i="6"/>
  <c r="C42" i="6"/>
  <c r="W41" i="6"/>
  <c r="S41" i="6"/>
  <c r="O41" i="6"/>
  <c r="K41" i="6"/>
  <c r="G41" i="6"/>
  <c r="C41" i="6"/>
  <c r="W40" i="6"/>
  <c r="S40" i="6"/>
  <c r="O40" i="6"/>
  <c r="K40" i="6"/>
  <c r="G40" i="6"/>
  <c r="C40" i="6"/>
  <c r="W39" i="6"/>
  <c r="S39" i="6"/>
  <c r="O39" i="6"/>
  <c r="K39" i="6"/>
  <c r="G39" i="6"/>
  <c r="C39" i="6"/>
  <c r="W38" i="6"/>
  <c r="S38" i="6"/>
  <c r="O38" i="6"/>
  <c r="K38" i="6"/>
  <c r="G38" i="6"/>
  <c r="C38" i="6"/>
  <c r="W37" i="6"/>
  <c r="S37" i="6"/>
  <c r="O37" i="6"/>
  <c r="K37" i="6"/>
  <c r="G37" i="6"/>
  <c r="C37" i="6"/>
  <c r="W36" i="6"/>
  <c r="S36" i="6"/>
  <c r="O36" i="6"/>
  <c r="K36" i="6"/>
  <c r="G36" i="6"/>
  <c r="C36" i="6"/>
  <c r="W35" i="6"/>
  <c r="S35" i="6"/>
  <c r="O35" i="6"/>
  <c r="K35" i="6"/>
  <c r="G35" i="6"/>
  <c r="C35" i="6"/>
  <c r="W34" i="6"/>
  <c r="S34" i="6"/>
  <c r="O34" i="6"/>
  <c r="K34" i="6"/>
  <c r="G34" i="6"/>
  <c r="C34" i="6"/>
  <c r="W33" i="6"/>
  <c r="S33" i="6"/>
  <c r="O33" i="6"/>
  <c r="K33" i="6"/>
  <c r="G33" i="6"/>
  <c r="C33" i="6"/>
  <c r="W32" i="6"/>
  <c r="S32" i="6"/>
  <c r="O32" i="6"/>
  <c r="K32" i="6"/>
  <c r="G32" i="6"/>
  <c r="C32" i="6"/>
  <c r="W31" i="6"/>
  <c r="S31" i="6"/>
  <c r="O31" i="6"/>
  <c r="K31" i="6"/>
  <c r="G31" i="6"/>
  <c r="C31" i="6"/>
  <c r="W30" i="6"/>
  <c r="S30" i="6"/>
  <c r="O30" i="6"/>
  <c r="K30" i="6"/>
  <c r="G30" i="6"/>
  <c r="C30" i="6"/>
  <c r="W29" i="6"/>
  <c r="S29" i="6"/>
  <c r="O29" i="6"/>
  <c r="K29" i="6"/>
  <c r="G29" i="6"/>
  <c r="C29" i="6"/>
  <c r="W28" i="6"/>
  <c r="S28" i="6"/>
  <c r="O28" i="6"/>
  <c r="K28" i="6"/>
  <c r="G28" i="6"/>
  <c r="C28" i="6"/>
  <c r="W27" i="6"/>
  <c r="S27" i="6"/>
  <c r="O27" i="6"/>
  <c r="K27" i="6"/>
  <c r="G27" i="6"/>
  <c r="C27" i="6"/>
  <c r="W26" i="6"/>
  <c r="S26" i="6"/>
  <c r="O26" i="6"/>
  <c r="K26" i="6"/>
  <c r="G26" i="6"/>
  <c r="C26" i="6"/>
  <c r="W25" i="6"/>
  <c r="S25" i="6"/>
  <c r="O25" i="6"/>
  <c r="K25" i="6"/>
  <c r="G25" i="6"/>
  <c r="C25" i="6"/>
  <c r="W24" i="6"/>
  <c r="S24" i="6"/>
  <c r="O24" i="6"/>
  <c r="K24" i="6"/>
  <c r="G24" i="6"/>
  <c r="C24" i="6"/>
  <c r="W23" i="6"/>
  <c r="S23" i="6"/>
  <c r="O23" i="6"/>
  <c r="K23" i="6"/>
  <c r="G23" i="6"/>
  <c r="C23" i="6"/>
  <c r="W22" i="6"/>
  <c r="S22" i="6"/>
  <c r="O22" i="6"/>
  <c r="K22" i="6"/>
  <c r="G22" i="6"/>
  <c r="C22" i="6"/>
  <c r="W21" i="6"/>
  <c r="S21" i="6"/>
  <c r="O21" i="6"/>
  <c r="K21" i="6"/>
  <c r="G21" i="6"/>
  <c r="C21" i="6"/>
  <c r="W20" i="6"/>
  <c r="S20" i="6"/>
  <c r="O20" i="6"/>
  <c r="K20" i="6"/>
  <c r="G20" i="6"/>
  <c r="C20" i="6"/>
  <c r="W19" i="6"/>
  <c r="S19" i="6"/>
  <c r="O19" i="6"/>
  <c r="K19" i="6"/>
  <c r="G19" i="6"/>
  <c r="C19" i="6"/>
  <c r="W18" i="6"/>
  <c r="S18" i="6"/>
  <c r="O18" i="6"/>
  <c r="K18" i="6"/>
  <c r="G18" i="6"/>
  <c r="C18" i="6"/>
  <c r="W17" i="6"/>
  <c r="S17" i="6"/>
  <c r="O17" i="6"/>
  <c r="K17" i="6"/>
  <c r="G17" i="6"/>
  <c r="C17" i="6"/>
  <c r="W16" i="6"/>
  <c r="S16" i="6"/>
  <c r="O16" i="6"/>
  <c r="K16" i="6"/>
  <c r="G16" i="6"/>
  <c r="C16" i="6"/>
  <c r="W15" i="6"/>
  <c r="S15" i="6"/>
  <c r="O15" i="6"/>
  <c r="K15" i="6"/>
  <c r="G15" i="6"/>
  <c r="C15" i="6"/>
  <c r="W14" i="6"/>
  <c r="S14" i="6"/>
  <c r="O14" i="6"/>
  <c r="K14" i="6"/>
  <c r="G14" i="6"/>
  <c r="C14" i="6"/>
  <c r="W13" i="6"/>
  <c r="S13" i="6"/>
  <c r="O13" i="6"/>
  <c r="K13" i="6"/>
  <c r="G13" i="6"/>
  <c r="C13" i="6"/>
  <c r="W12" i="6"/>
  <c r="S12" i="6"/>
  <c r="O12" i="6"/>
  <c r="K12" i="6"/>
  <c r="G12" i="6"/>
  <c r="C12" i="6"/>
  <c r="W11" i="6"/>
  <c r="S11" i="6"/>
  <c r="O11" i="6"/>
  <c r="K11" i="6"/>
  <c r="G11" i="6"/>
  <c r="C11" i="6"/>
  <c r="W10" i="6"/>
  <c r="S10" i="6"/>
  <c r="O10" i="6"/>
  <c r="K10" i="6"/>
  <c r="G10" i="6"/>
  <c r="C10" i="6"/>
  <c r="W9" i="6"/>
  <c r="S9" i="6"/>
  <c r="O9" i="6"/>
  <c r="K9" i="6"/>
  <c r="G9" i="6"/>
  <c r="C9" i="6"/>
  <c r="W8" i="6"/>
  <c r="S8" i="6"/>
  <c r="O8" i="6"/>
  <c r="K8" i="6"/>
  <c r="G8" i="6"/>
  <c r="C8" i="6"/>
  <c r="W7" i="6"/>
  <c r="S7" i="6"/>
  <c r="O7" i="6"/>
  <c r="K7" i="6"/>
  <c r="G7" i="6"/>
  <c r="C7" i="6"/>
  <c r="W6" i="6"/>
  <c r="S6" i="6"/>
  <c r="O6" i="6"/>
  <c r="K6" i="6"/>
  <c r="G6" i="6"/>
  <c r="C6" i="6"/>
  <c r="W5" i="6"/>
  <c r="S5" i="6"/>
  <c r="O5" i="6"/>
  <c r="K5" i="6"/>
  <c r="G5" i="6"/>
  <c r="C5" i="6"/>
  <c r="W4" i="6"/>
  <c r="S4" i="6"/>
  <c r="O4" i="6"/>
  <c r="K4" i="6"/>
  <c r="G4" i="6"/>
  <c r="C4" i="6"/>
  <c r="W100" i="5"/>
  <c r="S100" i="5"/>
  <c r="O100" i="5"/>
  <c r="K100" i="5"/>
  <c r="G100" i="5"/>
  <c r="C100" i="5"/>
  <c r="W99" i="5"/>
  <c r="S99" i="5"/>
  <c r="O99" i="5"/>
  <c r="K99" i="5"/>
  <c r="G99" i="5"/>
  <c r="C99" i="5"/>
  <c r="W98" i="5"/>
  <c r="S98" i="5"/>
  <c r="O98" i="5"/>
  <c r="K98" i="5"/>
  <c r="G98" i="5"/>
  <c r="C98" i="5"/>
  <c r="W97" i="5"/>
  <c r="S97" i="5"/>
  <c r="O97" i="5"/>
  <c r="K97" i="5"/>
  <c r="G97" i="5"/>
  <c r="C97" i="5"/>
  <c r="W96" i="5"/>
  <c r="S96" i="5"/>
  <c r="O96" i="5"/>
  <c r="K96" i="5"/>
  <c r="G96" i="5"/>
  <c r="C96" i="5"/>
  <c r="W95" i="5"/>
  <c r="S95" i="5"/>
  <c r="O95" i="5"/>
  <c r="K95" i="5"/>
  <c r="G95" i="5"/>
  <c r="C95" i="5"/>
  <c r="W94" i="5"/>
  <c r="S94" i="5"/>
  <c r="O94" i="5"/>
  <c r="K94" i="5"/>
  <c r="G94" i="5"/>
  <c r="C94" i="5"/>
  <c r="W93" i="5"/>
  <c r="S93" i="5"/>
  <c r="O93" i="5"/>
  <c r="K93" i="5"/>
  <c r="G93" i="5"/>
  <c r="C93" i="5"/>
  <c r="W92" i="5"/>
  <c r="S92" i="5"/>
  <c r="O92" i="5"/>
  <c r="K92" i="5"/>
  <c r="G92" i="5"/>
  <c r="C92" i="5"/>
  <c r="W91" i="5"/>
  <c r="S91" i="5"/>
  <c r="O91" i="5"/>
  <c r="K91" i="5"/>
  <c r="G91" i="5"/>
  <c r="C91" i="5"/>
  <c r="W90" i="5"/>
  <c r="S90" i="5"/>
  <c r="O90" i="5"/>
  <c r="K90" i="5"/>
  <c r="G90" i="5"/>
  <c r="C90" i="5"/>
  <c r="W89" i="5"/>
  <c r="S89" i="5"/>
  <c r="O89" i="5"/>
  <c r="K89" i="5"/>
  <c r="G89" i="5"/>
  <c r="C89" i="5"/>
  <c r="W88" i="5"/>
  <c r="S88" i="5"/>
  <c r="O88" i="5"/>
  <c r="K88" i="5"/>
  <c r="G88" i="5"/>
  <c r="C88" i="5"/>
  <c r="W87" i="5"/>
  <c r="S87" i="5"/>
  <c r="O87" i="5"/>
  <c r="K87" i="5"/>
  <c r="G87" i="5"/>
  <c r="C87" i="5"/>
  <c r="W86" i="5"/>
  <c r="S86" i="5"/>
  <c r="O86" i="5"/>
  <c r="K86" i="5"/>
  <c r="G86" i="5"/>
  <c r="C86" i="5"/>
  <c r="W85" i="5"/>
  <c r="S85" i="5"/>
  <c r="O85" i="5"/>
  <c r="K85" i="5"/>
  <c r="G85" i="5"/>
  <c r="C85" i="5"/>
  <c r="W84" i="5"/>
  <c r="S84" i="5"/>
  <c r="O84" i="5"/>
  <c r="K84" i="5"/>
  <c r="G84" i="5"/>
  <c r="C84" i="5"/>
  <c r="W83" i="5"/>
  <c r="S83" i="5"/>
  <c r="O83" i="5"/>
  <c r="K83" i="5"/>
  <c r="G83" i="5"/>
  <c r="C83" i="5"/>
  <c r="W82" i="5"/>
  <c r="S82" i="5"/>
  <c r="O82" i="5"/>
  <c r="K82" i="5"/>
  <c r="G82" i="5"/>
  <c r="C82" i="5"/>
  <c r="W81" i="5"/>
  <c r="S81" i="5"/>
  <c r="O81" i="5"/>
  <c r="K81" i="5"/>
  <c r="G81" i="5"/>
  <c r="C81" i="5"/>
  <c r="W80" i="5"/>
  <c r="S80" i="5"/>
  <c r="O80" i="5"/>
  <c r="K80" i="5"/>
  <c r="G80" i="5"/>
  <c r="C80" i="5"/>
  <c r="W79" i="5"/>
  <c r="S79" i="5"/>
  <c r="O79" i="5"/>
  <c r="K79" i="5"/>
  <c r="G79" i="5"/>
  <c r="C79" i="5"/>
  <c r="W78" i="5"/>
  <c r="S78" i="5"/>
  <c r="O78" i="5"/>
  <c r="K78" i="5"/>
  <c r="G78" i="5"/>
  <c r="C78" i="5"/>
  <c r="W77" i="5"/>
  <c r="S77" i="5"/>
  <c r="O77" i="5"/>
  <c r="K77" i="5"/>
  <c r="G77" i="5"/>
  <c r="C77" i="5"/>
  <c r="W76" i="5"/>
  <c r="S76" i="5"/>
  <c r="O76" i="5"/>
  <c r="K76" i="5"/>
  <c r="G76" i="5"/>
  <c r="C76" i="5"/>
  <c r="W75" i="5"/>
  <c r="S75" i="5"/>
  <c r="O75" i="5"/>
  <c r="K75" i="5"/>
  <c r="G75" i="5"/>
  <c r="C75" i="5"/>
  <c r="W74" i="5"/>
  <c r="S74" i="5"/>
  <c r="O74" i="5"/>
  <c r="K74" i="5"/>
  <c r="G74" i="5"/>
  <c r="C74" i="5"/>
  <c r="W73" i="5"/>
  <c r="S73" i="5"/>
  <c r="O73" i="5"/>
  <c r="K73" i="5"/>
  <c r="G73" i="5"/>
  <c r="C73" i="5"/>
  <c r="W72" i="5"/>
  <c r="S72" i="5"/>
  <c r="O72" i="5"/>
  <c r="K72" i="5"/>
  <c r="G72" i="5"/>
  <c r="C72" i="5"/>
  <c r="W71" i="5"/>
  <c r="S71" i="5"/>
  <c r="O71" i="5"/>
  <c r="K71" i="5"/>
  <c r="G71" i="5"/>
  <c r="C71" i="5"/>
  <c r="W70" i="5"/>
  <c r="S70" i="5"/>
  <c r="O70" i="5"/>
  <c r="K70" i="5"/>
  <c r="G70" i="5"/>
  <c r="C70" i="5"/>
  <c r="W69" i="5"/>
  <c r="S69" i="5"/>
  <c r="O69" i="5"/>
  <c r="K69" i="5"/>
  <c r="G69" i="5"/>
  <c r="C69" i="5"/>
  <c r="W68" i="5"/>
  <c r="S68" i="5"/>
  <c r="O68" i="5"/>
  <c r="K68" i="5"/>
  <c r="G68" i="5"/>
  <c r="C68" i="5"/>
  <c r="W67" i="5"/>
  <c r="S67" i="5"/>
  <c r="O67" i="5"/>
  <c r="K67" i="5"/>
  <c r="G67" i="5"/>
  <c r="C67" i="5"/>
  <c r="W66" i="5"/>
  <c r="S66" i="5"/>
  <c r="O66" i="5"/>
  <c r="K66" i="5"/>
  <c r="G66" i="5"/>
  <c r="C66" i="5"/>
  <c r="W65" i="5"/>
  <c r="S65" i="5"/>
  <c r="O65" i="5"/>
  <c r="K65" i="5"/>
  <c r="G65" i="5"/>
  <c r="C65" i="5"/>
  <c r="W64" i="5"/>
  <c r="S64" i="5"/>
  <c r="O64" i="5"/>
  <c r="K64" i="5"/>
  <c r="G64" i="5"/>
  <c r="C64" i="5"/>
  <c r="W63" i="5"/>
  <c r="S63" i="5"/>
  <c r="O63" i="5"/>
  <c r="K63" i="5"/>
  <c r="G63" i="5"/>
  <c r="C63" i="5"/>
  <c r="W62" i="5"/>
  <c r="S62" i="5"/>
  <c r="O62" i="5"/>
  <c r="K62" i="5"/>
  <c r="G62" i="5"/>
  <c r="C62" i="5"/>
  <c r="W61" i="5"/>
  <c r="S61" i="5"/>
  <c r="O61" i="5"/>
  <c r="K61" i="5"/>
  <c r="G61" i="5"/>
  <c r="C61" i="5"/>
  <c r="W60" i="5"/>
  <c r="S60" i="5"/>
  <c r="O60" i="5"/>
  <c r="K60" i="5"/>
  <c r="G60" i="5"/>
  <c r="C60" i="5"/>
  <c r="W59" i="5"/>
  <c r="S59" i="5"/>
  <c r="O59" i="5"/>
  <c r="K59" i="5"/>
  <c r="G59" i="5"/>
  <c r="C59" i="5"/>
  <c r="W58" i="5"/>
  <c r="S58" i="5"/>
  <c r="O58" i="5"/>
  <c r="K58" i="5"/>
  <c r="G58" i="5"/>
  <c r="C58" i="5"/>
  <c r="W57" i="5"/>
  <c r="S57" i="5"/>
  <c r="O57" i="5"/>
  <c r="K57" i="5"/>
  <c r="G57" i="5"/>
  <c r="C57" i="5"/>
  <c r="W56" i="5"/>
  <c r="S56" i="5"/>
  <c r="O56" i="5"/>
  <c r="K56" i="5"/>
  <c r="G56" i="5"/>
  <c r="C56" i="5"/>
  <c r="W55" i="5"/>
  <c r="S55" i="5"/>
  <c r="O55" i="5"/>
  <c r="K55" i="5"/>
  <c r="G55" i="5"/>
  <c r="C55" i="5"/>
  <c r="W54" i="5"/>
  <c r="S54" i="5"/>
  <c r="O54" i="5"/>
  <c r="K54" i="5"/>
  <c r="G54" i="5"/>
  <c r="C54" i="5"/>
  <c r="W53" i="5"/>
  <c r="S53" i="5"/>
  <c r="O53" i="5"/>
  <c r="K53" i="5"/>
  <c r="G53" i="5"/>
  <c r="C53" i="5"/>
  <c r="W52" i="5"/>
  <c r="S52" i="5"/>
  <c r="O52" i="5"/>
  <c r="K52" i="5"/>
  <c r="G52" i="5"/>
  <c r="C52" i="5"/>
  <c r="W51" i="5"/>
  <c r="S51" i="5"/>
  <c r="O51" i="5"/>
  <c r="K51" i="5"/>
  <c r="G51" i="5"/>
  <c r="C51" i="5"/>
  <c r="W50" i="5"/>
  <c r="S50" i="5"/>
  <c r="O50" i="5"/>
  <c r="K50" i="5"/>
  <c r="G50" i="5"/>
  <c r="C50" i="5"/>
  <c r="W49" i="5"/>
  <c r="S49" i="5"/>
  <c r="O49" i="5"/>
  <c r="K49" i="5"/>
  <c r="G49" i="5"/>
  <c r="C49" i="5"/>
  <c r="W48" i="5"/>
  <c r="S48" i="5"/>
  <c r="O48" i="5"/>
  <c r="K48" i="5"/>
  <c r="G48" i="5"/>
  <c r="C48" i="5"/>
  <c r="W47" i="5"/>
  <c r="S47" i="5"/>
  <c r="O47" i="5"/>
  <c r="K47" i="5"/>
  <c r="G47" i="5"/>
  <c r="C47" i="5"/>
  <c r="W46" i="5"/>
  <c r="S46" i="5"/>
  <c r="O46" i="5"/>
  <c r="K46" i="5"/>
  <c r="G46" i="5"/>
  <c r="C46" i="5"/>
  <c r="W45" i="5"/>
  <c r="S45" i="5"/>
  <c r="O45" i="5"/>
  <c r="K45" i="5"/>
  <c r="G45" i="5"/>
  <c r="C45" i="5"/>
  <c r="W44" i="5"/>
  <c r="S44" i="5"/>
  <c r="O44" i="5"/>
  <c r="K44" i="5"/>
  <c r="G44" i="5"/>
  <c r="C44" i="5"/>
  <c r="W43" i="5"/>
  <c r="S43" i="5"/>
  <c r="O43" i="5"/>
  <c r="K43" i="5"/>
  <c r="G43" i="5"/>
  <c r="C43" i="5"/>
  <c r="W42" i="5"/>
  <c r="S42" i="5"/>
  <c r="O42" i="5"/>
  <c r="K42" i="5"/>
  <c r="G42" i="5"/>
  <c r="C42" i="5"/>
  <c r="W41" i="5"/>
  <c r="S41" i="5"/>
  <c r="O41" i="5"/>
  <c r="K41" i="5"/>
  <c r="G41" i="5"/>
  <c r="C41" i="5"/>
  <c r="W40" i="5"/>
  <c r="S40" i="5"/>
  <c r="O40" i="5"/>
  <c r="K40" i="5"/>
  <c r="G40" i="5"/>
  <c r="C40" i="5"/>
  <c r="W39" i="5"/>
  <c r="S39" i="5"/>
  <c r="O39" i="5"/>
  <c r="K39" i="5"/>
  <c r="G39" i="5"/>
  <c r="C39" i="5"/>
  <c r="W38" i="5"/>
  <c r="S38" i="5"/>
  <c r="O38" i="5"/>
  <c r="K38" i="5"/>
  <c r="G38" i="5"/>
  <c r="C38" i="5"/>
  <c r="W37" i="5"/>
  <c r="S37" i="5"/>
  <c r="O37" i="5"/>
  <c r="K37" i="5"/>
  <c r="G37" i="5"/>
  <c r="C37" i="5"/>
  <c r="W36" i="5"/>
  <c r="S36" i="5"/>
  <c r="O36" i="5"/>
  <c r="K36" i="5"/>
  <c r="G36" i="5"/>
  <c r="C36" i="5"/>
  <c r="W35" i="5"/>
  <c r="S35" i="5"/>
  <c r="O35" i="5"/>
  <c r="K35" i="5"/>
  <c r="G35" i="5"/>
  <c r="C35" i="5"/>
  <c r="W34" i="5"/>
  <c r="S34" i="5"/>
  <c r="O34" i="5"/>
  <c r="K34" i="5"/>
  <c r="G34" i="5"/>
  <c r="C34" i="5"/>
  <c r="W33" i="5"/>
  <c r="S33" i="5"/>
  <c r="O33" i="5"/>
  <c r="K33" i="5"/>
  <c r="G33" i="5"/>
  <c r="C33" i="5"/>
  <c r="W32" i="5"/>
  <c r="S32" i="5"/>
  <c r="O32" i="5"/>
  <c r="K32" i="5"/>
  <c r="G32" i="5"/>
  <c r="C32" i="5"/>
  <c r="W31" i="5"/>
  <c r="S31" i="5"/>
  <c r="O31" i="5"/>
  <c r="K31" i="5"/>
  <c r="G31" i="5"/>
  <c r="C31" i="5"/>
  <c r="W30" i="5"/>
  <c r="S30" i="5"/>
  <c r="O30" i="5"/>
  <c r="K30" i="5"/>
  <c r="G30" i="5"/>
  <c r="C30" i="5"/>
  <c r="W29" i="5"/>
  <c r="S29" i="5"/>
  <c r="O29" i="5"/>
  <c r="K29" i="5"/>
  <c r="G29" i="5"/>
  <c r="C29" i="5"/>
  <c r="W28" i="5"/>
  <c r="S28" i="5"/>
  <c r="O28" i="5"/>
  <c r="K28" i="5"/>
  <c r="G28" i="5"/>
  <c r="C28" i="5"/>
  <c r="W27" i="5"/>
  <c r="S27" i="5"/>
  <c r="O27" i="5"/>
  <c r="K27" i="5"/>
  <c r="G27" i="5"/>
  <c r="C27" i="5"/>
  <c r="W26" i="5"/>
  <c r="S26" i="5"/>
  <c r="O26" i="5"/>
  <c r="K26" i="5"/>
  <c r="G26" i="5"/>
  <c r="C26" i="5"/>
  <c r="W25" i="5"/>
  <c r="S25" i="5"/>
  <c r="O25" i="5"/>
  <c r="K25" i="5"/>
  <c r="G25" i="5"/>
  <c r="C25" i="5"/>
  <c r="W24" i="5"/>
  <c r="S24" i="5"/>
  <c r="O24" i="5"/>
  <c r="K24" i="5"/>
  <c r="G24" i="5"/>
  <c r="C24" i="5"/>
  <c r="W23" i="5"/>
  <c r="S23" i="5"/>
  <c r="O23" i="5"/>
  <c r="K23" i="5"/>
  <c r="G23" i="5"/>
  <c r="C23" i="5"/>
  <c r="W22" i="5"/>
  <c r="S22" i="5"/>
  <c r="O22" i="5"/>
  <c r="K22" i="5"/>
  <c r="G22" i="5"/>
  <c r="C22" i="5"/>
  <c r="W21" i="5"/>
  <c r="S21" i="5"/>
  <c r="O21" i="5"/>
  <c r="K21" i="5"/>
  <c r="G21" i="5"/>
  <c r="C21" i="5"/>
  <c r="W20" i="5"/>
  <c r="S20" i="5"/>
  <c r="O20" i="5"/>
  <c r="K20" i="5"/>
  <c r="G20" i="5"/>
  <c r="C20" i="5"/>
  <c r="W19" i="5"/>
  <c r="S19" i="5"/>
  <c r="O19" i="5"/>
  <c r="K19" i="5"/>
  <c r="G19" i="5"/>
  <c r="C19" i="5"/>
  <c r="W18" i="5"/>
  <c r="S18" i="5"/>
  <c r="O18" i="5"/>
  <c r="K18" i="5"/>
  <c r="G18" i="5"/>
  <c r="C18" i="5"/>
  <c r="W17" i="5"/>
  <c r="S17" i="5"/>
  <c r="O17" i="5"/>
  <c r="K17" i="5"/>
  <c r="G17" i="5"/>
  <c r="C17" i="5"/>
  <c r="W16" i="5"/>
  <c r="S16" i="5"/>
  <c r="O16" i="5"/>
  <c r="K16" i="5"/>
  <c r="G16" i="5"/>
  <c r="C16" i="5"/>
  <c r="W15" i="5"/>
  <c r="S15" i="5"/>
  <c r="O15" i="5"/>
  <c r="K15" i="5"/>
  <c r="G15" i="5"/>
  <c r="C15" i="5"/>
  <c r="W14" i="5"/>
  <c r="S14" i="5"/>
  <c r="O14" i="5"/>
  <c r="K14" i="5"/>
  <c r="G14" i="5"/>
  <c r="C14" i="5"/>
  <c r="W13" i="5"/>
  <c r="S13" i="5"/>
  <c r="O13" i="5"/>
  <c r="K13" i="5"/>
  <c r="G13" i="5"/>
  <c r="C13" i="5"/>
  <c r="W12" i="5"/>
  <c r="S12" i="5"/>
  <c r="O12" i="5"/>
  <c r="K12" i="5"/>
  <c r="G12" i="5"/>
  <c r="C12" i="5"/>
  <c r="W11" i="5"/>
  <c r="S11" i="5"/>
  <c r="O11" i="5"/>
  <c r="K11" i="5"/>
  <c r="G11" i="5"/>
  <c r="C11" i="5"/>
  <c r="W10" i="5"/>
  <c r="S10" i="5"/>
  <c r="O10" i="5"/>
  <c r="K10" i="5"/>
  <c r="G10" i="5"/>
  <c r="C10" i="5"/>
  <c r="W9" i="5"/>
  <c r="S9" i="5"/>
  <c r="O9" i="5"/>
  <c r="K9" i="5"/>
  <c r="G9" i="5"/>
  <c r="C9" i="5"/>
  <c r="W8" i="5"/>
  <c r="S8" i="5"/>
  <c r="O8" i="5"/>
  <c r="K8" i="5"/>
  <c r="G8" i="5"/>
  <c r="C8" i="5"/>
  <c r="W7" i="5"/>
  <c r="S7" i="5"/>
  <c r="O7" i="5"/>
  <c r="K7" i="5"/>
  <c r="G7" i="5"/>
  <c r="C7" i="5"/>
  <c r="W6" i="5"/>
  <c r="S6" i="5"/>
  <c r="O6" i="5"/>
  <c r="K6" i="5"/>
  <c r="G6" i="5"/>
  <c r="C6" i="5"/>
  <c r="W5" i="5"/>
  <c r="S5" i="5"/>
  <c r="O5" i="5"/>
  <c r="K5" i="5"/>
  <c r="G5" i="5"/>
  <c r="C5" i="5"/>
  <c r="W4" i="5"/>
  <c r="S4" i="5"/>
  <c r="O4" i="5"/>
  <c r="K4" i="5"/>
  <c r="G4" i="5"/>
  <c r="C4" i="5"/>
  <c r="W100" i="4"/>
  <c r="S100" i="4"/>
  <c r="O100" i="4"/>
  <c r="K100" i="4"/>
  <c r="G100" i="4"/>
  <c r="C100" i="4"/>
  <c r="W99" i="4"/>
  <c r="S99" i="4"/>
  <c r="O99" i="4"/>
  <c r="K99" i="4"/>
  <c r="G99" i="4"/>
  <c r="C99" i="4"/>
  <c r="W98" i="4"/>
  <c r="S98" i="4"/>
  <c r="O98" i="4"/>
  <c r="K98" i="4"/>
  <c r="G98" i="4"/>
  <c r="C98" i="4"/>
  <c r="W97" i="4"/>
  <c r="S97" i="4"/>
  <c r="O97" i="4"/>
  <c r="K97" i="4"/>
  <c r="G97" i="4"/>
  <c r="C97" i="4"/>
  <c r="W96" i="4"/>
  <c r="S96" i="4"/>
  <c r="O96" i="4"/>
  <c r="K96" i="4"/>
  <c r="G96" i="4"/>
  <c r="C96" i="4"/>
  <c r="W95" i="4"/>
  <c r="S95" i="4"/>
  <c r="O95" i="4"/>
  <c r="K95" i="4"/>
  <c r="G95" i="4"/>
  <c r="C95" i="4"/>
  <c r="W94" i="4"/>
  <c r="S94" i="4"/>
  <c r="O94" i="4"/>
  <c r="K94" i="4"/>
  <c r="G94" i="4"/>
  <c r="C94" i="4"/>
  <c r="W93" i="4"/>
  <c r="S93" i="4"/>
  <c r="O93" i="4"/>
  <c r="K93" i="4"/>
  <c r="G93" i="4"/>
  <c r="C93" i="4"/>
  <c r="W92" i="4"/>
  <c r="S92" i="4"/>
  <c r="O92" i="4"/>
  <c r="K92" i="4"/>
  <c r="G92" i="4"/>
  <c r="C92" i="4"/>
  <c r="W91" i="4"/>
  <c r="S91" i="4"/>
  <c r="O91" i="4"/>
  <c r="K91" i="4"/>
  <c r="G91" i="4"/>
  <c r="C91" i="4"/>
  <c r="W90" i="4"/>
  <c r="S90" i="4"/>
  <c r="O90" i="4"/>
  <c r="K90" i="4"/>
  <c r="G90" i="4"/>
  <c r="C90" i="4"/>
  <c r="W89" i="4"/>
  <c r="S89" i="4"/>
  <c r="O89" i="4"/>
  <c r="K89" i="4"/>
  <c r="G89" i="4"/>
  <c r="C89" i="4"/>
  <c r="W88" i="4"/>
  <c r="S88" i="4"/>
  <c r="O88" i="4"/>
  <c r="K88" i="4"/>
  <c r="G88" i="4"/>
  <c r="C88" i="4"/>
  <c r="W87" i="4"/>
  <c r="S87" i="4"/>
  <c r="O87" i="4"/>
  <c r="K87" i="4"/>
  <c r="G87" i="4"/>
  <c r="C87" i="4"/>
  <c r="W86" i="4"/>
  <c r="S86" i="4"/>
  <c r="O86" i="4"/>
  <c r="K86" i="4"/>
  <c r="G86" i="4"/>
  <c r="C86" i="4"/>
  <c r="W85" i="4"/>
  <c r="S85" i="4"/>
  <c r="O85" i="4"/>
  <c r="K85" i="4"/>
  <c r="G85" i="4"/>
  <c r="C85" i="4"/>
  <c r="W84" i="4"/>
  <c r="S84" i="4"/>
  <c r="O84" i="4"/>
  <c r="K84" i="4"/>
  <c r="G84" i="4"/>
  <c r="C84" i="4"/>
  <c r="W83" i="4"/>
  <c r="S83" i="4"/>
  <c r="O83" i="4"/>
  <c r="K83" i="4"/>
  <c r="G83" i="4"/>
  <c r="C83" i="4"/>
  <c r="W82" i="4"/>
  <c r="S82" i="4"/>
  <c r="O82" i="4"/>
  <c r="K82" i="4"/>
  <c r="G82" i="4"/>
  <c r="C82" i="4"/>
  <c r="W81" i="4"/>
  <c r="S81" i="4"/>
  <c r="O81" i="4"/>
  <c r="K81" i="4"/>
  <c r="G81" i="4"/>
  <c r="C81" i="4"/>
  <c r="W80" i="4"/>
  <c r="S80" i="4"/>
  <c r="O80" i="4"/>
  <c r="K80" i="4"/>
  <c r="G80" i="4"/>
  <c r="C80" i="4"/>
  <c r="W79" i="4"/>
  <c r="S79" i="4"/>
  <c r="O79" i="4"/>
  <c r="K79" i="4"/>
  <c r="G79" i="4"/>
  <c r="C79" i="4"/>
  <c r="W78" i="4"/>
  <c r="S78" i="4"/>
  <c r="O78" i="4"/>
  <c r="K78" i="4"/>
  <c r="G78" i="4"/>
  <c r="C78" i="4"/>
  <c r="W77" i="4"/>
  <c r="S77" i="4"/>
  <c r="O77" i="4"/>
  <c r="K77" i="4"/>
  <c r="G77" i="4"/>
  <c r="C77" i="4"/>
  <c r="W76" i="4"/>
  <c r="S76" i="4"/>
  <c r="O76" i="4"/>
  <c r="K76" i="4"/>
  <c r="G76" i="4"/>
  <c r="C76" i="4"/>
  <c r="W75" i="4"/>
  <c r="S75" i="4"/>
  <c r="O75" i="4"/>
  <c r="K75" i="4"/>
  <c r="G75" i="4"/>
  <c r="C75" i="4"/>
  <c r="W74" i="4"/>
  <c r="S74" i="4"/>
  <c r="O74" i="4"/>
  <c r="K74" i="4"/>
  <c r="G74" i="4"/>
  <c r="C74" i="4"/>
  <c r="W73" i="4"/>
  <c r="S73" i="4"/>
  <c r="O73" i="4"/>
  <c r="K73" i="4"/>
  <c r="G73" i="4"/>
  <c r="C73" i="4"/>
  <c r="W72" i="4"/>
  <c r="S72" i="4"/>
  <c r="O72" i="4"/>
  <c r="K72" i="4"/>
  <c r="G72" i="4"/>
  <c r="C72" i="4"/>
  <c r="W71" i="4"/>
  <c r="S71" i="4"/>
  <c r="O71" i="4"/>
  <c r="K71" i="4"/>
  <c r="G71" i="4"/>
  <c r="C71" i="4"/>
  <c r="W70" i="4"/>
  <c r="S70" i="4"/>
  <c r="O70" i="4"/>
  <c r="K70" i="4"/>
  <c r="G70" i="4"/>
  <c r="C70" i="4"/>
  <c r="W69" i="4"/>
  <c r="S69" i="4"/>
  <c r="O69" i="4"/>
  <c r="K69" i="4"/>
  <c r="G69" i="4"/>
  <c r="C69" i="4"/>
  <c r="W68" i="4"/>
  <c r="S68" i="4"/>
  <c r="O68" i="4"/>
  <c r="K68" i="4"/>
  <c r="G68" i="4"/>
  <c r="C68" i="4"/>
  <c r="W67" i="4"/>
  <c r="S67" i="4"/>
  <c r="O67" i="4"/>
  <c r="K67" i="4"/>
  <c r="G67" i="4"/>
  <c r="C67" i="4"/>
  <c r="W66" i="4"/>
  <c r="S66" i="4"/>
  <c r="O66" i="4"/>
  <c r="K66" i="4"/>
  <c r="G66" i="4"/>
  <c r="C66" i="4"/>
  <c r="W65" i="4"/>
  <c r="S65" i="4"/>
  <c r="O65" i="4"/>
  <c r="K65" i="4"/>
  <c r="G65" i="4"/>
  <c r="C65" i="4"/>
  <c r="W64" i="4"/>
  <c r="S64" i="4"/>
  <c r="O64" i="4"/>
  <c r="K64" i="4"/>
  <c r="G64" i="4"/>
  <c r="C64" i="4"/>
  <c r="W63" i="4"/>
  <c r="S63" i="4"/>
  <c r="O63" i="4"/>
  <c r="K63" i="4"/>
  <c r="G63" i="4"/>
  <c r="C63" i="4"/>
  <c r="W62" i="4"/>
  <c r="S62" i="4"/>
  <c r="O62" i="4"/>
  <c r="K62" i="4"/>
  <c r="G62" i="4"/>
  <c r="C62" i="4"/>
  <c r="W61" i="4"/>
  <c r="S61" i="4"/>
  <c r="O61" i="4"/>
  <c r="K61" i="4"/>
  <c r="G61" i="4"/>
  <c r="C61" i="4"/>
  <c r="W60" i="4"/>
  <c r="S60" i="4"/>
  <c r="O60" i="4"/>
  <c r="K60" i="4"/>
  <c r="G60" i="4"/>
  <c r="C60" i="4"/>
  <c r="W59" i="4"/>
  <c r="S59" i="4"/>
  <c r="O59" i="4"/>
  <c r="K59" i="4"/>
  <c r="G59" i="4"/>
  <c r="C59" i="4"/>
  <c r="W58" i="4"/>
  <c r="S58" i="4"/>
  <c r="O58" i="4"/>
  <c r="K58" i="4"/>
  <c r="G58" i="4"/>
  <c r="C58" i="4"/>
  <c r="W57" i="4"/>
  <c r="S57" i="4"/>
  <c r="O57" i="4"/>
  <c r="K57" i="4"/>
  <c r="G57" i="4"/>
  <c r="C57" i="4"/>
  <c r="W56" i="4"/>
  <c r="S56" i="4"/>
  <c r="O56" i="4"/>
  <c r="K56" i="4"/>
  <c r="G56" i="4"/>
  <c r="C56" i="4"/>
  <c r="W55" i="4"/>
  <c r="S55" i="4"/>
  <c r="O55" i="4"/>
  <c r="K55" i="4"/>
  <c r="G55" i="4"/>
  <c r="C55" i="4"/>
  <c r="W54" i="4"/>
  <c r="S54" i="4"/>
  <c r="O54" i="4"/>
  <c r="K54" i="4"/>
  <c r="G54" i="4"/>
  <c r="C54" i="4"/>
  <c r="W53" i="4"/>
  <c r="S53" i="4"/>
  <c r="O53" i="4"/>
  <c r="K53" i="4"/>
  <c r="G53" i="4"/>
  <c r="C53" i="4"/>
  <c r="W52" i="4"/>
  <c r="S52" i="4"/>
  <c r="O52" i="4"/>
  <c r="K52" i="4"/>
  <c r="G52" i="4"/>
  <c r="C52" i="4"/>
  <c r="W51" i="4"/>
  <c r="S51" i="4"/>
  <c r="O51" i="4"/>
  <c r="K51" i="4"/>
  <c r="G51" i="4"/>
  <c r="C51" i="4"/>
  <c r="W50" i="4"/>
  <c r="S50" i="4"/>
  <c r="O50" i="4"/>
  <c r="K50" i="4"/>
  <c r="G50" i="4"/>
  <c r="C50" i="4"/>
  <c r="W49" i="4"/>
  <c r="S49" i="4"/>
  <c r="O49" i="4"/>
  <c r="K49" i="4"/>
  <c r="G49" i="4"/>
  <c r="C49" i="4"/>
  <c r="W48" i="4"/>
  <c r="S48" i="4"/>
  <c r="O48" i="4"/>
  <c r="K48" i="4"/>
  <c r="G48" i="4"/>
  <c r="C48" i="4"/>
  <c r="W47" i="4"/>
  <c r="S47" i="4"/>
  <c r="O47" i="4"/>
  <c r="K47" i="4"/>
  <c r="G47" i="4"/>
  <c r="C47" i="4"/>
  <c r="W46" i="4"/>
  <c r="S46" i="4"/>
  <c r="O46" i="4"/>
  <c r="K46" i="4"/>
  <c r="G46" i="4"/>
  <c r="C46" i="4"/>
  <c r="W45" i="4"/>
  <c r="S45" i="4"/>
  <c r="O45" i="4"/>
  <c r="K45" i="4"/>
  <c r="G45" i="4"/>
  <c r="C45" i="4"/>
  <c r="W44" i="4"/>
  <c r="S44" i="4"/>
  <c r="O44" i="4"/>
  <c r="K44" i="4"/>
  <c r="G44" i="4"/>
  <c r="C44" i="4"/>
  <c r="W43" i="4"/>
  <c r="S43" i="4"/>
  <c r="O43" i="4"/>
  <c r="K43" i="4"/>
  <c r="G43" i="4"/>
  <c r="C43" i="4"/>
  <c r="W42" i="4"/>
  <c r="S42" i="4"/>
  <c r="O42" i="4"/>
  <c r="K42" i="4"/>
  <c r="G42" i="4"/>
  <c r="C42" i="4"/>
  <c r="W41" i="4"/>
  <c r="S41" i="4"/>
  <c r="O41" i="4"/>
  <c r="K41" i="4"/>
  <c r="G41" i="4"/>
  <c r="C41" i="4"/>
  <c r="W40" i="4"/>
  <c r="S40" i="4"/>
  <c r="O40" i="4"/>
  <c r="K40" i="4"/>
  <c r="G40" i="4"/>
  <c r="C40" i="4"/>
  <c r="W39" i="4"/>
  <c r="S39" i="4"/>
  <c r="O39" i="4"/>
  <c r="K39" i="4"/>
  <c r="G39" i="4"/>
  <c r="C39" i="4"/>
  <c r="W38" i="4"/>
  <c r="S38" i="4"/>
  <c r="O38" i="4"/>
  <c r="K38" i="4"/>
  <c r="G38" i="4"/>
  <c r="C38" i="4"/>
  <c r="W37" i="4"/>
  <c r="S37" i="4"/>
  <c r="O37" i="4"/>
  <c r="K37" i="4"/>
  <c r="G37" i="4"/>
  <c r="C37" i="4"/>
  <c r="W36" i="4"/>
  <c r="S36" i="4"/>
  <c r="O36" i="4"/>
  <c r="K36" i="4"/>
  <c r="G36" i="4"/>
  <c r="C36" i="4"/>
  <c r="W35" i="4"/>
  <c r="S35" i="4"/>
  <c r="O35" i="4"/>
  <c r="K35" i="4"/>
  <c r="G35" i="4"/>
  <c r="C35" i="4"/>
  <c r="W34" i="4"/>
  <c r="S34" i="4"/>
  <c r="O34" i="4"/>
  <c r="K34" i="4"/>
  <c r="G34" i="4"/>
  <c r="C34" i="4"/>
  <c r="W33" i="4"/>
  <c r="S33" i="4"/>
  <c r="O33" i="4"/>
  <c r="K33" i="4"/>
  <c r="G33" i="4"/>
  <c r="C33" i="4"/>
  <c r="W32" i="4"/>
  <c r="S32" i="4"/>
  <c r="O32" i="4"/>
  <c r="K32" i="4"/>
  <c r="G32" i="4"/>
  <c r="C32" i="4"/>
  <c r="W31" i="4"/>
  <c r="S31" i="4"/>
  <c r="O31" i="4"/>
  <c r="K31" i="4"/>
  <c r="G31" i="4"/>
  <c r="C31" i="4"/>
  <c r="W30" i="4"/>
  <c r="S30" i="4"/>
  <c r="O30" i="4"/>
  <c r="K30" i="4"/>
  <c r="G30" i="4"/>
  <c r="C30" i="4"/>
  <c r="W29" i="4"/>
  <c r="S29" i="4"/>
  <c r="O29" i="4"/>
  <c r="K29" i="4"/>
  <c r="G29" i="4"/>
  <c r="C29" i="4"/>
  <c r="W28" i="4"/>
  <c r="S28" i="4"/>
  <c r="O28" i="4"/>
  <c r="K28" i="4"/>
  <c r="G28" i="4"/>
  <c r="C28" i="4"/>
  <c r="W27" i="4"/>
  <c r="S27" i="4"/>
  <c r="O27" i="4"/>
  <c r="K27" i="4"/>
  <c r="G27" i="4"/>
  <c r="C27" i="4"/>
  <c r="W26" i="4"/>
  <c r="S26" i="4"/>
  <c r="O26" i="4"/>
  <c r="K26" i="4"/>
  <c r="G26" i="4"/>
  <c r="C26" i="4"/>
  <c r="W25" i="4"/>
  <c r="S25" i="4"/>
  <c r="O25" i="4"/>
  <c r="K25" i="4"/>
  <c r="G25" i="4"/>
  <c r="C25" i="4"/>
  <c r="W24" i="4"/>
  <c r="S24" i="4"/>
  <c r="O24" i="4"/>
  <c r="K24" i="4"/>
  <c r="G24" i="4"/>
  <c r="C24" i="4"/>
  <c r="W23" i="4"/>
  <c r="S23" i="4"/>
  <c r="O23" i="4"/>
  <c r="K23" i="4"/>
  <c r="G23" i="4"/>
  <c r="C23" i="4"/>
  <c r="W22" i="4"/>
  <c r="S22" i="4"/>
  <c r="O22" i="4"/>
  <c r="K22" i="4"/>
  <c r="G22" i="4"/>
  <c r="C22" i="4"/>
  <c r="W21" i="4"/>
  <c r="S21" i="4"/>
  <c r="O21" i="4"/>
  <c r="K21" i="4"/>
  <c r="G21" i="4"/>
  <c r="C21" i="4"/>
  <c r="W20" i="4"/>
  <c r="S20" i="4"/>
  <c r="O20" i="4"/>
  <c r="K20" i="4"/>
  <c r="G20" i="4"/>
  <c r="C20" i="4"/>
  <c r="W19" i="4"/>
  <c r="S19" i="4"/>
  <c r="O19" i="4"/>
  <c r="K19" i="4"/>
  <c r="G19" i="4"/>
  <c r="C19" i="4"/>
  <c r="W18" i="4"/>
  <c r="S18" i="4"/>
  <c r="O18" i="4"/>
  <c r="K18" i="4"/>
  <c r="G18" i="4"/>
  <c r="C18" i="4"/>
  <c r="W17" i="4"/>
  <c r="S17" i="4"/>
  <c r="O17" i="4"/>
  <c r="K17" i="4"/>
  <c r="G17" i="4"/>
  <c r="C17" i="4"/>
  <c r="W16" i="4"/>
  <c r="S16" i="4"/>
  <c r="O16" i="4"/>
  <c r="K16" i="4"/>
  <c r="G16" i="4"/>
  <c r="C16" i="4"/>
  <c r="W15" i="4"/>
  <c r="S15" i="4"/>
  <c r="O15" i="4"/>
  <c r="K15" i="4"/>
  <c r="G15" i="4"/>
  <c r="C15" i="4"/>
  <c r="W14" i="4"/>
  <c r="S14" i="4"/>
  <c r="O14" i="4"/>
  <c r="K14" i="4"/>
  <c r="G14" i="4"/>
  <c r="C14" i="4"/>
  <c r="W13" i="4"/>
  <c r="S13" i="4"/>
  <c r="O13" i="4"/>
  <c r="K13" i="4"/>
  <c r="G13" i="4"/>
  <c r="C13" i="4"/>
  <c r="W12" i="4"/>
  <c r="S12" i="4"/>
  <c r="O12" i="4"/>
  <c r="K12" i="4"/>
  <c r="G12" i="4"/>
  <c r="C12" i="4"/>
  <c r="W11" i="4"/>
  <c r="S11" i="4"/>
  <c r="O11" i="4"/>
  <c r="K11" i="4"/>
  <c r="G11" i="4"/>
  <c r="C11" i="4"/>
  <c r="W10" i="4"/>
  <c r="S10" i="4"/>
  <c r="O10" i="4"/>
  <c r="K10" i="4"/>
  <c r="G10" i="4"/>
  <c r="C10" i="4"/>
  <c r="W9" i="4"/>
  <c r="S9" i="4"/>
  <c r="O9" i="4"/>
  <c r="K9" i="4"/>
  <c r="G9" i="4"/>
  <c r="C9" i="4"/>
  <c r="W8" i="4"/>
  <c r="S8" i="4"/>
  <c r="O8" i="4"/>
  <c r="K8" i="4"/>
  <c r="G8" i="4"/>
  <c r="C8" i="4"/>
  <c r="W7" i="4"/>
  <c r="S7" i="4"/>
  <c r="O7" i="4"/>
  <c r="K7" i="4"/>
  <c r="G7" i="4"/>
  <c r="C7" i="4"/>
  <c r="W6" i="4"/>
  <c r="S6" i="4"/>
  <c r="O6" i="4"/>
  <c r="K6" i="4"/>
  <c r="G6" i="4"/>
  <c r="C6" i="4"/>
  <c r="W5" i="4"/>
  <c r="S5" i="4"/>
  <c r="O5" i="4"/>
  <c r="K5" i="4"/>
  <c r="G5" i="4"/>
  <c r="C5" i="4"/>
  <c r="W4" i="4"/>
  <c r="S4" i="4"/>
  <c r="O4" i="4"/>
  <c r="K4" i="4"/>
  <c r="G4" i="4"/>
  <c r="C4" i="4"/>
  <c r="W100" i="2"/>
  <c r="S100" i="2"/>
  <c r="O100" i="2"/>
  <c r="K100" i="2"/>
  <c r="G100" i="2"/>
  <c r="C100" i="2"/>
  <c r="W99" i="2"/>
  <c r="S99" i="2"/>
  <c r="O99" i="2"/>
  <c r="K99" i="2"/>
  <c r="G99" i="2"/>
  <c r="C99" i="2"/>
  <c r="W98" i="2"/>
  <c r="S98" i="2"/>
  <c r="O98" i="2"/>
  <c r="K98" i="2"/>
  <c r="G98" i="2"/>
  <c r="C98" i="2"/>
  <c r="W97" i="2"/>
  <c r="S97" i="2"/>
  <c r="O97" i="2"/>
  <c r="K97" i="2"/>
  <c r="G97" i="2"/>
  <c r="C97" i="2"/>
  <c r="W96" i="2"/>
  <c r="S96" i="2"/>
  <c r="O96" i="2"/>
  <c r="K96" i="2"/>
  <c r="G96" i="2"/>
  <c r="C96" i="2"/>
  <c r="W95" i="2"/>
  <c r="S95" i="2"/>
  <c r="O95" i="2"/>
  <c r="K95" i="2"/>
  <c r="G95" i="2"/>
  <c r="C95" i="2"/>
  <c r="W94" i="2"/>
  <c r="S94" i="2"/>
  <c r="O94" i="2"/>
  <c r="K94" i="2"/>
  <c r="G94" i="2"/>
  <c r="C94" i="2"/>
  <c r="W93" i="2"/>
  <c r="S93" i="2"/>
  <c r="O93" i="2"/>
  <c r="K93" i="2"/>
  <c r="G93" i="2"/>
  <c r="C93" i="2"/>
  <c r="W92" i="2"/>
  <c r="S92" i="2"/>
  <c r="O92" i="2"/>
  <c r="K92" i="2"/>
  <c r="G92" i="2"/>
  <c r="C92" i="2"/>
  <c r="W91" i="2"/>
  <c r="S91" i="2"/>
  <c r="O91" i="2"/>
  <c r="K91" i="2"/>
  <c r="G91" i="2"/>
  <c r="C91" i="2"/>
  <c r="W90" i="2"/>
  <c r="S90" i="2"/>
  <c r="O90" i="2"/>
  <c r="K90" i="2"/>
  <c r="G90" i="2"/>
  <c r="C90" i="2"/>
  <c r="W89" i="2"/>
  <c r="S89" i="2"/>
  <c r="O89" i="2"/>
  <c r="K89" i="2"/>
  <c r="G89" i="2"/>
  <c r="C89" i="2"/>
  <c r="W88" i="2"/>
  <c r="S88" i="2"/>
  <c r="O88" i="2"/>
  <c r="K88" i="2"/>
  <c r="G88" i="2"/>
  <c r="C88" i="2"/>
  <c r="W87" i="2"/>
  <c r="S87" i="2"/>
  <c r="O87" i="2"/>
  <c r="K87" i="2"/>
  <c r="G87" i="2"/>
  <c r="C87" i="2"/>
  <c r="W86" i="2"/>
  <c r="S86" i="2"/>
  <c r="O86" i="2"/>
  <c r="K86" i="2"/>
  <c r="G86" i="2"/>
  <c r="C86" i="2"/>
  <c r="W85" i="2"/>
  <c r="S85" i="2"/>
  <c r="O85" i="2"/>
  <c r="K85" i="2"/>
  <c r="G85" i="2"/>
  <c r="C85" i="2"/>
  <c r="W84" i="2"/>
  <c r="S84" i="2"/>
  <c r="O84" i="2"/>
  <c r="K84" i="2"/>
  <c r="G84" i="2"/>
  <c r="C84" i="2"/>
  <c r="W83" i="2"/>
  <c r="S83" i="2"/>
  <c r="O83" i="2"/>
  <c r="K83" i="2"/>
  <c r="G83" i="2"/>
  <c r="C83" i="2"/>
  <c r="W82" i="2"/>
  <c r="S82" i="2"/>
  <c r="O82" i="2"/>
  <c r="K82" i="2"/>
  <c r="G82" i="2"/>
  <c r="C82" i="2"/>
  <c r="W81" i="2"/>
  <c r="S81" i="2"/>
  <c r="O81" i="2"/>
  <c r="K81" i="2"/>
  <c r="G81" i="2"/>
  <c r="C81" i="2"/>
  <c r="W80" i="2"/>
  <c r="S80" i="2"/>
  <c r="O80" i="2"/>
  <c r="K80" i="2"/>
  <c r="G80" i="2"/>
  <c r="C80" i="2"/>
  <c r="W79" i="2"/>
  <c r="S79" i="2"/>
  <c r="O79" i="2"/>
  <c r="K79" i="2"/>
  <c r="G79" i="2"/>
  <c r="C79" i="2"/>
  <c r="W78" i="2"/>
  <c r="S78" i="2"/>
  <c r="O78" i="2"/>
  <c r="K78" i="2"/>
  <c r="G78" i="2"/>
  <c r="C78" i="2"/>
  <c r="W77" i="2"/>
  <c r="S77" i="2"/>
  <c r="O77" i="2"/>
  <c r="K77" i="2"/>
  <c r="G77" i="2"/>
  <c r="C77" i="2"/>
  <c r="W76" i="2"/>
  <c r="S76" i="2"/>
  <c r="O76" i="2"/>
  <c r="K76" i="2"/>
  <c r="G76" i="2"/>
  <c r="C76" i="2"/>
  <c r="W75" i="2"/>
  <c r="S75" i="2"/>
  <c r="O75" i="2"/>
  <c r="K75" i="2"/>
  <c r="G75" i="2"/>
  <c r="C75" i="2"/>
  <c r="W74" i="2"/>
  <c r="S74" i="2"/>
  <c r="O74" i="2"/>
  <c r="K74" i="2"/>
  <c r="G74" i="2"/>
  <c r="C74" i="2"/>
  <c r="W73" i="2"/>
  <c r="S73" i="2"/>
  <c r="O73" i="2"/>
  <c r="K73" i="2"/>
  <c r="G73" i="2"/>
  <c r="C73" i="2"/>
  <c r="W72" i="2"/>
  <c r="S72" i="2"/>
  <c r="O72" i="2"/>
  <c r="K72" i="2"/>
  <c r="G72" i="2"/>
  <c r="C72" i="2"/>
  <c r="W71" i="2"/>
  <c r="S71" i="2"/>
  <c r="O71" i="2"/>
  <c r="K71" i="2"/>
  <c r="G71" i="2"/>
  <c r="C71" i="2"/>
  <c r="W70" i="2"/>
  <c r="S70" i="2"/>
  <c r="O70" i="2"/>
  <c r="K70" i="2"/>
  <c r="G70" i="2"/>
  <c r="C70" i="2"/>
  <c r="W69" i="2"/>
  <c r="S69" i="2"/>
  <c r="O69" i="2"/>
  <c r="K69" i="2"/>
  <c r="G69" i="2"/>
  <c r="C69" i="2"/>
  <c r="W68" i="2"/>
  <c r="S68" i="2"/>
  <c r="O68" i="2"/>
  <c r="K68" i="2"/>
  <c r="G68" i="2"/>
  <c r="C68" i="2"/>
  <c r="W67" i="2"/>
  <c r="S67" i="2"/>
  <c r="O67" i="2"/>
  <c r="K67" i="2"/>
  <c r="G67" i="2"/>
  <c r="C67" i="2"/>
  <c r="W66" i="2"/>
  <c r="S66" i="2"/>
  <c r="O66" i="2"/>
  <c r="K66" i="2"/>
  <c r="G66" i="2"/>
  <c r="C66" i="2"/>
  <c r="W65" i="2"/>
  <c r="S65" i="2"/>
  <c r="O65" i="2"/>
  <c r="K65" i="2"/>
  <c r="G65" i="2"/>
  <c r="C65" i="2"/>
  <c r="W64" i="2"/>
  <c r="S64" i="2"/>
  <c r="O64" i="2"/>
  <c r="K64" i="2"/>
  <c r="G64" i="2"/>
  <c r="C64" i="2"/>
  <c r="W63" i="2"/>
  <c r="S63" i="2"/>
  <c r="O63" i="2"/>
  <c r="K63" i="2"/>
  <c r="G63" i="2"/>
  <c r="C63" i="2"/>
  <c r="W62" i="2"/>
  <c r="S62" i="2"/>
  <c r="O62" i="2"/>
  <c r="K62" i="2"/>
  <c r="G62" i="2"/>
  <c r="C62" i="2"/>
  <c r="W61" i="2"/>
  <c r="S61" i="2"/>
  <c r="O61" i="2"/>
  <c r="K61" i="2"/>
  <c r="G61" i="2"/>
  <c r="C61" i="2"/>
  <c r="W60" i="2"/>
  <c r="S60" i="2"/>
  <c r="O60" i="2"/>
  <c r="K60" i="2"/>
  <c r="G60" i="2"/>
  <c r="C60" i="2"/>
  <c r="W59" i="2"/>
  <c r="S59" i="2"/>
  <c r="O59" i="2"/>
  <c r="K59" i="2"/>
  <c r="G59" i="2"/>
  <c r="C59" i="2"/>
  <c r="W58" i="2"/>
  <c r="S58" i="2"/>
  <c r="O58" i="2"/>
  <c r="K58" i="2"/>
  <c r="G58" i="2"/>
  <c r="C58" i="2"/>
  <c r="W57" i="2"/>
  <c r="S57" i="2"/>
  <c r="O57" i="2"/>
  <c r="K57" i="2"/>
  <c r="G57" i="2"/>
  <c r="C57" i="2"/>
  <c r="W56" i="2"/>
  <c r="S56" i="2"/>
  <c r="O56" i="2"/>
  <c r="K56" i="2"/>
  <c r="G56" i="2"/>
  <c r="C56" i="2"/>
  <c r="W55" i="2"/>
  <c r="S55" i="2"/>
  <c r="O55" i="2"/>
  <c r="K55" i="2"/>
  <c r="G55" i="2"/>
  <c r="C55" i="2"/>
  <c r="W54" i="2"/>
  <c r="S54" i="2"/>
  <c r="O54" i="2"/>
  <c r="K54" i="2"/>
  <c r="G54" i="2"/>
  <c r="C54" i="2"/>
  <c r="W53" i="2"/>
  <c r="S53" i="2"/>
  <c r="O53" i="2"/>
  <c r="K53" i="2"/>
  <c r="G53" i="2"/>
  <c r="C53" i="2"/>
  <c r="W52" i="2"/>
  <c r="S52" i="2"/>
  <c r="O52" i="2"/>
  <c r="K52" i="2"/>
  <c r="G52" i="2"/>
  <c r="C52" i="2"/>
  <c r="W51" i="2"/>
  <c r="S51" i="2"/>
  <c r="O51" i="2"/>
  <c r="K51" i="2"/>
  <c r="G51" i="2"/>
  <c r="C51" i="2"/>
  <c r="W50" i="2"/>
  <c r="S50" i="2"/>
  <c r="O50" i="2"/>
  <c r="K50" i="2"/>
  <c r="G50" i="2"/>
  <c r="C50" i="2"/>
  <c r="W49" i="2"/>
  <c r="S49" i="2"/>
  <c r="O49" i="2"/>
  <c r="K49" i="2"/>
  <c r="G49" i="2"/>
  <c r="C49" i="2"/>
  <c r="W48" i="2"/>
  <c r="S48" i="2"/>
  <c r="O48" i="2"/>
  <c r="K48" i="2"/>
  <c r="G48" i="2"/>
  <c r="C48" i="2"/>
  <c r="W47" i="2"/>
  <c r="S47" i="2"/>
  <c r="O47" i="2"/>
  <c r="K47" i="2"/>
  <c r="G47" i="2"/>
  <c r="C47" i="2"/>
  <c r="W46" i="2"/>
  <c r="S46" i="2"/>
  <c r="O46" i="2"/>
  <c r="K46" i="2"/>
  <c r="G46" i="2"/>
  <c r="C46" i="2"/>
  <c r="W45" i="2"/>
  <c r="S45" i="2"/>
  <c r="O45" i="2"/>
  <c r="K45" i="2"/>
  <c r="G45" i="2"/>
  <c r="C45" i="2"/>
  <c r="W44" i="2"/>
  <c r="S44" i="2"/>
  <c r="O44" i="2"/>
  <c r="K44" i="2"/>
  <c r="G44" i="2"/>
  <c r="C44" i="2"/>
  <c r="W43" i="2"/>
  <c r="S43" i="2"/>
  <c r="O43" i="2"/>
  <c r="K43" i="2"/>
  <c r="G43" i="2"/>
  <c r="C43" i="2"/>
  <c r="W42" i="2"/>
  <c r="S42" i="2"/>
  <c r="O42" i="2"/>
  <c r="K42" i="2"/>
  <c r="G42" i="2"/>
  <c r="C42" i="2"/>
  <c r="W41" i="2"/>
  <c r="S41" i="2"/>
  <c r="O41" i="2"/>
  <c r="K41" i="2"/>
  <c r="G41" i="2"/>
  <c r="C41" i="2"/>
  <c r="W40" i="2"/>
  <c r="S40" i="2"/>
  <c r="O40" i="2"/>
  <c r="K40" i="2"/>
  <c r="G40" i="2"/>
  <c r="C40" i="2"/>
  <c r="W39" i="2"/>
  <c r="S39" i="2"/>
  <c r="O39" i="2"/>
  <c r="K39" i="2"/>
  <c r="G39" i="2"/>
  <c r="C39" i="2"/>
  <c r="W38" i="2"/>
  <c r="S38" i="2"/>
  <c r="O38" i="2"/>
  <c r="K38" i="2"/>
  <c r="G38" i="2"/>
  <c r="C38" i="2"/>
  <c r="W37" i="2"/>
  <c r="S37" i="2"/>
  <c r="O37" i="2"/>
  <c r="K37" i="2"/>
  <c r="G37" i="2"/>
  <c r="C37" i="2"/>
  <c r="W36" i="2"/>
  <c r="S36" i="2"/>
  <c r="O36" i="2"/>
  <c r="K36" i="2"/>
  <c r="G36" i="2"/>
  <c r="C36" i="2"/>
  <c r="W35" i="2"/>
  <c r="S35" i="2"/>
  <c r="O35" i="2"/>
  <c r="K35" i="2"/>
  <c r="G35" i="2"/>
  <c r="C35" i="2"/>
  <c r="W34" i="2"/>
  <c r="S34" i="2"/>
  <c r="O34" i="2"/>
  <c r="K34" i="2"/>
  <c r="G34" i="2"/>
  <c r="C34" i="2"/>
  <c r="W33" i="2"/>
  <c r="S33" i="2"/>
  <c r="O33" i="2"/>
  <c r="K33" i="2"/>
  <c r="G33" i="2"/>
  <c r="C33" i="2"/>
  <c r="W32" i="2"/>
  <c r="S32" i="2"/>
  <c r="O32" i="2"/>
  <c r="K32" i="2"/>
  <c r="G32" i="2"/>
  <c r="C32" i="2"/>
  <c r="W31" i="2"/>
  <c r="S31" i="2"/>
  <c r="O31" i="2"/>
  <c r="K31" i="2"/>
  <c r="G31" i="2"/>
  <c r="C31" i="2"/>
  <c r="W30" i="2"/>
  <c r="S30" i="2"/>
  <c r="O30" i="2"/>
  <c r="K30" i="2"/>
  <c r="G30" i="2"/>
  <c r="C30" i="2"/>
  <c r="W29" i="2"/>
  <c r="S29" i="2"/>
  <c r="O29" i="2"/>
  <c r="K29" i="2"/>
  <c r="G29" i="2"/>
  <c r="C29" i="2"/>
  <c r="W28" i="2"/>
  <c r="S28" i="2"/>
  <c r="O28" i="2"/>
  <c r="K28" i="2"/>
  <c r="G28" i="2"/>
  <c r="C28" i="2"/>
  <c r="W27" i="2"/>
  <c r="S27" i="2"/>
  <c r="O27" i="2"/>
  <c r="K27" i="2"/>
  <c r="G27" i="2"/>
  <c r="C27" i="2"/>
  <c r="W26" i="2"/>
  <c r="S26" i="2"/>
  <c r="O26" i="2"/>
  <c r="K26" i="2"/>
  <c r="G26" i="2"/>
  <c r="C26" i="2"/>
  <c r="W25" i="2"/>
  <c r="S25" i="2"/>
  <c r="O25" i="2"/>
  <c r="K25" i="2"/>
  <c r="G25" i="2"/>
  <c r="C25" i="2"/>
  <c r="W24" i="2"/>
  <c r="S24" i="2"/>
  <c r="O24" i="2"/>
  <c r="K24" i="2"/>
  <c r="G24" i="2"/>
  <c r="C24" i="2"/>
  <c r="W23" i="2"/>
  <c r="S23" i="2"/>
  <c r="O23" i="2"/>
  <c r="K23" i="2"/>
  <c r="G23" i="2"/>
  <c r="C23" i="2"/>
  <c r="W22" i="2"/>
  <c r="S22" i="2"/>
  <c r="O22" i="2"/>
  <c r="K22" i="2"/>
  <c r="G22" i="2"/>
  <c r="C22" i="2"/>
  <c r="W21" i="2"/>
  <c r="S21" i="2"/>
  <c r="O21" i="2"/>
  <c r="K21" i="2"/>
  <c r="G21" i="2"/>
  <c r="C21" i="2"/>
  <c r="W20" i="2"/>
  <c r="S20" i="2"/>
  <c r="O20" i="2"/>
  <c r="K20" i="2"/>
  <c r="G20" i="2"/>
  <c r="C20" i="2"/>
  <c r="W19" i="2"/>
  <c r="S19" i="2"/>
  <c r="O19" i="2"/>
  <c r="K19" i="2"/>
  <c r="G19" i="2"/>
  <c r="C19" i="2"/>
  <c r="W18" i="2"/>
  <c r="S18" i="2"/>
  <c r="O18" i="2"/>
  <c r="K18" i="2"/>
  <c r="G18" i="2"/>
  <c r="C18" i="2"/>
  <c r="W17" i="2"/>
  <c r="S17" i="2"/>
  <c r="O17" i="2"/>
  <c r="K17" i="2"/>
  <c r="G17" i="2"/>
  <c r="C17" i="2"/>
  <c r="W16" i="2"/>
  <c r="S16" i="2"/>
  <c r="O16" i="2"/>
  <c r="K16" i="2"/>
  <c r="G16" i="2"/>
  <c r="C16" i="2"/>
  <c r="W15" i="2"/>
  <c r="S15" i="2"/>
  <c r="O15" i="2"/>
  <c r="K15" i="2"/>
  <c r="G15" i="2"/>
  <c r="C15" i="2"/>
  <c r="W14" i="2"/>
  <c r="S14" i="2"/>
  <c r="O14" i="2"/>
  <c r="K14" i="2"/>
  <c r="G14" i="2"/>
  <c r="C14" i="2"/>
  <c r="W13" i="2"/>
  <c r="S13" i="2"/>
  <c r="O13" i="2"/>
  <c r="K13" i="2"/>
  <c r="G13" i="2"/>
  <c r="C13" i="2"/>
  <c r="W12" i="2"/>
  <c r="S12" i="2"/>
  <c r="O12" i="2"/>
  <c r="K12" i="2"/>
  <c r="G12" i="2"/>
  <c r="C12" i="2"/>
  <c r="W11" i="2"/>
  <c r="S11" i="2"/>
  <c r="O11" i="2"/>
  <c r="K11" i="2"/>
  <c r="G11" i="2"/>
  <c r="C11" i="2"/>
  <c r="W10" i="2"/>
  <c r="S10" i="2"/>
  <c r="O10" i="2"/>
  <c r="K10" i="2"/>
  <c r="G10" i="2"/>
  <c r="C10" i="2"/>
  <c r="W9" i="2"/>
  <c r="S9" i="2"/>
  <c r="O9" i="2"/>
  <c r="K9" i="2"/>
  <c r="G9" i="2"/>
  <c r="C9" i="2"/>
  <c r="W8" i="2"/>
  <c r="S8" i="2"/>
  <c r="O8" i="2"/>
  <c r="K8" i="2"/>
  <c r="G8" i="2"/>
  <c r="C8" i="2"/>
  <c r="W7" i="2"/>
  <c r="S7" i="2"/>
  <c r="O7" i="2"/>
  <c r="K7" i="2"/>
  <c r="G7" i="2"/>
  <c r="C7" i="2"/>
  <c r="W6" i="2"/>
  <c r="S6" i="2"/>
  <c r="O6" i="2"/>
  <c r="K6" i="2"/>
  <c r="G6" i="2"/>
  <c r="C6" i="2"/>
  <c r="W5" i="2"/>
  <c r="S5" i="2"/>
  <c r="O5" i="2"/>
  <c r="K5" i="2"/>
  <c r="G5" i="2"/>
  <c r="C5" i="2"/>
  <c r="W4" i="2"/>
  <c r="S4" i="2"/>
  <c r="O4" i="2"/>
  <c r="K4" i="2"/>
  <c r="G4" i="2"/>
  <c r="C4" i="2"/>
  <c r="C5" i="1"/>
  <c r="G5" i="1"/>
  <c r="K5" i="1"/>
  <c r="O5" i="1"/>
  <c r="S5" i="1"/>
  <c r="W5" i="1"/>
  <c r="C6" i="1"/>
  <c r="G6" i="1"/>
  <c r="K6" i="1"/>
  <c r="O6" i="1"/>
  <c r="S6" i="1"/>
  <c r="W6" i="1"/>
  <c r="C7" i="1"/>
  <c r="G7" i="1"/>
  <c r="K7" i="1"/>
  <c r="O7" i="1"/>
  <c r="S7" i="1"/>
  <c r="W7" i="1"/>
  <c r="C8" i="1"/>
  <c r="G8" i="1"/>
  <c r="K8" i="1"/>
  <c r="O8" i="1"/>
  <c r="S8" i="1"/>
  <c r="W8" i="1"/>
  <c r="C9" i="1"/>
  <c r="G9" i="1"/>
  <c r="K9" i="1"/>
  <c r="O9" i="1"/>
  <c r="S9" i="1"/>
  <c r="W9" i="1"/>
  <c r="C10" i="1"/>
  <c r="G10" i="1"/>
  <c r="K10" i="1"/>
  <c r="O10" i="1"/>
  <c r="S10" i="1"/>
  <c r="W10" i="1"/>
  <c r="C11" i="1"/>
  <c r="G11" i="1"/>
  <c r="K11" i="1"/>
  <c r="O11" i="1"/>
  <c r="S11" i="1"/>
  <c r="W11" i="1"/>
  <c r="C12" i="1"/>
  <c r="G12" i="1"/>
  <c r="K12" i="1"/>
  <c r="O12" i="1"/>
  <c r="S12" i="1"/>
  <c r="W12" i="1"/>
  <c r="C13" i="1"/>
  <c r="G13" i="1"/>
  <c r="K13" i="1"/>
  <c r="O13" i="1"/>
  <c r="S13" i="1"/>
  <c r="W13" i="1"/>
  <c r="C14" i="1"/>
  <c r="G14" i="1"/>
  <c r="K14" i="1"/>
  <c r="O14" i="1"/>
  <c r="S14" i="1"/>
  <c r="W14" i="1"/>
  <c r="C15" i="1"/>
  <c r="G15" i="1"/>
  <c r="K15" i="1"/>
  <c r="O15" i="1"/>
  <c r="S15" i="1"/>
  <c r="W15" i="1"/>
  <c r="C16" i="1"/>
  <c r="G16" i="1"/>
  <c r="K16" i="1"/>
  <c r="O16" i="1"/>
  <c r="S16" i="1"/>
  <c r="W16" i="1"/>
  <c r="C17" i="1"/>
  <c r="G17" i="1"/>
  <c r="K17" i="1"/>
  <c r="O17" i="1"/>
  <c r="S17" i="1"/>
  <c r="W17" i="1"/>
  <c r="C18" i="1"/>
  <c r="G18" i="1"/>
  <c r="K18" i="1"/>
  <c r="O18" i="1"/>
  <c r="S18" i="1"/>
  <c r="W18" i="1"/>
  <c r="C19" i="1"/>
  <c r="G19" i="1"/>
  <c r="K19" i="1"/>
  <c r="O19" i="1"/>
  <c r="S19" i="1"/>
  <c r="W19" i="1"/>
  <c r="C20" i="1"/>
  <c r="G20" i="1"/>
  <c r="K20" i="1"/>
  <c r="O20" i="1"/>
  <c r="S20" i="1"/>
  <c r="W20" i="1"/>
  <c r="C21" i="1"/>
  <c r="G21" i="1"/>
  <c r="K21" i="1"/>
  <c r="O21" i="1"/>
  <c r="S21" i="1"/>
  <c r="W21" i="1"/>
  <c r="C22" i="1"/>
  <c r="G22" i="1"/>
  <c r="K22" i="1"/>
  <c r="O22" i="1"/>
  <c r="S22" i="1"/>
  <c r="W22" i="1"/>
  <c r="C23" i="1"/>
  <c r="G23" i="1"/>
  <c r="K23" i="1"/>
  <c r="O23" i="1"/>
  <c r="S23" i="1"/>
  <c r="W23" i="1"/>
  <c r="C24" i="1"/>
  <c r="G24" i="1"/>
  <c r="K24" i="1"/>
  <c r="O24" i="1"/>
  <c r="S24" i="1"/>
  <c r="W24" i="1"/>
  <c r="C25" i="1"/>
  <c r="G25" i="1"/>
  <c r="K25" i="1"/>
  <c r="O25" i="1"/>
  <c r="S25" i="1"/>
  <c r="W25" i="1"/>
  <c r="C26" i="1"/>
  <c r="G26" i="1"/>
  <c r="K26" i="1"/>
  <c r="O26" i="1"/>
  <c r="S26" i="1"/>
  <c r="W26" i="1"/>
  <c r="C27" i="1"/>
  <c r="G27" i="1"/>
  <c r="K27" i="1"/>
  <c r="O27" i="1"/>
  <c r="S27" i="1"/>
  <c r="W27" i="1"/>
  <c r="C28" i="1"/>
  <c r="G28" i="1"/>
  <c r="K28" i="1"/>
  <c r="O28" i="1"/>
  <c r="S28" i="1"/>
  <c r="W28" i="1"/>
  <c r="C29" i="1"/>
  <c r="G29" i="1"/>
  <c r="K29" i="1"/>
  <c r="O29" i="1"/>
  <c r="S29" i="1"/>
  <c r="W29" i="1"/>
  <c r="C30" i="1"/>
  <c r="G30" i="1"/>
  <c r="K30" i="1"/>
  <c r="O30" i="1"/>
  <c r="S30" i="1"/>
  <c r="W30" i="1"/>
  <c r="C31" i="1"/>
  <c r="G31" i="1"/>
  <c r="K31" i="1"/>
  <c r="O31" i="1"/>
  <c r="S31" i="1"/>
  <c r="W31" i="1"/>
  <c r="C32" i="1"/>
  <c r="G32" i="1"/>
  <c r="K32" i="1"/>
  <c r="O32" i="1"/>
  <c r="S32" i="1"/>
  <c r="W32" i="1"/>
  <c r="C33" i="1"/>
  <c r="G33" i="1"/>
  <c r="K33" i="1"/>
  <c r="O33" i="1"/>
  <c r="S33" i="1"/>
  <c r="W33" i="1"/>
  <c r="C34" i="1"/>
  <c r="G34" i="1"/>
  <c r="K34" i="1"/>
  <c r="O34" i="1"/>
  <c r="S34" i="1"/>
  <c r="W34" i="1"/>
  <c r="C35" i="1"/>
  <c r="G35" i="1"/>
  <c r="K35" i="1"/>
  <c r="O35" i="1"/>
  <c r="S35" i="1"/>
  <c r="W35" i="1"/>
  <c r="C36" i="1"/>
  <c r="G36" i="1"/>
  <c r="K36" i="1"/>
  <c r="O36" i="1"/>
  <c r="S36" i="1"/>
  <c r="W36" i="1"/>
  <c r="C37" i="1"/>
  <c r="G37" i="1"/>
  <c r="K37" i="1"/>
  <c r="O37" i="1"/>
  <c r="S37" i="1"/>
  <c r="W37" i="1"/>
  <c r="C38" i="1"/>
  <c r="G38" i="1"/>
  <c r="K38" i="1"/>
  <c r="O38" i="1"/>
  <c r="S38" i="1"/>
  <c r="W38" i="1"/>
  <c r="C39" i="1"/>
  <c r="G39" i="1"/>
  <c r="K39" i="1"/>
  <c r="O39" i="1"/>
  <c r="S39" i="1"/>
  <c r="W39" i="1"/>
  <c r="C40" i="1"/>
  <c r="G40" i="1"/>
  <c r="K40" i="1"/>
  <c r="O40" i="1"/>
  <c r="S40" i="1"/>
  <c r="W40" i="1"/>
  <c r="C41" i="1"/>
  <c r="G41" i="1"/>
  <c r="K41" i="1"/>
  <c r="O41" i="1"/>
  <c r="S41" i="1"/>
  <c r="W41" i="1"/>
  <c r="C42" i="1"/>
  <c r="G42" i="1"/>
  <c r="K42" i="1"/>
  <c r="O42" i="1"/>
  <c r="S42" i="1"/>
  <c r="W42" i="1"/>
  <c r="C43" i="1"/>
  <c r="G43" i="1"/>
  <c r="K43" i="1"/>
  <c r="O43" i="1"/>
  <c r="S43" i="1"/>
  <c r="W43" i="1"/>
  <c r="C44" i="1"/>
  <c r="G44" i="1"/>
  <c r="K44" i="1"/>
  <c r="O44" i="1"/>
  <c r="S44" i="1"/>
  <c r="W44" i="1"/>
  <c r="C45" i="1"/>
  <c r="G45" i="1"/>
  <c r="K45" i="1"/>
  <c r="O45" i="1"/>
  <c r="S45" i="1"/>
  <c r="W45" i="1"/>
  <c r="C46" i="1"/>
  <c r="G46" i="1"/>
  <c r="K46" i="1"/>
  <c r="O46" i="1"/>
  <c r="S46" i="1"/>
  <c r="W46" i="1"/>
  <c r="C47" i="1"/>
  <c r="G47" i="1"/>
  <c r="K47" i="1"/>
  <c r="O47" i="1"/>
  <c r="S47" i="1"/>
  <c r="W47" i="1"/>
  <c r="C48" i="1"/>
  <c r="G48" i="1"/>
  <c r="K48" i="1"/>
  <c r="O48" i="1"/>
  <c r="S48" i="1"/>
  <c r="W48" i="1"/>
  <c r="C49" i="1"/>
  <c r="G49" i="1"/>
  <c r="K49" i="1"/>
  <c r="O49" i="1"/>
  <c r="S49" i="1"/>
  <c r="W49" i="1"/>
  <c r="C50" i="1"/>
  <c r="G50" i="1"/>
  <c r="K50" i="1"/>
  <c r="O50" i="1"/>
  <c r="S50" i="1"/>
  <c r="W50" i="1"/>
  <c r="C51" i="1"/>
  <c r="G51" i="1"/>
  <c r="K51" i="1"/>
  <c r="O51" i="1"/>
  <c r="S51" i="1"/>
  <c r="W51" i="1"/>
  <c r="C52" i="1"/>
  <c r="G52" i="1"/>
  <c r="K52" i="1"/>
  <c r="O52" i="1"/>
  <c r="S52" i="1"/>
  <c r="W52" i="1"/>
  <c r="C53" i="1"/>
  <c r="G53" i="1"/>
  <c r="K53" i="1"/>
  <c r="O53" i="1"/>
  <c r="S53" i="1"/>
  <c r="W53" i="1"/>
  <c r="C54" i="1"/>
  <c r="G54" i="1"/>
  <c r="K54" i="1"/>
  <c r="O54" i="1"/>
  <c r="S54" i="1"/>
  <c r="W54" i="1"/>
  <c r="C55" i="1"/>
  <c r="G55" i="1"/>
  <c r="K55" i="1"/>
  <c r="O55" i="1"/>
  <c r="S55" i="1"/>
  <c r="W55" i="1"/>
  <c r="C56" i="1"/>
  <c r="G56" i="1"/>
  <c r="K56" i="1"/>
  <c r="O56" i="1"/>
  <c r="S56" i="1"/>
  <c r="W56" i="1"/>
  <c r="C57" i="1"/>
  <c r="G57" i="1"/>
  <c r="K57" i="1"/>
  <c r="O57" i="1"/>
  <c r="S57" i="1"/>
  <c r="W57" i="1"/>
  <c r="C58" i="1"/>
  <c r="G58" i="1"/>
  <c r="K58" i="1"/>
  <c r="O58" i="1"/>
  <c r="S58" i="1"/>
  <c r="W58" i="1"/>
  <c r="C59" i="1"/>
  <c r="G59" i="1"/>
  <c r="K59" i="1"/>
  <c r="O59" i="1"/>
  <c r="S59" i="1"/>
  <c r="W59" i="1"/>
  <c r="C60" i="1"/>
  <c r="G60" i="1"/>
  <c r="K60" i="1"/>
  <c r="O60" i="1"/>
  <c r="S60" i="1"/>
  <c r="W60" i="1"/>
  <c r="C61" i="1"/>
  <c r="G61" i="1"/>
  <c r="K61" i="1"/>
  <c r="O61" i="1"/>
  <c r="S61" i="1"/>
  <c r="W61" i="1"/>
  <c r="C62" i="1"/>
  <c r="G62" i="1"/>
  <c r="K62" i="1"/>
  <c r="O62" i="1"/>
  <c r="S62" i="1"/>
  <c r="W62" i="1"/>
  <c r="C63" i="1"/>
  <c r="G63" i="1"/>
  <c r="K63" i="1"/>
  <c r="O63" i="1"/>
  <c r="S63" i="1"/>
  <c r="W63" i="1"/>
  <c r="C64" i="1"/>
  <c r="G64" i="1"/>
  <c r="K64" i="1"/>
  <c r="O64" i="1"/>
  <c r="S64" i="1"/>
  <c r="W64" i="1"/>
  <c r="C65" i="1"/>
  <c r="G65" i="1"/>
  <c r="K65" i="1"/>
  <c r="O65" i="1"/>
  <c r="S65" i="1"/>
  <c r="W65" i="1"/>
  <c r="C66" i="1"/>
  <c r="G66" i="1"/>
  <c r="K66" i="1"/>
  <c r="O66" i="1"/>
  <c r="S66" i="1"/>
  <c r="W66" i="1"/>
  <c r="C67" i="1"/>
  <c r="G67" i="1"/>
  <c r="K67" i="1"/>
  <c r="O67" i="1"/>
  <c r="S67" i="1"/>
  <c r="W67" i="1"/>
  <c r="C68" i="1"/>
  <c r="G68" i="1"/>
  <c r="K68" i="1"/>
  <c r="O68" i="1"/>
  <c r="S68" i="1"/>
  <c r="W68" i="1"/>
  <c r="C69" i="1"/>
  <c r="G69" i="1"/>
  <c r="K69" i="1"/>
  <c r="O69" i="1"/>
  <c r="S69" i="1"/>
  <c r="W69" i="1"/>
  <c r="C70" i="1"/>
  <c r="G70" i="1"/>
  <c r="K70" i="1"/>
  <c r="O70" i="1"/>
  <c r="S70" i="1"/>
  <c r="W70" i="1"/>
  <c r="C71" i="1"/>
  <c r="G71" i="1"/>
  <c r="K71" i="1"/>
  <c r="O71" i="1"/>
  <c r="S71" i="1"/>
  <c r="W71" i="1"/>
  <c r="C72" i="1"/>
  <c r="G72" i="1"/>
  <c r="K72" i="1"/>
  <c r="O72" i="1"/>
  <c r="S72" i="1"/>
  <c r="W72" i="1"/>
  <c r="C73" i="1"/>
  <c r="G73" i="1"/>
  <c r="K73" i="1"/>
  <c r="O73" i="1"/>
  <c r="S73" i="1"/>
  <c r="W73" i="1"/>
  <c r="C74" i="1"/>
  <c r="G74" i="1"/>
  <c r="K74" i="1"/>
  <c r="O74" i="1"/>
  <c r="S74" i="1"/>
  <c r="W74" i="1"/>
  <c r="C75" i="1"/>
  <c r="G75" i="1"/>
  <c r="K75" i="1"/>
  <c r="O75" i="1"/>
  <c r="S75" i="1"/>
  <c r="W75" i="1"/>
  <c r="C76" i="1"/>
  <c r="G76" i="1"/>
  <c r="K76" i="1"/>
  <c r="O76" i="1"/>
  <c r="S76" i="1"/>
  <c r="W76" i="1"/>
  <c r="C77" i="1"/>
  <c r="G77" i="1"/>
  <c r="K77" i="1"/>
  <c r="O77" i="1"/>
  <c r="S77" i="1"/>
  <c r="W77" i="1"/>
  <c r="C78" i="1"/>
  <c r="G78" i="1"/>
  <c r="K78" i="1"/>
  <c r="O78" i="1"/>
  <c r="S78" i="1"/>
  <c r="W78" i="1"/>
  <c r="C79" i="1"/>
  <c r="G79" i="1"/>
  <c r="K79" i="1"/>
  <c r="O79" i="1"/>
  <c r="S79" i="1"/>
  <c r="W79" i="1"/>
  <c r="C80" i="1"/>
  <c r="G80" i="1"/>
  <c r="K80" i="1"/>
  <c r="O80" i="1"/>
  <c r="S80" i="1"/>
  <c r="W80" i="1"/>
  <c r="C81" i="1"/>
  <c r="G81" i="1"/>
  <c r="K81" i="1"/>
  <c r="O81" i="1"/>
  <c r="S81" i="1"/>
  <c r="W81" i="1"/>
  <c r="C82" i="1"/>
  <c r="G82" i="1"/>
  <c r="K82" i="1"/>
  <c r="O82" i="1"/>
  <c r="S82" i="1"/>
  <c r="W82" i="1"/>
  <c r="C83" i="1"/>
  <c r="G83" i="1"/>
  <c r="K83" i="1"/>
  <c r="O83" i="1"/>
  <c r="S83" i="1"/>
  <c r="W83" i="1"/>
  <c r="C84" i="1"/>
  <c r="G84" i="1"/>
  <c r="K84" i="1"/>
  <c r="O84" i="1"/>
  <c r="S84" i="1"/>
  <c r="W84" i="1"/>
  <c r="C85" i="1"/>
  <c r="G85" i="1"/>
  <c r="K85" i="1"/>
  <c r="O85" i="1"/>
  <c r="S85" i="1"/>
  <c r="W85" i="1"/>
  <c r="C86" i="1"/>
  <c r="G86" i="1"/>
  <c r="K86" i="1"/>
  <c r="O86" i="1"/>
  <c r="S86" i="1"/>
  <c r="W86" i="1"/>
  <c r="C87" i="1"/>
  <c r="G87" i="1"/>
  <c r="K87" i="1"/>
  <c r="O87" i="1"/>
  <c r="S87" i="1"/>
  <c r="W87" i="1"/>
  <c r="C88" i="1"/>
  <c r="G88" i="1"/>
  <c r="K88" i="1"/>
  <c r="O88" i="1"/>
  <c r="S88" i="1"/>
  <c r="W88" i="1"/>
  <c r="C89" i="1"/>
  <c r="G89" i="1"/>
  <c r="K89" i="1"/>
  <c r="O89" i="1"/>
  <c r="S89" i="1"/>
  <c r="W89" i="1"/>
  <c r="C90" i="1"/>
  <c r="G90" i="1"/>
  <c r="K90" i="1"/>
  <c r="O90" i="1"/>
  <c r="S90" i="1"/>
  <c r="W90" i="1"/>
  <c r="C91" i="1"/>
  <c r="G91" i="1"/>
  <c r="K91" i="1"/>
  <c r="O91" i="1"/>
  <c r="S91" i="1"/>
  <c r="W91" i="1"/>
  <c r="C92" i="1"/>
  <c r="G92" i="1"/>
  <c r="K92" i="1"/>
  <c r="O92" i="1"/>
  <c r="S92" i="1"/>
  <c r="W92" i="1"/>
  <c r="C93" i="1"/>
  <c r="G93" i="1"/>
  <c r="K93" i="1"/>
  <c r="O93" i="1"/>
  <c r="S93" i="1"/>
  <c r="W93" i="1"/>
  <c r="C94" i="1"/>
  <c r="G94" i="1"/>
  <c r="K94" i="1"/>
  <c r="O94" i="1"/>
  <c r="S94" i="1"/>
  <c r="W94" i="1"/>
  <c r="C95" i="1"/>
  <c r="G95" i="1"/>
  <c r="K95" i="1"/>
  <c r="O95" i="1"/>
  <c r="S95" i="1"/>
  <c r="W95" i="1"/>
  <c r="C96" i="1"/>
  <c r="G96" i="1"/>
  <c r="K96" i="1"/>
  <c r="O96" i="1"/>
  <c r="S96" i="1"/>
  <c r="W96" i="1"/>
  <c r="C97" i="1"/>
  <c r="G97" i="1"/>
  <c r="K97" i="1"/>
  <c r="O97" i="1"/>
  <c r="S97" i="1"/>
  <c r="W97" i="1"/>
  <c r="C98" i="1"/>
  <c r="G98" i="1"/>
  <c r="K98" i="1"/>
  <c r="O98" i="1"/>
  <c r="S98" i="1"/>
  <c r="W98" i="1"/>
  <c r="C99" i="1"/>
  <c r="G99" i="1"/>
  <c r="K99" i="1"/>
  <c r="O99" i="1"/>
  <c r="S99" i="1"/>
  <c r="W99" i="1"/>
  <c r="C100" i="1"/>
  <c r="G100" i="1"/>
  <c r="K100" i="1"/>
  <c r="O100" i="1"/>
  <c r="S100" i="1"/>
  <c r="W100" i="1"/>
  <c r="W4" i="1"/>
  <c r="S4" i="1"/>
  <c r="O4" i="1"/>
  <c r="K4" i="1"/>
  <c r="G4" i="1"/>
  <c r="C4" i="1"/>
  <c r="G5" i="3"/>
  <c r="K5" i="3"/>
  <c r="O5" i="3"/>
  <c r="S5" i="3"/>
  <c r="W5" i="3"/>
  <c r="G6" i="3"/>
  <c r="K6" i="3"/>
  <c r="O6" i="3"/>
  <c r="S6" i="3"/>
  <c r="W6" i="3"/>
  <c r="G7" i="3"/>
  <c r="K7" i="3"/>
  <c r="O7" i="3"/>
  <c r="S7" i="3"/>
  <c r="W7" i="3"/>
  <c r="G8" i="3"/>
  <c r="K8" i="3"/>
  <c r="O8" i="3"/>
  <c r="S8" i="3"/>
  <c r="W8" i="3"/>
  <c r="G9" i="3"/>
  <c r="K9" i="3"/>
  <c r="O9" i="3"/>
  <c r="S9" i="3"/>
  <c r="W9" i="3"/>
  <c r="G10" i="3"/>
  <c r="K10" i="3"/>
  <c r="O10" i="3"/>
  <c r="S10" i="3"/>
  <c r="W10" i="3"/>
  <c r="G11" i="3"/>
  <c r="K11" i="3"/>
  <c r="O11" i="3"/>
  <c r="S11" i="3"/>
  <c r="W11" i="3"/>
  <c r="G12" i="3"/>
  <c r="K12" i="3"/>
  <c r="O12" i="3"/>
  <c r="S12" i="3"/>
  <c r="W12" i="3"/>
  <c r="G13" i="3"/>
  <c r="K13" i="3"/>
  <c r="O13" i="3"/>
  <c r="S13" i="3"/>
  <c r="W13" i="3"/>
  <c r="G14" i="3"/>
  <c r="K14" i="3"/>
  <c r="O14" i="3"/>
  <c r="S14" i="3"/>
  <c r="W14" i="3"/>
  <c r="G15" i="3"/>
  <c r="K15" i="3"/>
  <c r="O15" i="3"/>
  <c r="S15" i="3"/>
  <c r="W15" i="3"/>
  <c r="G16" i="3"/>
  <c r="K16" i="3"/>
  <c r="O16" i="3"/>
  <c r="S16" i="3"/>
  <c r="W16" i="3"/>
  <c r="G17" i="3"/>
  <c r="K17" i="3"/>
  <c r="O17" i="3"/>
  <c r="S17" i="3"/>
  <c r="W17" i="3"/>
  <c r="G18" i="3"/>
  <c r="K18" i="3"/>
  <c r="O18" i="3"/>
  <c r="S18" i="3"/>
  <c r="W18" i="3"/>
  <c r="G19" i="3"/>
  <c r="K19" i="3"/>
  <c r="O19" i="3"/>
  <c r="S19" i="3"/>
  <c r="W19" i="3"/>
  <c r="G20" i="3"/>
  <c r="K20" i="3"/>
  <c r="O20" i="3"/>
  <c r="S20" i="3"/>
  <c r="W20" i="3"/>
  <c r="G21" i="3"/>
  <c r="K21" i="3"/>
  <c r="O21" i="3"/>
  <c r="S21" i="3"/>
  <c r="W21" i="3"/>
  <c r="G22" i="3"/>
  <c r="K22" i="3"/>
  <c r="O22" i="3"/>
  <c r="S22" i="3"/>
  <c r="W22" i="3"/>
  <c r="G23" i="3"/>
  <c r="K23" i="3"/>
  <c r="O23" i="3"/>
  <c r="S23" i="3"/>
  <c r="W23" i="3"/>
  <c r="G24" i="3"/>
  <c r="K24" i="3"/>
  <c r="O24" i="3"/>
  <c r="S24" i="3"/>
  <c r="W24" i="3"/>
  <c r="G25" i="3"/>
  <c r="K25" i="3"/>
  <c r="O25" i="3"/>
  <c r="S25" i="3"/>
  <c r="W25" i="3"/>
  <c r="G26" i="3"/>
  <c r="K26" i="3"/>
  <c r="O26" i="3"/>
  <c r="S26" i="3"/>
  <c r="W26" i="3"/>
  <c r="G27" i="3"/>
  <c r="K27" i="3"/>
  <c r="O27" i="3"/>
  <c r="S27" i="3"/>
  <c r="W27" i="3"/>
  <c r="G28" i="3"/>
  <c r="K28" i="3"/>
  <c r="O28" i="3"/>
  <c r="S28" i="3"/>
  <c r="W28" i="3"/>
  <c r="G29" i="3"/>
  <c r="K29" i="3"/>
  <c r="O29" i="3"/>
  <c r="S29" i="3"/>
  <c r="W29" i="3"/>
  <c r="G30" i="3"/>
  <c r="K30" i="3"/>
  <c r="O30" i="3"/>
  <c r="S30" i="3"/>
  <c r="W30" i="3"/>
  <c r="G31" i="3"/>
  <c r="K31" i="3"/>
  <c r="O31" i="3"/>
  <c r="S31" i="3"/>
  <c r="W31" i="3"/>
  <c r="G32" i="3"/>
  <c r="K32" i="3"/>
  <c r="O32" i="3"/>
  <c r="S32" i="3"/>
  <c r="W32" i="3"/>
  <c r="G33" i="3"/>
  <c r="K33" i="3"/>
  <c r="O33" i="3"/>
  <c r="S33" i="3"/>
  <c r="W33" i="3"/>
  <c r="G34" i="3"/>
  <c r="K34" i="3"/>
  <c r="O34" i="3"/>
  <c r="S34" i="3"/>
  <c r="W34" i="3"/>
  <c r="G35" i="3"/>
  <c r="K35" i="3"/>
  <c r="O35" i="3"/>
  <c r="S35" i="3"/>
  <c r="W35" i="3"/>
  <c r="G36" i="3"/>
  <c r="K36" i="3"/>
  <c r="O36" i="3"/>
  <c r="S36" i="3"/>
  <c r="W36" i="3"/>
  <c r="G37" i="3"/>
  <c r="K37" i="3"/>
  <c r="O37" i="3"/>
  <c r="S37" i="3"/>
  <c r="W37" i="3"/>
  <c r="G38" i="3"/>
  <c r="K38" i="3"/>
  <c r="O38" i="3"/>
  <c r="S38" i="3"/>
  <c r="W38" i="3"/>
  <c r="G39" i="3"/>
  <c r="K39" i="3"/>
  <c r="O39" i="3"/>
  <c r="S39" i="3"/>
  <c r="W39" i="3"/>
  <c r="G40" i="3"/>
  <c r="K40" i="3"/>
  <c r="O40" i="3"/>
  <c r="S40" i="3"/>
  <c r="W40" i="3"/>
  <c r="G41" i="3"/>
  <c r="K41" i="3"/>
  <c r="O41" i="3"/>
  <c r="S41" i="3"/>
  <c r="W41" i="3"/>
  <c r="G42" i="3"/>
  <c r="K42" i="3"/>
  <c r="O42" i="3"/>
  <c r="S42" i="3"/>
  <c r="W42" i="3"/>
  <c r="G43" i="3"/>
  <c r="K43" i="3"/>
  <c r="O43" i="3"/>
  <c r="S43" i="3"/>
  <c r="W43" i="3"/>
  <c r="G44" i="3"/>
  <c r="K44" i="3"/>
  <c r="O44" i="3"/>
  <c r="S44" i="3"/>
  <c r="W44" i="3"/>
  <c r="G45" i="3"/>
  <c r="K45" i="3"/>
  <c r="O45" i="3"/>
  <c r="S45" i="3"/>
  <c r="W45" i="3"/>
  <c r="G46" i="3"/>
  <c r="K46" i="3"/>
  <c r="O46" i="3"/>
  <c r="S46" i="3"/>
  <c r="W46" i="3"/>
  <c r="G47" i="3"/>
  <c r="K47" i="3"/>
  <c r="O47" i="3"/>
  <c r="S47" i="3"/>
  <c r="W47" i="3"/>
  <c r="G48" i="3"/>
  <c r="K48" i="3"/>
  <c r="O48" i="3"/>
  <c r="S48" i="3"/>
  <c r="W48" i="3"/>
  <c r="G49" i="3"/>
  <c r="K49" i="3"/>
  <c r="O49" i="3"/>
  <c r="S49" i="3"/>
  <c r="W49" i="3"/>
  <c r="G50" i="3"/>
  <c r="K50" i="3"/>
  <c r="O50" i="3"/>
  <c r="S50" i="3"/>
  <c r="W50" i="3"/>
  <c r="G51" i="3"/>
  <c r="K51" i="3"/>
  <c r="O51" i="3"/>
  <c r="S51" i="3"/>
  <c r="W51" i="3"/>
  <c r="G52" i="3"/>
  <c r="K52" i="3"/>
  <c r="O52" i="3"/>
  <c r="S52" i="3"/>
  <c r="W52" i="3"/>
  <c r="G53" i="3"/>
  <c r="K53" i="3"/>
  <c r="O53" i="3"/>
  <c r="S53" i="3"/>
  <c r="W53" i="3"/>
  <c r="G54" i="3"/>
  <c r="K54" i="3"/>
  <c r="O54" i="3"/>
  <c r="S54" i="3"/>
  <c r="W54" i="3"/>
  <c r="G55" i="3"/>
  <c r="K55" i="3"/>
  <c r="O55" i="3"/>
  <c r="S55" i="3"/>
  <c r="W55" i="3"/>
  <c r="G56" i="3"/>
  <c r="K56" i="3"/>
  <c r="O56" i="3"/>
  <c r="S56" i="3"/>
  <c r="W56" i="3"/>
  <c r="G57" i="3"/>
  <c r="K57" i="3"/>
  <c r="O57" i="3"/>
  <c r="S57" i="3"/>
  <c r="W57" i="3"/>
  <c r="G58" i="3"/>
  <c r="K58" i="3"/>
  <c r="O58" i="3"/>
  <c r="S58" i="3"/>
  <c r="W58" i="3"/>
  <c r="G59" i="3"/>
  <c r="K59" i="3"/>
  <c r="O59" i="3"/>
  <c r="S59" i="3"/>
  <c r="W59" i="3"/>
  <c r="G60" i="3"/>
  <c r="K60" i="3"/>
  <c r="O60" i="3"/>
  <c r="S60" i="3"/>
  <c r="W60" i="3"/>
  <c r="G61" i="3"/>
  <c r="K61" i="3"/>
  <c r="O61" i="3"/>
  <c r="S61" i="3"/>
  <c r="W61" i="3"/>
  <c r="G62" i="3"/>
  <c r="K62" i="3"/>
  <c r="O62" i="3"/>
  <c r="S62" i="3"/>
  <c r="W62" i="3"/>
  <c r="G63" i="3"/>
  <c r="K63" i="3"/>
  <c r="O63" i="3"/>
  <c r="S63" i="3"/>
  <c r="W63" i="3"/>
  <c r="G64" i="3"/>
  <c r="K64" i="3"/>
  <c r="O64" i="3"/>
  <c r="S64" i="3"/>
  <c r="W64" i="3"/>
  <c r="G65" i="3"/>
  <c r="K65" i="3"/>
  <c r="O65" i="3"/>
  <c r="S65" i="3"/>
  <c r="W65" i="3"/>
  <c r="G66" i="3"/>
  <c r="K66" i="3"/>
  <c r="O66" i="3"/>
  <c r="S66" i="3"/>
  <c r="W66" i="3"/>
  <c r="G67" i="3"/>
  <c r="K67" i="3"/>
  <c r="O67" i="3"/>
  <c r="S67" i="3"/>
  <c r="W67" i="3"/>
  <c r="G68" i="3"/>
  <c r="K68" i="3"/>
  <c r="O68" i="3"/>
  <c r="S68" i="3"/>
  <c r="W68" i="3"/>
  <c r="G69" i="3"/>
  <c r="K69" i="3"/>
  <c r="O69" i="3"/>
  <c r="S69" i="3"/>
  <c r="W69" i="3"/>
  <c r="G70" i="3"/>
  <c r="K70" i="3"/>
  <c r="O70" i="3"/>
  <c r="S70" i="3"/>
  <c r="W70" i="3"/>
  <c r="G71" i="3"/>
  <c r="K71" i="3"/>
  <c r="O71" i="3"/>
  <c r="S71" i="3"/>
  <c r="W71" i="3"/>
  <c r="G72" i="3"/>
  <c r="K72" i="3"/>
  <c r="O72" i="3"/>
  <c r="S72" i="3"/>
  <c r="W72" i="3"/>
  <c r="G73" i="3"/>
  <c r="K73" i="3"/>
  <c r="O73" i="3"/>
  <c r="S73" i="3"/>
  <c r="W73" i="3"/>
  <c r="G74" i="3"/>
  <c r="K74" i="3"/>
  <c r="O74" i="3"/>
  <c r="S74" i="3"/>
  <c r="W74" i="3"/>
  <c r="G75" i="3"/>
  <c r="K75" i="3"/>
  <c r="O75" i="3"/>
  <c r="S75" i="3"/>
  <c r="W75" i="3"/>
  <c r="G76" i="3"/>
  <c r="K76" i="3"/>
  <c r="O76" i="3"/>
  <c r="S76" i="3"/>
  <c r="W76" i="3"/>
  <c r="G77" i="3"/>
  <c r="K77" i="3"/>
  <c r="O77" i="3"/>
  <c r="S77" i="3"/>
  <c r="W77" i="3"/>
  <c r="G78" i="3"/>
  <c r="K78" i="3"/>
  <c r="O78" i="3"/>
  <c r="S78" i="3"/>
  <c r="W78" i="3"/>
  <c r="G79" i="3"/>
  <c r="K79" i="3"/>
  <c r="O79" i="3"/>
  <c r="S79" i="3"/>
  <c r="W79" i="3"/>
  <c r="G80" i="3"/>
  <c r="K80" i="3"/>
  <c r="O80" i="3"/>
  <c r="S80" i="3"/>
  <c r="W80" i="3"/>
  <c r="G81" i="3"/>
  <c r="K81" i="3"/>
  <c r="O81" i="3"/>
  <c r="S81" i="3"/>
  <c r="W81" i="3"/>
  <c r="G82" i="3"/>
  <c r="K82" i="3"/>
  <c r="O82" i="3"/>
  <c r="S82" i="3"/>
  <c r="W82" i="3"/>
  <c r="G83" i="3"/>
  <c r="K83" i="3"/>
  <c r="O83" i="3"/>
  <c r="S83" i="3"/>
  <c r="W83" i="3"/>
  <c r="G84" i="3"/>
  <c r="K84" i="3"/>
  <c r="O84" i="3"/>
  <c r="S84" i="3"/>
  <c r="W84" i="3"/>
  <c r="G85" i="3"/>
  <c r="K85" i="3"/>
  <c r="O85" i="3"/>
  <c r="S85" i="3"/>
  <c r="W85" i="3"/>
  <c r="G86" i="3"/>
  <c r="K86" i="3"/>
  <c r="O86" i="3"/>
  <c r="S86" i="3"/>
  <c r="W86" i="3"/>
  <c r="G87" i="3"/>
  <c r="K87" i="3"/>
  <c r="O87" i="3"/>
  <c r="S87" i="3"/>
  <c r="W87" i="3"/>
  <c r="G88" i="3"/>
  <c r="K88" i="3"/>
  <c r="O88" i="3"/>
  <c r="S88" i="3"/>
  <c r="W88" i="3"/>
  <c r="G89" i="3"/>
  <c r="K89" i="3"/>
  <c r="O89" i="3"/>
  <c r="S89" i="3"/>
  <c r="W89" i="3"/>
  <c r="G90" i="3"/>
  <c r="K90" i="3"/>
  <c r="O90" i="3"/>
  <c r="S90" i="3"/>
  <c r="W90" i="3"/>
  <c r="G91" i="3"/>
  <c r="K91" i="3"/>
  <c r="O91" i="3"/>
  <c r="S91" i="3"/>
  <c r="W91" i="3"/>
  <c r="G92" i="3"/>
  <c r="K92" i="3"/>
  <c r="O92" i="3"/>
  <c r="S92" i="3"/>
  <c r="W92" i="3"/>
  <c r="G93" i="3"/>
  <c r="K93" i="3"/>
  <c r="O93" i="3"/>
  <c r="S93" i="3"/>
  <c r="W93" i="3"/>
  <c r="G94" i="3"/>
  <c r="K94" i="3"/>
  <c r="O94" i="3"/>
  <c r="S94" i="3"/>
  <c r="W94" i="3"/>
  <c r="G95" i="3"/>
  <c r="K95" i="3"/>
  <c r="O95" i="3"/>
  <c r="S95" i="3"/>
  <c r="W95" i="3"/>
  <c r="G96" i="3"/>
  <c r="K96" i="3"/>
  <c r="O96" i="3"/>
  <c r="S96" i="3"/>
  <c r="W96" i="3"/>
  <c r="G97" i="3"/>
  <c r="K97" i="3"/>
  <c r="O97" i="3"/>
  <c r="S97" i="3"/>
  <c r="W97" i="3"/>
  <c r="G98" i="3"/>
  <c r="K98" i="3"/>
  <c r="O98" i="3"/>
  <c r="S98" i="3"/>
  <c r="W98" i="3"/>
  <c r="G99" i="3"/>
  <c r="K99" i="3"/>
  <c r="O99" i="3"/>
  <c r="S99" i="3"/>
  <c r="W99" i="3"/>
  <c r="G100" i="3"/>
  <c r="K100" i="3"/>
  <c r="O100" i="3"/>
  <c r="S100" i="3"/>
  <c r="W100" i="3"/>
  <c r="W4" i="3"/>
  <c r="S4" i="3"/>
  <c r="O4" i="3"/>
  <c r="K4" i="3"/>
  <c r="G4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29" i="3"/>
  <c r="C30" i="3"/>
  <c r="C31" i="3"/>
  <c r="C32" i="3"/>
  <c r="C33" i="3"/>
  <c r="C34" i="3"/>
  <c r="C35" i="3"/>
  <c r="C36" i="3"/>
  <c r="C37" i="3"/>
  <c r="C28" i="3"/>
  <c r="C17" i="3"/>
  <c r="C4" i="3"/>
  <c r="O2488" i="12"/>
  <c r="P2488" i="12" s="1"/>
  <c r="K2488" i="12"/>
  <c r="L2488" i="12" s="1"/>
  <c r="O2487" i="12"/>
  <c r="P2487" i="12" s="1"/>
  <c r="K2487" i="12"/>
  <c r="L2487" i="12" s="1"/>
  <c r="O2486" i="12"/>
  <c r="P2486" i="12" s="1"/>
  <c r="K2486" i="12"/>
  <c r="L2486" i="12" s="1"/>
  <c r="O2485" i="12"/>
  <c r="P2485" i="12" s="1"/>
  <c r="K2485" i="12"/>
  <c r="L2485" i="12" s="1"/>
  <c r="O2484" i="12"/>
  <c r="P2484" i="12" s="1"/>
  <c r="K2484" i="12"/>
  <c r="L2484" i="12" s="1"/>
  <c r="O2483" i="12"/>
  <c r="P2483" i="12" s="1"/>
  <c r="K2483" i="12"/>
  <c r="L2483" i="12" s="1"/>
  <c r="O2482" i="12"/>
  <c r="P2482" i="12" s="1"/>
  <c r="K2482" i="12"/>
  <c r="L2482" i="12" s="1"/>
  <c r="P2481" i="12"/>
  <c r="O2481" i="12"/>
  <c r="K2481" i="12"/>
  <c r="L2481" i="12" s="1"/>
  <c r="O2480" i="12"/>
  <c r="P2480" i="12" s="1"/>
  <c r="K2480" i="12"/>
  <c r="L2480" i="12" s="1"/>
  <c r="O2479" i="12"/>
  <c r="P2479" i="12" s="1"/>
  <c r="K2479" i="12"/>
  <c r="L2479" i="12" s="1"/>
  <c r="O2478" i="12"/>
  <c r="P2478" i="12" s="1"/>
  <c r="L2478" i="12"/>
  <c r="K2478" i="12"/>
  <c r="O2477" i="12"/>
  <c r="P2477" i="12" s="1"/>
  <c r="K2477" i="12"/>
  <c r="L2477" i="12" s="1"/>
  <c r="O2476" i="12"/>
  <c r="P2476" i="12" s="1"/>
  <c r="K2476" i="12"/>
  <c r="L2476" i="12" s="1"/>
  <c r="O2475" i="12"/>
  <c r="P2475" i="12" s="1"/>
  <c r="K2475" i="12"/>
  <c r="L2475" i="12" s="1"/>
  <c r="P2474" i="12"/>
  <c r="O2474" i="12"/>
  <c r="K2474" i="12"/>
  <c r="L2474" i="12" s="1"/>
  <c r="O2473" i="12"/>
  <c r="P2473" i="12" s="1"/>
  <c r="K2473" i="12"/>
  <c r="L2473" i="12" s="1"/>
  <c r="O2472" i="12"/>
  <c r="P2472" i="12" s="1"/>
  <c r="K2472" i="12"/>
  <c r="L2472" i="12" s="1"/>
  <c r="O2471" i="12"/>
  <c r="P2471" i="12" s="1"/>
  <c r="L2471" i="12"/>
  <c r="K2471" i="12"/>
  <c r="O2470" i="12"/>
  <c r="P2470" i="12" s="1"/>
  <c r="K2470" i="12"/>
  <c r="L2470" i="12" s="1"/>
  <c r="O2469" i="12"/>
  <c r="P2469" i="12" s="1"/>
  <c r="K2469" i="12"/>
  <c r="L2469" i="12" s="1"/>
  <c r="O2468" i="12"/>
  <c r="P2468" i="12" s="1"/>
  <c r="K2468" i="12"/>
  <c r="L2468" i="12" s="1"/>
  <c r="O2467" i="12"/>
  <c r="P2467" i="12" s="1"/>
  <c r="K2467" i="12"/>
  <c r="L2467" i="12" s="1"/>
  <c r="O2466" i="12"/>
  <c r="P2466" i="12" s="1"/>
  <c r="K2466" i="12"/>
  <c r="L2466" i="12" s="1"/>
  <c r="O2465" i="12"/>
  <c r="P2465" i="12" s="1"/>
  <c r="K2465" i="12"/>
  <c r="L2465" i="12" s="1"/>
  <c r="O2464" i="12"/>
  <c r="P2464" i="12" s="1"/>
  <c r="K2464" i="12"/>
  <c r="L2464" i="12" s="1"/>
  <c r="P2463" i="12"/>
  <c r="O2463" i="12"/>
  <c r="K2463" i="12"/>
  <c r="L2463" i="12" s="1"/>
  <c r="O2462" i="12"/>
  <c r="P2462" i="12" s="1"/>
  <c r="K2462" i="12"/>
  <c r="L2462" i="12" s="1"/>
  <c r="O2461" i="12"/>
  <c r="P2461" i="12" s="1"/>
  <c r="K2461" i="12"/>
  <c r="L2461" i="12" s="1"/>
  <c r="O2460" i="12"/>
  <c r="P2460" i="12" s="1"/>
  <c r="L2460" i="12"/>
  <c r="K2460" i="12"/>
  <c r="O2459" i="12"/>
  <c r="P2459" i="12" s="1"/>
  <c r="K2459" i="12"/>
  <c r="L2459" i="12" s="1"/>
  <c r="O2458" i="12"/>
  <c r="P2458" i="12" s="1"/>
  <c r="K2458" i="12"/>
  <c r="L2458" i="12" s="1"/>
  <c r="O2457" i="12"/>
  <c r="P2457" i="12" s="1"/>
  <c r="K2457" i="12"/>
  <c r="L2457" i="12" s="1"/>
  <c r="P2456" i="12"/>
  <c r="O2456" i="12"/>
  <c r="K2456" i="12"/>
  <c r="L2456" i="12" s="1"/>
  <c r="O2455" i="12"/>
  <c r="P2455" i="12" s="1"/>
  <c r="K2455" i="12"/>
  <c r="L2455" i="12" s="1"/>
  <c r="O2454" i="12"/>
  <c r="P2454" i="12" s="1"/>
  <c r="K2454" i="12"/>
  <c r="L2454" i="12" s="1"/>
  <c r="P2453" i="12"/>
  <c r="L2453" i="12"/>
  <c r="K2453" i="12"/>
  <c r="P2452" i="12"/>
  <c r="K2452" i="12"/>
  <c r="L2452" i="12" s="1"/>
  <c r="P2451" i="12"/>
  <c r="K2451" i="12"/>
  <c r="L2451" i="12" s="1"/>
  <c r="P2450" i="12"/>
  <c r="K2450" i="12"/>
  <c r="L2450" i="12" s="1"/>
  <c r="P2449" i="12"/>
  <c r="K2449" i="12"/>
  <c r="L2449" i="12" s="1"/>
  <c r="P2448" i="12"/>
  <c r="K2448" i="12"/>
  <c r="L2448" i="12" s="1"/>
  <c r="P2447" i="12"/>
  <c r="L2447" i="12"/>
  <c r="K2447" i="12"/>
  <c r="P2446" i="12"/>
  <c r="K2446" i="12"/>
  <c r="L2446" i="12" s="1"/>
  <c r="P2445" i="12"/>
  <c r="L2445" i="12"/>
  <c r="K2445" i="12"/>
  <c r="P2444" i="12"/>
  <c r="K2444" i="12"/>
  <c r="L2444" i="12" s="1"/>
  <c r="P2443" i="12"/>
  <c r="L2443" i="12"/>
  <c r="K2443" i="12"/>
  <c r="P2442" i="12"/>
  <c r="K2442" i="12"/>
  <c r="L2442" i="12" s="1"/>
  <c r="P2441" i="12"/>
  <c r="K2441" i="12"/>
  <c r="L2441" i="12" s="1"/>
  <c r="P2440" i="12"/>
  <c r="K2440" i="12"/>
  <c r="L2440" i="12" s="1"/>
  <c r="P2439" i="12"/>
  <c r="K2439" i="12"/>
  <c r="L2439" i="12" s="1"/>
  <c r="P2438" i="12"/>
  <c r="L2438" i="12"/>
  <c r="K2438" i="12"/>
  <c r="P2437" i="12"/>
  <c r="K2437" i="12"/>
  <c r="L2437" i="12" s="1"/>
  <c r="P2436" i="12"/>
  <c r="K2436" i="12"/>
  <c r="L2436" i="12" s="1"/>
  <c r="P2435" i="12"/>
  <c r="K2435" i="12"/>
  <c r="L2435" i="12" s="1"/>
  <c r="P2434" i="12"/>
  <c r="K2434" i="12"/>
  <c r="L2434" i="12" s="1"/>
  <c r="P2433" i="12"/>
  <c r="L2433" i="12"/>
  <c r="K2433" i="12"/>
  <c r="P2432" i="12"/>
  <c r="K2432" i="12"/>
  <c r="L2432" i="12" s="1"/>
  <c r="P2431" i="12"/>
  <c r="K2431" i="12"/>
  <c r="L2431" i="12" s="1"/>
  <c r="P2430" i="12"/>
  <c r="K2430" i="12"/>
  <c r="L2430" i="12" s="1"/>
  <c r="P2429" i="12"/>
  <c r="K2429" i="12"/>
  <c r="L2429" i="12" s="1"/>
  <c r="P2428" i="12"/>
  <c r="K2428" i="12"/>
  <c r="L2428" i="12" s="1"/>
  <c r="P2427" i="12"/>
  <c r="K2427" i="12"/>
  <c r="L2427" i="12" s="1"/>
  <c r="P2426" i="12"/>
  <c r="L2426" i="12"/>
  <c r="K2426" i="12"/>
  <c r="P2425" i="12"/>
  <c r="K2425" i="12"/>
  <c r="L2425" i="12" s="1"/>
  <c r="P2424" i="12"/>
  <c r="K2424" i="12"/>
  <c r="L2424" i="12" s="1"/>
  <c r="P2423" i="12"/>
  <c r="K2423" i="12"/>
  <c r="L2423" i="12" s="1"/>
  <c r="P2422" i="12"/>
  <c r="K2422" i="12"/>
  <c r="L2422" i="12" s="1"/>
  <c r="P2421" i="12"/>
  <c r="K2421" i="12"/>
  <c r="L2421" i="12" s="1"/>
  <c r="P2420" i="12"/>
  <c r="K2420" i="12"/>
  <c r="L2420" i="12" s="1"/>
  <c r="P2419" i="12"/>
  <c r="K2419" i="12"/>
  <c r="L2419" i="12" s="1"/>
  <c r="P2418" i="12"/>
  <c r="K2418" i="12"/>
  <c r="L2418" i="12" s="1"/>
  <c r="P2417" i="12"/>
  <c r="L2417" i="12"/>
  <c r="K2417" i="12"/>
  <c r="P2416" i="12"/>
  <c r="K2416" i="12"/>
  <c r="L2416" i="12" s="1"/>
  <c r="P2415" i="12"/>
  <c r="K2415" i="12"/>
  <c r="L2415" i="12" s="1"/>
  <c r="P2414" i="12"/>
  <c r="K2414" i="12"/>
  <c r="L2414" i="12" s="1"/>
  <c r="P2413" i="12"/>
  <c r="K2413" i="12"/>
  <c r="L2413" i="12" s="1"/>
  <c r="P2412" i="12"/>
  <c r="K2412" i="12"/>
  <c r="L2412" i="12" s="1"/>
  <c r="O2411" i="12"/>
  <c r="P2411" i="12" s="1"/>
  <c r="K2411" i="12"/>
  <c r="L2411" i="12" s="1"/>
  <c r="O2410" i="12"/>
  <c r="P2410" i="12" s="1"/>
  <c r="K2410" i="12"/>
  <c r="L2410" i="12" s="1"/>
  <c r="O2409" i="12"/>
  <c r="P2409" i="12" s="1"/>
  <c r="K2409" i="12"/>
  <c r="L2409" i="12" s="1"/>
  <c r="O2408" i="12"/>
  <c r="P2408" i="12" s="1"/>
  <c r="K2408" i="12"/>
  <c r="L2408" i="12" s="1"/>
  <c r="O2407" i="12"/>
  <c r="P2407" i="12" s="1"/>
  <c r="K2407" i="12"/>
  <c r="L2407" i="12" s="1"/>
  <c r="O2406" i="12"/>
  <c r="P2406" i="12" s="1"/>
  <c r="K2406" i="12"/>
  <c r="L2406" i="12" s="1"/>
  <c r="O2405" i="12"/>
  <c r="P2405" i="12" s="1"/>
  <c r="L2405" i="12"/>
  <c r="K2405" i="12"/>
  <c r="O2404" i="12"/>
  <c r="P2404" i="12" s="1"/>
  <c r="K2404" i="12"/>
  <c r="L2404" i="12" s="1"/>
  <c r="O2403" i="12"/>
  <c r="P2403" i="12" s="1"/>
  <c r="K2403" i="12"/>
  <c r="L2403" i="12" s="1"/>
  <c r="O2402" i="12"/>
  <c r="P2402" i="12" s="1"/>
  <c r="K2402" i="12"/>
  <c r="L2402" i="12" s="1"/>
  <c r="P2401" i="12"/>
  <c r="O2401" i="12"/>
  <c r="K2401" i="12"/>
  <c r="L2401" i="12" s="1"/>
  <c r="O2400" i="12"/>
  <c r="P2400" i="12" s="1"/>
  <c r="K2400" i="12"/>
  <c r="L2400" i="12" s="1"/>
  <c r="O2399" i="12"/>
  <c r="P2399" i="12" s="1"/>
  <c r="K2399" i="12"/>
  <c r="L2399" i="12" s="1"/>
  <c r="O2398" i="12"/>
  <c r="P2398" i="12" s="1"/>
  <c r="K2398" i="12"/>
  <c r="L2398" i="12" s="1"/>
  <c r="P2397" i="12"/>
  <c r="O2397" i="12"/>
  <c r="K2397" i="12"/>
  <c r="L2397" i="12" s="1"/>
  <c r="O2396" i="12"/>
  <c r="P2396" i="12" s="1"/>
  <c r="K2396" i="12"/>
  <c r="L2396" i="12" s="1"/>
  <c r="O2395" i="12"/>
  <c r="P2395" i="12" s="1"/>
  <c r="K2395" i="12"/>
  <c r="L2395" i="12" s="1"/>
  <c r="O2394" i="12"/>
  <c r="P2394" i="12" s="1"/>
  <c r="K2394" i="12"/>
  <c r="L2394" i="12" s="1"/>
  <c r="O2393" i="12"/>
  <c r="P2393" i="12" s="1"/>
  <c r="L2393" i="12"/>
  <c r="K2393" i="12"/>
  <c r="O2392" i="12"/>
  <c r="P2392" i="12" s="1"/>
  <c r="K2392" i="12"/>
  <c r="L2392" i="12" s="1"/>
  <c r="O2391" i="12"/>
  <c r="P2391" i="12" s="1"/>
  <c r="K2391" i="12"/>
  <c r="L2391" i="12" s="1"/>
  <c r="O2390" i="12"/>
  <c r="P2390" i="12" s="1"/>
  <c r="L2390" i="12"/>
  <c r="K2390" i="12"/>
  <c r="P2389" i="12"/>
  <c r="O2389" i="12"/>
  <c r="K2389" i="12"/>
  <c r="L2389" i="12" s="1"/>
  <c r="O2388" i="12"/>
  <c r="P2388" i="12" s="1"/>
  <c r="K2388" i="12"/>
  <c r="L2388" i="12" s="1"/>
  <c r="O2387" i="12"/>
  <c r="P2387" i="12" s="1"/>
  <c r="K2387" i="12"/>
  <c r="L2387" i="12" s="1"/>
  <c r="O2386" i="12"/>
  <c r="P2386" i="12" s="1"/>
  <c r="K2386" i="12"/>
  <c r="L2386" i="12" s="1"/>
  <c r="O2385" i="12"/>
  <c r="P2385" i="12" s="1"/>
  <c r="K2385" i="12"/>
  <c r="L2385" i="12" s="1"/>
  <c r="O2384" i="12"/>
  <c r="P2384" i="12" s="1"/>
  <c r="K2384" i="12"/>
  <c r="L2384" i="12" s="1"/>
  <c r="O2383" i="12"/>
  <c r="P2383" i="12" s="1"/>
  <c r="K2383" i="12"/>
  <c r="L2383" i="12" s="1"/>
  <c r="O2382" i="12"/>
  <c r="P2382" i="12" s="1"/>
  <c r="K2382" i="12"/>
  <c r="L2382" i="12" s="1"/>
  <c r="O2381" i="12"/>
  <c r="P2381" i="12" s="1"/>
  <c r="K2381" i="12"/>
  <c r="L2381" i="12" s="1"/>
  <c r="O2380" i="12"/>
  <c r="P2380" i="12" s="1"/>
  <c r="K2380" i="12"/>
  <c r="L2380" i="12" s="1"/>
  <c r="O2379" i="12"/>
  <c r="P2379" i="12" s="1"/>
  <c r="K2379" i="12"/>
  <c r="L2379" i="12" s="1"/>
  <c r="O2378" i="12"/>
  <c r="P2378" i="12" s="1"/>
  <c r="L2378" i="12"/>
  <c r="K2378" i="12"/>
  <c r="P2377" i="12"/>
  <c r="O2377" i="12"/>
  <c r="K2377" i="12"/>
  <c r="L2377" i="12" s="1"/>
  <c r="O2376" i="12"/>
  <c r="P2376" i="12" s="1"/>
  <c r="K2376" i="12"/>
  <c r="L2376" i="12" s="1"/>
  <c r="P2375" i="12"/>
  <c r="O2375" i="12"/>
  <c r="K2375" i="12"/>
  <c r="L2375" i="12" s="1"/>
  <c r="O2374" i="12"/>
  <c r="P2374" i="12" s="1"/>
  <c r="K2374" i="12"/>
  <c r="L2374" i="12" s="1"/>
  <c r="O2373" i="12"/>
  <c r="P2373" i="12" s="1"/>
  <c r="K2373" i="12"/>
  <c r="L2373" i="12" s="1"/>
  <c r="O2372" i="12"/>
  <c r="P2372" i="12" s="1"/>
  <c r="K2372" i="12"/>
  <c r="L2372" i="12" s="1"/>
  <c r="O2371" i="12"/>
  <c r="P2371" i="12" s="1"/>
  <c r="L2371" i="12"/>
  <c r="K2371" i="12"/>
  <c r="O2370" i="12"/>
  <c r="P2370" i="12" s="1"/>
  <c r="K2370" i="12"/>
  <c r="L2370" i="12" s="1"/>
  <c r="O2369" i="12"/>
  <c r="P2369" i="12" s="1"/>
  <c r="K2369" i="12"/>
  <c r="L2369" i="12" s="1"/>
  <c r="O2368" i="12"/>
  <c r="P2368" i="12" s="1"/>
  <c r="L2368" i="12"/>
  <c r="K2368" i="12"/>
  <c r="O2367" i="12"/>
  <c r="P2367" i="12" s="1"/>
  <c r="K2367" i="12"/>
  <c r="L2367" i="12" s="1"/>
  <c r="P2366" i="12"/>
  <c r="O2366" i="12"/>
  <c r="K2366" i="12"/>
  <c r="L2366" i="12" s="1"/>
  <c r="P2365" i="12"/>
  <c r="O2365" i="12"/>
  <c r="L2365" i="12"/>
  <c r="K2365" i="12"/>
  <c r="O2364" i="12"/>
  <c r="P2364" i="12" s="1"/>
  <c r="K2364" i="12"/>
  <c r="L2364" i="12" s="1"/>
  <c r="P2363" i="12"/>
  <c r="O2363" i="12"/>
  <c r="K2363" i="12"/>
  <c r="L2363" i="12" s="1"/>
  <c r="O2362" i="12"/>
  <c r="P2362" i="12" s="1"/>
  <c r="K2362" i="12"/>
  <c r="L2362" i="12" s="1"/>
  <c r="O2361" i="12"/>
  <c r="P2361" i="12" s="1"/>
  <c r="K2361" i="12"/>
  <c r="L2361" i="12" s="1"/>
  <c r="O2360" i="12"/>
  <c r="P2360" i="12" s="1"/>
  <c r="K2360" i="12"/>
  <c r="L2360" i="12" s="1"/>
  <c r="O2359" i="12"/>
  <c r="P2359" i="12" s="1"/>
  <c r="L2359" i="12"/>
  <c r="K2359" i="12"/>
  <c r="P2358" i="12"/>
  <c r="O2358" i="12"/>
  <c r="K2358" i="12"/>
  <c r="L2358" i="12" s="1"/>
  <c r="O2357" i="12"/>
  <c r="P2357" i="12" s="1"/>
  <c r="K2357" i="12"/>
  <c r="L2357" i="12" s="1"/>
  <c r="O2356" i="12"/>
  <c r="P2356" i="12" s="1"/>
  <c r="K2356" i="12"/>
  <c r="L2356" i="12" s="1"/>
  <c r="O2355" i="12"/>
  <c r="P2355" i="12" s="1"/>
  <c r="K2355" i="12"/>
  <c r="L2355" i="12" s="1"/>
  <c r="O2354" i="12"/>
  <c r="P2354" i="12" s="1"/>
  <c r="K2354" i="12"/>
  <c r="L2354" i="12" s="1"/>
  <c r="O2353" i="12"/>
  <c r="P2353" i="12" s="1"/>
  <c r="K2353" i="12"/>
  <c r="L2353" i="12" s="1"/>
  <c r="P2352" i="12"/>
  <c r="O2352" i="12"/>
  <c r="K2352" i="12"/>
  <c r="L2352" i="12" s="1"/>
  <c r="O2351" i="12"/>
  <c r="P2351" i="12" s="1"/>
  <c r="K2351" i="12"/>
  <c r="L2351" i="12" s="1"/>
  <c r="O2350" i="12"/>
  <c r="P2350" i="12" s="1"/>
  <c r="K2350" i="12"/>
  <c r="L2350" i="12" s="1"/>
  <c r="P2349" i="12"/>
  <c r="O2349" i="12"/>
  <c r="K2349" i="12"/>
  <c r="L2349" i="12" s="1"/>
  <c r="O2348" i="12"/>
  <c r="P2348" i="12" s="1"/>
  <c r="K2348" i="12"/>
  <c r="L2348" i="12" s="1"/>
  <c r="O2347" i="12"/>
  <c r="P2347" i="12" s="1"/>
  <c r="L2347" i="12"/>
  <c r="K2347" i="12"/>
  <c r="O2346" i="12"/>
  <c r="P2346" i="12" s="1"/>
  <c r="K2346" i="12"/>
  <c r="L2346" i="12" s="1"/>
  <c r="O2345" i="12"/>
  <c r="P2345" i="12" s="1"/>
  <c r="K2345" i="12"/>
  <c r="L2345" i="12" s="1"/>
  <c r="O2344" i="12"/>
  <c r="P2344" i="12" s="1"/>
  <c r="K2344" i="12"/>
  <c r="L2344" i="12" s="1"/>
  <c r="O2343" i="12"/>
  <c r="P2343" i="12" s="1"/>
  <c r="K2343" i="12"/>
  <c r="L2343" i="12" s="1"/>
  <c r="P2342" i="12"/>
  <c r="O2342" i="12"/>
  <c r="L2342" i="12"/>
  <c r="K2342" i="12"/>
  <c r="P2341" i="12"/>
  <c r="O2341" i="12"/>
  <c r="K2341" i="12"/>
  <c r="L2341" i="12" s="1"/>
  <c r="P2340" i="12"/>
  <c r="O2340" i="12"/>
  <c r="K2340" i="12"/>
  <c r="L2340" i="12" s="1"/>
  <c r="O2339" i="12"/>
  <c r="P2339" i="12" s="1"/>
  <c r="K2339" i="12"/>
  <c r="L2339" i="12" s="1"/>
  <c r="P2338" i="12"/>
  <c r="O2338" i="12"/>
  <c r="K2338" i="12"/>
  <c r="L2338" i="12" s="1"/>
  <c r="O2337" i="12"/>
  <c r="P2337" i="12" s="1"/>
  <c r="K2337" i="12"/>
  <c r="L2337" i="12" s="1"/>
  <c r="O2336" i="12"/>
  <c r="P2336" i="12" s="1"/>
  <c r="L2336" i="12"/>
  <c r="K2336" i="12"/>
  <c r="O2335" i="12"/>
  <c r="P2335" i="12" s="1"/>
  <c r="K2335" i="12"/>
  <c r="L2335" i="12" s="1"/>
  <c r="P2334" i="12"/>
  <c r="O2334" i="12"/>
  <c r="K2334" i="12"/>
  <c r="L2334" i="12" s="1"/>
  <c r="O2333" i="12"/>
  <c r="P2333" i="12" s="1"/>
  <c r="K2333" i="12"/>
  <c r="L2333" i="12" s="1"/>
  <c r="O2332" i="12"/>
  <c r="P2332" i="12" s="1"/>
  <c r="K2332" i="12"/>
  <c r="L2332" i="12" s="1"/>
  <c r="O2331" i="12"/>
  <c r="P2331" i="12" s="1"/>
  <c r="K2331" i="12"/>
  <c r="L2331" i="12" s="1"/>
  <c r="P2330" i="12"/>
  <c r="O2330" i="12"/>
  <c r="K2330" i="12"/>
  <c r="L2330" i="12" s="1"/>
  <c r="P2329" i="12"/>
  <c r="O2329" i="12"/>
  <c r="L2329" i="12"/>
  <c r="K2329" i="12"/>
  <c r="O2328" i="12"/>
  <c r="P2328" i="12" s="1"/>
  <c r="K2328" i="12"/>
  <c r="L2328" i="12" s="1"/>
  <c r="P2327" i="12"/>
  <c r="O2327" i="12"/>
  <c r="K2327" i="12"/>
  <c r="L2327" i="12" s="1"/>
  <c r="O2326" i="12"/>
  <c r="P2326" i="12" s="1"/>
  <c r="K2326" i="12"/>
  <c r="L2326" i="12" s="1"/>
  <c r="O2325" i="12"/>
  <c r="P2325" i="12" s="1"/>
  <c r="K2325" i="12"/>
  <c r="L2325" i="12" s="1"/>
  <c r="O2324" i="12"/>
  <c r="P2324" i="12" s="1"/>
  <c r="K2324" i="12"/>
  <c r="L2324" i="12" s="1"/>
  <c r="O2323" i="12"/>
  <c r="P2323" i="12" s="1"/>
  <c r="K2323" i="12"/>
  <c r="L2323" i="12" s="1"/>
  <c r="O2322" i="12"/>
  <c r="P2322" i="12" s="1"/>
  <c r="K2322" i="12"/>
  <c r="L2322" i="12" s="1"/>
  <c r="O2321" i="12"/>
  <c r="P2321" i="12" s="1"/>
  <c r="K2321" i="12"/>
  <c r="L2321" i="12" s="1"/>
  <c r="O2320" i="12"/>
  <c r="P2320" i="12" s="1"/>
  <c r="K2320" i="12"/>
  <c r="L2320" i="12" s="1"/>
  <c r="O2319" i="12"/>
  <c r="P2319" i="12" s="1"/>
  <c r="K2319" i="12"/>
  <c r="L2319" i="12" s="1"/>
  <c r="O2318" i="12"/>
  <c r="P2318" i="12" s="1"/>
  <c r="K2318" i="12"/>
  <c r="L2318" i="12" s="1"/>
  <c r="P2317" i="12"/>
  <c r="O2317" i="12"/>
  <c r="L2317" i="12"/>
  <c r="K2317" i="12"/>
  <c r="P2316" i="12"/>
  <c r="O2316" i="12"/>
  <c r="K2316" i="12"/>
  <c r="L2316" i="12" s="1"/>
  <c r="O2315" i="12"/>
  <c r="P2315" i="12" s="1"/>
  <c r="K2315" i="12"/>
  <c r="L2315" i="12" s="1"/>
  <c r="O2314" i="12"/>
  <c r="P2314" i="12" s="1"/>
  <c r="K2314" i="12"/>
  <c r="L2314" i="12" s="1"/>
  <c r="O2313" i="12"/>
  <c r="P2313" i="12" s="1"/>
  <c r="K2313" i="12"/>
  <c r="L2313" i="12" s="1"/>
  <c r="P2312" i="12"/>
  <c r="O2312" i="12"/>
  <c r="L2312" i="12"/>
  <c r="K2312" i="12"/>
  <c r="O2311" i="12"/>
  <c r="P2311" i="12" s="1"/>
  <c r="K2311" i="12"/>
  <c r="L2311" i="12" s="1"/>
  <c r="O2310" i="12"/>
  <c r="P2310" i="12" s="1"/>
  <c r="K2310" i="12"/>
  <c r="L2310" i="12" s="1"/>
  <c r="O2309" i="12"/>
  <c r="P2309" i="12" s="1"/>
  <c r="L2309" i="12"/>
  <c r="K2309" i="12"/>
  <c r="O2308" i="12"/>
  <c r="P2308" i="12" s="1"/>
  <c r="L2308" i="12"/>
  <c r="K2308" i="12"/>
  <c r="O2307" i="12"/>
  <c r="P2307" i="12" s="1"/>
  <c r="K2307" i="12"/>
  <c r="L2307" i="12" s="1"/>
  <c r="P2306" i="12"/>
  <c r="O2306" i="12"/>
  <c r="K2306" i="12"/>
  <c r="L2306" i="12" s="1"/>
  <c r="O2305" i="12"/>
  <c r="P2305" i="12" s="1"/>
  <c r="K2305" i="12"/>
  <c r="L2305" i="12" s="1"/>
  <c r="P2304" i="12"/>
  <c r="O2304" i="12"/>
  <c r="K2304" i="12"/>
  <c r="L2304" i="12" s="1"/>
  <c r="O2303" i="12"/>
  <c r="P2303" i="12" s="1"/>
  <c r="K2303" i="12"/>
  <c r="L2303" i="12" s="1"/>
  <c r="O2302" i="12"/>
  <c r="P2302" i="12" s="1"/>
  <c r="K2302" i="12"/>
  <c r="L2302" i="12" s="1"/>
  <c r="P2301" i="12"/>
  <c r="O2301" i="12"/>
  <c r="K2301" i="12"/>
  <c r="L2301" i="12" s="1"/>
  <c r="O2300" i="12"/>
  <c r="P2300" i="12" s="1"/>
  <c r="L2300" i="12"/>
  <c r="K2300" i="12"/>
  <c r="O2299" i="12"/>
  <c r="P2299" i="12" s="1"/>
  <c r="K2299" i="12"/>
  <c r="L2299" i="12" s="1"/>
  <c r="O2298" i="12"/>
  <c r="P2298" i="12" s="1"/>
  <c r="K2298" i="12"/>
  <c r="L2298" i="12" s="1"/>
  <c r="O2297" i="12"/>
  <c r="P2297" i="12" s="1"/>
  <c r="L2297" i="12"/>
  <c r="K2297" i="12"/>
  <c r="O2296" i="12"/>
  <c r="P2296" i="12" s="1"/>
  <c r="K2296" i="12"/>
  <c r="L2296" i="12" s="1"/>
  <c r="O2295" i="12"/>
  <c r="P2295" i="12" s="1"/>
  <c r="K2295" i="12"/>
  <c r="L2295" i="12" s="1"/>
  <c r="P2294" i="12"/>
  <c r="O2294" i="12"/>
  <c r="K2294" i="12"/>
  <c r="L2294" i="12" s="1"/>
  <c r="P2293" i="12"/>
  <c r="O2293" i="12"/>
  <c r="K2293" i="12"/>
  <c r="L2293" i="12" s="1"/>
  <c r="O2292" i="12"/>
  <c r="P2292" i="12" s="1"/>
  <c r="K2292" i="12"/>
  <c r="L2292" i="12" s="1"/>
  <c r="O2291" i="12"/>
  <c r="P2291" i="12" s="1"/>
  <c r="K2291" i="12"/>
  <c r="L2291" i="12" s="1"/>
  <c r="P2290" i="12"/>
  <c r="O2290" i="12"/>
  <c r="K2290" i="12"/>
  <c r="L2290" i="12" s="1"/>
  <c r="O2289" i="12"/>
  <c r="P2289" i="12" s="1"/>
  <c r="K2289" i="12"/>
  <c r="L2289" i="12" s="1"/>
  <c r="O2288" i="12"/>
  <c r="P2288" i="12" s="1"/>
  <c r="K2288" i="12"/>
  <c r="L2288" i="12" s="1"/>
  <c r="P2287" i="12"/>
  <c r="O2287" i="12"/>
  <c r="K2287" i="12"/>
  <c r="L2287" i="12" s="1"/>
  <c r="O2286" i="12"/>
  <c r="P2286" i="12" s="1"/>
  <c r="K2286" i="12"/>
  <c r="L2286" i="12" s="1"/>
  <c r="O2285" i="12"/>
  <c r="P2285" i="12" s="1"/>
  <c r="K2285" i="12"/>
  <c r="L2285" i="12" s="1"/>
  <c r="O2284" i="12"/>
  <c r="P2284" i="12" s="1"/>
  <c r="K2284" i="12"/>
  <c r="L2284" i="12" s="1"/>
  <c r="O2283" i="12"/>
  <c r="P2283" i="12" s="1"/>
  <c r="K2283" i="12"/>
  <c r="L2283" i="12" s="1"/>
  <c r="O2282" i="12"/>
  <c r="P2282" i="12" s="1"/>
  <c r="K2282" i="12"/>
  <c r="L2282" i="12" s="1"/>
  <c r="O2281" i="12"/>
  <c r="P2281" i="12" s="1"/>
  <c r="K2281" i="12"/>
  <c r="L2281" i="12" s="1"/>
  <c r="P2280" i="12"/>
  <c r="O2280" i="12"/>
  <c r="K2280" i="12"/>
  <c r="L2280" i="12" s="1"/>
  <c r="O2279" i="12"/>
  <c r="P2279" i="12" s="1"/>
  <c r="K2279" i="12"/>
  <c r="L2279" i="12" s="1"/>
  <c r="P2278" i="12"/>
  <c r="O2278" i="12"/>
  <c r="K2278" i="12"/>
  <c r="L2278" i="12" s="1"/>
  <c r="O2277" i="12"/>
  <c r="P2277" i="12" s="1"/>
  <c r="K2277" i="12"/>
  <c r="L2277" i="12" s="1"/>
  <c r="O2276" i="12"/>
  <c r="P2276" i="12" s="1"/>
  <c r="K2276" i="12"/>
  <c r="L2276" i="12" s="1"/>
  <c r="O2275" i="12"/>
  <c r="P2275" i="12" s="1"/>
  <c r="K2275" i="12"/>
  <c r="L2275" i="12" s="1"/>
  <c r="O2274" i="12"/>
  <c r="P2274" i="12" s="1"/>
  <c r="K2274" i="12"/>
  <c r="L2274" i="12" s="1"/>
  <c r="O2273" i="12"/>
  <c r="P2273" i="12" s="1"/>
  <c r="K2273" i="12"/>
  <c r="L2273" i="12" s="1"/>
  <c r="O2272" i="12"/>
  <c r="P2272" i="12" s="1"/>
  <c r="K2272" i="12"/>
  <c r="L2272" i="12" s="1"/>
  <c r="O2271" i="12"/>
  <c r="P2271" i="12" s="1"/>
  <c r="K2271" i="12"/>
  <c r="L2271" i="12" s="1"/>
  <c r="O2270" i="12"/>
  <c r="P2270" i="12" s="1"/>
  <c r="K2270" i="12"/>
  <c r="L2270" i="12" s="1"/>
  <c r="P2269" i="12"/>
  <c r="O2269" i="12"/>
  <c r="L2269" i="12"/>
  <c r="K2269" i="12"/>
  <c r="O2268" i="12"/>
  <c r="P2268" i="12" s="1"/>
  <c r="K2268" i="12"/>
  <c r="L2268" i="12" s="1"/>
  <c r="O2267" i="12"/>
  <c r="P2267" i="12" s="1"/>
  <c r="K2267" i="12"/>
  <c r="L2267" i="12" s="1"/>
  <c r="O2266" i="12"/>
  <c r="P2266" i="12" s="1"/>
  <c r="K2266" i="12"/>
  <c r="L2266" i="12" s="1"/>
  <c r="O2265" i="12"/>
  <c r="P2265" i="12" s="1"/>
  <c r="K2265" i="12"/>
  <c r="L2265" i="12" s="1"/>
  <c r="P2264" i="12"/>
  <c r="O2264" i="12"/>
  <c r="K2264" i="12"/>
  <c r="L2264" i="12" s="1"/>
  <c r="O2263" i="12"/>
  <c r="P2263" i="12" s="1"/>
  <c r="L2263" i="12"/>
  <c r="K2263" i="12"/>
  <c r="O2262" i="12"/>
  <c r="P2262" i="12" s="1"/>
  <c r="K2262" i="12"/>
  <c r="L2262" i="12" s="1"/>
  <c r="O2261" i="12"/>
  <c r="P2261" i="12" s="1"/>
  <c r="K2261" i="12"/>
  <c r="L2261" i="12" s="1"/>
  <c r="O2260" i="12"/>
  <c r="P2260" i="12" s="1"/>
  <c r="K2260" i="12"/>
  <c r="L2260" i="12" s="1"/>
  <c r="O2259" i="12"/>
  <c r="P2259" i="12" s="1"/>
  <c r="K2259" i="12"/>
  <c r="L2259" i="12" s="1"/>
  <c r="P2258" i="12"/>
  <c r="O2258" i="12"/>
  <c r="K2258" i="12"/>
  <c r="L2258" i="12" s="1"/>
  <c r="O2257" i="12"/>
  <c r="P2257" i="12" s="1"/>
  <c r="K2257" i="12"/>
  <c r="L2257" i="12" s="1"/>
  <c r="P2256" i="12"/>
  <c r="O2256" i="12"/>
  <c r="K2256" i="12"/>
  <c r="L2256" i="12" s="1"/>
  <c r="O2255" i="12"/>
  <c r="P2255" i="12" s="1"/>
  <c r="K2255" i="12"/>
  <c r="L2255" i="12" s="1"/>
  <c r="O2254" i="12"/>
  <c r="P2254" i="12" s="1"/>
  <c r="K2254" i="12"/>
  <c r="L2254" i="12" s="1"/>
  <c r="O2253" i="12"/>
  <c r="P2253" i="12" s="1"/>
  <c r="K2253" i="12"/>
  <c r="L2253" i="12" s="1"/>
  <c r="P2252" i="12"/>
  <c r="O2252" i="12"/>
  <c r="L2252" i="12"/>
  <c r="K2252" i="12"/>
  <c r="O2251" i="12"/>
  <c r="P2251" i="12" s="1"/>
  <c r="K2251" i="12"/>
  <c r="L2251" i="12" s="1"/>
  <c r="O2250" i="12"/>
  <c r="P2250" i="12" s="1"/>
  <c r="K2250" i="12"/>
  <c r="L2250" i="12" s="1"/>
  <c r="O2249" i="12"/>
  <c r="P2249" i="12" s="1"/>
  <c r="K2249" i="12"/>
  <c r="L2249" i="12" s="1"/>
  <c r="O2248" i="12"/>
  <c r="P2248" i="12" s="1"/>
  <c r="K2248" i="12"/>
  <c r="L2248" i="12" s="1"/>
  <c r="O2247" i="12"/>
  <c r="P2247" i="12" s="1"/>
  <c r="K2247" i="12"/>
  <c r="L2247" i="12" s="1"/>
  <c r="O2246" i="12"/>
  <c r="P2246" i="12" s="1"/>
  <c r="K2246" i="12"/>
  <c r="L2246" i="12" s="1"/>
  <c r="P2245" i="12"/>
  <c r="O2245" i="12"/>
  <c r="K2245" i="12"/>
  <c r="L2245" i="12" s="1"/>
  <c r="O2244" i="12"/>
  <c r="P2244" i="12" s="1"/>
  <c r="K2244" i="12"/>
  <c r="L2244" i="12" s="1"/>
  <c r="O2243" i="12"/>
  <c r="P2243" i="12" s="1"/>
  <c r="K2243" i="12"/>
  <c r="L2243" i="12" s="1"/>
  <c r="O2242" i="12"/>
  <c r="P2242" i="12" s="1"/>
  <c r="K2242" i="12"/>
  <c r="L2242" i="12" s="1"/>
  <c r="O2241" i="12"/>
  <c r="P2241" i="12" s="1"/>
  <c r="K2241" i="12"/>
  <c r="L2241" i="12" s="1"/>
  <c r="O2240" i="12"/>
  <c r="P2240" i="12" s="1"/>
  <c r="L2240" i="12"/>
  <c r="K2240" i="12"/>
  <c r="O2239" i="12"/>
  <c r="P2239" i="12" s="1"/>
  <c r="L2239" i="12"/>
  <c r="K2239" i="12"/>
  <c r="O2238" i="12"/>
  <c r="P2238" i="12" s="1"/>
  <c r="K2238" i="12"/>
  <c r="L2238" i="12" s="1"/>
  <c r="O2237" i="12"/>
  <c r="P2237" i="12" s="1"/>
  <c r="K2237" i="12"/>
  <c r="L2237" i="12" s="1"/>
  <c r="O2236" i="12"/>
  <c r="P2236" i="12" s="1"/>
  <c r="K2236" i="12"/>
  <c r="L2236" i="12" s="1"/>
  <c r="O2235" i="12"/>
  <c r="P2235" i="12" s="1"/>
  <c r="K2235" i="12"/>
  <c r="L2235" i="12" s="1"/>
  <c r="O2234" i="12"/>
  <c r="P2234" i="12" s="1"/>
  <c r="K2234" i="12"/>
  <c r="L2234" i="12" s="1"/>
  <c r="O2233" i="12"/>
  <c r="P2233" i="12" s="1"/>
  <c r="K2233" i="12"/>
  <c r="L2233" i="12" s="1"/>
  <c r="P2232" i="12"/>
  <c r="O2232" i="12"/>
  <c r="K2232" i="12"/>
  <c r="L2232" i="12" s="1"/>
  <c r="O2231" i="12"/>
  <c r="P2231" i="12" s="1"/>
  <c r="K2231" i="12"/>
  <c r="L2231" i="12" s="1"/>
  <c r="P2230" i="12"/>
  <c r="O2230" i="12"/>
  <c r="K2230" i="12"/>
  <c r="L2230" i="12" s="1"/>
  <c r="O2229" i="12"/>
  <c r="P2229" i="12" s="1"/>
  <c r="K2229" i="12"/>
  <c r="L2229" i="12" s="1"/>
  <c r="O2228" i="12"/>
  <c r="P2228" i="12" s="1"/>
  <c r="L2228" i="12"/>
  <c r="K2228" i="12"/>
  <c r="O2227" i="12"/>
  <c r="P2227" i="12" s="1"/>
  <c r="K2227" i="12"/>
  <c r="L2227" i="12" s="1"/>
  <c r="O2226" i="12"/>
  <c r="P2226" i="12" s="1"/>
  <c r="K2226" i="12"/>
  <c r="L2226" i="12" s="1"/>
  <c r="O2225" i="12"/>
  <c r="P2225" i="12" s="1"/>
  <c r="K2225" i="12"/>
  <c r="L2225" i="12" s="1"/>
  <c r="O2224" i="12"/>
  <c r="P2224" i="12" s="1"/>
  <c r="L2224" i="12"/>
  <c r="K2224" i="12"/>
  <c r="O2223" i="12"/>
  <c r="P2223" i="12" s="1"/>
  <c r="K2223" i="12"/>
  <c r="L2223" i="12" s="1"/>
  <c r="O2222" i="12"/>
  <c r="P2222" i="12" s="1"/>
  <c r="K2222" i="12"/>
  <c r="L2222" i="12" s="1"/>
  <c r="O2221" i="12"/>
  <c r="P2221" i="12" s="1"/>
  <c r="K2221" i="12"/>
  <c r="L2221" i="12" s="1"/>
  <c r="O2220" i="12"/>
  <c r="P2220" i="12" s="1"/>
  <c r="L2220" i="12"/>
  <c r="K2220" i="12"/>
  <c r="O2219" i="12"/>
  <c r="P2219" i="12" s="1"/>
  <c r="L2219" i="12"/>
  <c r="K2219" i="12"/>
  <c r="O2218" i="12"/>
  <c r="P2218" i="12" s="1"/>
  <c r="K2218" i="12"/>
  <c r="L2218" i="12" s="1"/>
  <c r="O2217" i="12"/>
  <c r="P2217" i="12" s="1"/>
  <c r="K2217" i="12"/>
  <c r="L2217" i="12" s="1"/>
  <c r="O2216" i="12"/>
  <c r="P2216" i="12" s="1"/>
  <c r="K2216" i="12"/>
  <c r="L2216" i="12" s="1"/>
  <c r="O2215" i="12"/>
  <c r="P2215" i="12" s="1"/>
  <c r="L2215" i="12"/>
  <c r="K2215" i="12"/>
  <c r="O2214" i="12"/>
  <c r="P2214" i="12" s="1"/>
  <c r="K2214" i="12"/>
  <c r="L2214" i="12" s="1"/>
  <c r="O2213" i="12"/>
  <c r="P2213" i="12" s="1"/>
  <c r="K2213" i="12"/>
  <c r="L2213" i="12" s="1"/>
  <c r="O2212" i="12"/>
  <c r="P2212" i="12" s="1"/>
  <c r="K2212" i="12"/>
  <c r="L2212" i="12" s="1"/>
  <c r="O2211" i="12"/>
  <c r="P2211" i="12" s="1"/>
  <c r="K2211" i="12"/>
  <c r="L2211" i="12" s="1"/>
  <c r="O2210" i="12"/>
  <c r="P2210" i="12" s="1"/>
  <c r="K2210" i="12"/>
  <c r="L2210" i="12" s="1"/>
  <c r="O2209" i="12"/>
  <c r="P2209" i="12" s="1"/>
  <c r="K2209" i="12"/>
  <c r="L2209" i="12" s="1"/>
  <c r="O2208" i="12"/>
  <c r="P2208" i="12" s="1"/>
  <c r="K2208" i="12"/>
  <c r="L2208" i="12" s="1"/>
  <c r="O2207" i="12"/>
  <c r="P2207" i="12" s="1"/>
  <c r="L2207" i="12"/>
  <c r="K2207" i="12"/>
  <c r="O2206" i="12"/>
  <c r="P2206" i="12" s="1"/>
  <c r="K2206" i="12"/>
  <c r="L2206" i="12" s="1"/>
  <c r="O2205" i="12"/>
  <c r="P2205" i="12" s="1"/>
  <c r="K2205" i="12"/>
  <c r="L2205" i="12" s="1"/>
  <c r="O2204" i="12"/>
  <c r="P2204" i="12" s="1"/>
  <c r="K2204" i="12"/>
  <c r="L2204" i="12" s="1"/>
  <c r="O2203" i="12"/>
  <c r="P2203" i="12" s="1"/>
  <c r="L2203" i="12"/>
  <c r="K2203" i="12"/>
  <c r="O2202" i="12"/>
  <c r="P2202" i="12" s="1"/>
  <c r="K2202" i="12"/>
  <c r="L2202" i="12" s="1"/>
  <c r="O2201" i="12"/>
  <c r="P2201" i="12" s="1"/>
  <c r="K2201" i="12"/>
  <c r="L2201" i="12" s="1"/>
  <c r="O2200" i="12"/>
  <c r="P2200" i="12" s="1"/>
  <c r="K2200" i="12"/>
  <c r="L2200" i="12" s="1"/>
  <c r="O2199" i="12"/>
  <c r="P2199" i="12" s="1"/>
  <c r="K2199" i="12"/>
  <c r="L2199" i="12" s="1"/>
  <c r="O2198" i="12"/>
  <c r="P2198" i="12" s="1"/>
  <c r="K2198" i="12"/>
  <c r="L2198" i="12" s="1"/>
  <c r="O2197" i="12"/>
  <c r="P2197" i="12" s="1"/>
  <c r="K2197" i="12"/>
  <c r="L2197" i="12" s="1"/>
  <c r="O2196" i="12"/>
  <c r="P2196" i="12" s="1"/>
  <c r="K2196" i="12"/>
  <c r="L2196" i="12" s="1"/>
  <c r="O2195" i="12"/>
  <c r="P2195" i="12" s="1"/>
  <c r="L2195" i="12"/>
  <c r="K2195" i="12"/>
  <c r="O2194" i="12"/>
  <c r="P2194" i="12" s="1"/>
  <c r="K2194" i="12"/>
  <c r="L2194" i="12" s="1"/>
  <c r="O2193" i="12"/>
  <c r="P2193" i="12" s="1"/>
  <c r="K2193" i="12"/>
  <c r="L2193" i="12" s="1"/>
  <c r="O2192" i="12"/>
  <c r="P2192" i="12" s="1"/>
  <c r="K2192" i="12"/>
  <c r="L2192" i="12" s="1"/>
  <c r="O2191" i="12"/>
  <c r="P2191" i="12" s="1"/>
  <c r="K2191" i="12"/>
  <c r="L2191" i="12" s="1"/>
  <c r="O2190" i="12"/>
  <c r="P2190" i="12" s="1"/>
  <c r="K2190" i="12"/>
  <c r="L2190" i="12" s="1"/>
  <c r="O2189" i="12"/>
  <c r="P2189" i="12" s="1"/>
  <c r="K2189" i="12"/>
  <c r="L2189" i="12" s="1"/>
  <c r="O2188" i="12"/>
  <c r="P2188" i="12" s="1"/>
  <c r="K2188" i="12"/>
  <c r="L2188" i="12" s="1"/>
  <c r="O2187" i="12"/>
  <c r="P2187" i="12" s="1"/>
  <c r="K2187" i="12"/>
  <c r="L2187" i="12" s="1"/>
  <c r="O2186" i="12"/>
  <c r="P2186" i="12" s="1"/>
  <c r="K2186" i="12"/>
  <c r="L2186" i="12" s="1"/>
  <c r="O2185" i="12"/>
  <c r="P2185" i="12" s="1"/>
  <c r="K2185" i="12"/>
  <c r="L2185" i="12" s="1"/>
  <c r="O2184" i="12"/>
  <c r="P2184" i="12" s="1"/>
  <c r="L2184" i="12"/>
  <c r="K2184" i="12"/>
  <c r="O2183" i="12"/>
  <c r="P2183" i="12" s="1"/>
  <c r="L2183" i="12"/>
  <c r="K2183" i="12"/>
  <c r="O2182" i="12"/>
  <c r="P2182" i="12" s="1"/>
  <c r="K2182" i="12"/>
  <c r="L2182" i="12" s="1"/>
  <c r="O2181" i="12"/>
  <c r="P2181" i="12" s="1"/>
  <c r="K2181" i="12"/>
  <c r="L2181" i="12" s="1"/>
  <c r="O2180" i="12"/>
  <c r="P2180" i="12" s="1"/>
  <c r="K2180" i="12"/>
  <c r="L2180" i="12" s="1"/>
  <c r="O2179" i="12"/>
  <c r="P2179" i="12" s="1"/>
  <c r="L2179" i="12"/>
  <c r="K2179" i="12"/>
  <c r="O2178" i="12"/>
  <c r="P2178" i="12" s="1"/>
  <c r="K2178" i="12"/>
  <c r="L2178" i="12" s="1"/>
  <c r="O2177" i="12"/>
  <c r="P2177" i="12" s="1"/>
  <c r="K2177" i="12"/>
  <c r="L2177" i="12" s="1"/>
  <c r="O2176" i="12"/>
  <c r="P2176" i="12" s="1"/>
  <c r="L2176" i="12"/>
  <c r="K2176" i="12"/>
  <c r="O2175" i="12"/>
  <c r="P2175" i="12" s="1"/>
  <c r="L2175" i="12"/>
  <c r="K2175" i="12"/>
  <c r="O2174" i="12"/>
  <c r="P2174" i="12" s="1"/>
  <c r="K2174" i="12"/>
  <c r="L2174" i="12" s="1"/>
  <c r="O2173" i="12"/>
  <c r="P2173" i="12" s="1"/>
  <c r="K2173" i="12"/>
  <c r="L2173" i="12" s="1"/>
  <c r="O2172" i="12"/>
  <c r="P2172" i="12" s="1"/>
  <c r="K2172" i="12"/>
  <c r="L2172" i="12" s="1"/>
  <c r="O2171" i="12"/>
  <c r="P2171" i="12" s="1"/>
  <c r="L2171" i="12"/>
  <c r="K2171" i="12"/>
  <c r="O2170" i="12"/>
  <c r="P2170" i="12" s="1"/>
  <c r="K2170" i="12"/>
  <c r="L2170" i="12" s="1"/>
  <c r="O2169" i="12"/>
  <c r="P2169" i="12" s="1"/>
  <c r="K2169" i="12"/>
  <c r="L2169" i="12" s="1"/>
  <c r="O2168" i="12"/>
  <c r="P2168" i="12" s="1"/>
  <c r="K2168" i="12"/>
  <c r="L2168" i="12" s="1"/>
  <c r="O2167" i="12"/>
  <c r="P2167" i="12" s="1"/>
  <c r="K2167" i="12"/>
  <c r="L2167" i="12" s="1"/>
  <c r="O2166" i="12"/>
  <c r="P2166" i="12" s="1"/>
  <c r="K2166" i="12"/>
  <c r="L2166" i="12" s="1"/>
  <c r="O2165" i="12"/>
  <c r="P2165" i="12" s="1"/>
  <c r="K2165" i="12"/>
  <c r="L2165" i="12" s="1"/>
  <c r="O2164" i="12"/>
  <c r="P2164" i="12" s="1"/>
  <c r="K2164" i="12"/>
  <c r="L2164" i="12" s="1"/>
  <c r="O2163" i="12"/>
  <c r="P2163" i="12" s="1"/>
  <c r="K2163" i="12"/>
  <c r="L2163" i="12" s="1"/>
  <c r="O2162" i="12"/>
  <c r="P2162" i="12" s="1"/>
  <c r="K2162" i="12"/>
  <c r="L2162" i="12" s="1"/>
  <c r="O2161" i="12"/>
  <c r="P2161" i="12" s="1"/>
  <c r="K2161" i="12"/>
  <c r="L2161" i="12" s="1"/>
  <c r="O2160" i="12"/>
  <c r="P2160" i="12" s="1"/>
  <c r="K2160" i="12"/>
  <c r="L2160" i="12" s="1"/>
  <c r="O2159" i="12"/>
  <c r="P2159" i="12" s="1"/>
  <c r="L2159" i="12"/>
  <c r="K2159" i="12"/>
  <c r="O2158" i="12"/>
  <c r="P2158" i="12" s="1"/>
  <c r="K2158" i="12"/>
  <c r="L2158" i="12" s="1"/>
  <c r="O2157" i="12"/>
  <c r="P2157" i="12" s="1"/>
  <c r="K2157" i="12"/>
  <c r="L2157" i="12" s="1"/>
  <c r="O2156" i="12"/>
  <c r="P2156" i="12" s="1"/>
  <c r="K2156" i="12"/>
  <c r="L2156" i="12" s="1"/>
  <c r="O2155" i="12"/>
  <c r="P2155" i="12" s="1"/>
  <c r="L2155" i="12"/>
  <c r="K2155" i="12"/>
  <c r="O2154" i="12"/>
  <c r="P2154" i="12" s="1"/>
  <c r="K2154" i="12"/>
  <c r="L2154" i="12" s="1"/>
  <c r="O2153" i="12"/>
  <c r="P2153" i="12" s="1"/>
  <c r="K2153" i="12"/>
  <c r="L2153" i="12" s="1"/>
  <c r="O2152" i="12"/>
  <c r="P2152" i="12" s="1"/>
  <c r="L2152" i="12"/>
  <c r="K2152" i="12"/>
  <c r="O2151" i="12"/>
  <c r="P2151" i="12" s="1"/>
  <c r="L2151" i="12"/>
  <c r="K2151" i="12"/>
  <c r="O2150" i="12"/>
  <c r="P2150" i="12" s="1"/>
  <c r="K2150" i="12"/>
  <c r="L2150" i="12" s="1"/>
  <c r="O2149" i="12"/>
  <c r="P2149" i="12" s="1"/>
  <c r="K2149" i="12"/>
  <c r="L2149" i="12" s="1"/>
  <c r="O2148" i="12"/>
  <c r="P2148" i="12" s="1"/>
  <c r="K2148" i="12"/>
  <c r="L2148" i="12" s="1"/>
  <c r="O2147" i="12"/>
  <c r="P2147" i="12" s="1"/>
  <c r="L2147" i="12"/>
  <c r="K2147" i="12"/>
  <c r="O2146" i="12"/>
  <c r="P2146" i="12" s="1"/>
  <c r="K2146" i="12"/>
  <c r="L2146" i="12" s="1"/>
  <c r="O2145" i="12"/>
  <c r="P2145" i="12" s="1"/>
  <c r="K2145" i="12"/>
  <c r="L2145" i="12" s="1"/>
  <c r="O2144" i="12"/>
  <c r="P2144" i="12" s="1"/>
  <c r="K2144" i="12"/>
  <c r="L2144" i="12" s="1"/>
  <c r="O2143" i="12"/>
  <c r="P2143" i="12" s="1"/>
  <c r="K2143" i="12"/>
  <c r="L2143" i="12" s="1"/>
  <c r="O2142" i="12"/>
  <c r="P2142" i="12" s="1"/>
  <c r="K2142" i="12"/>
  <c r="L2142" i="12" s="1"/>
  <c r="O2141" i="12"/>
  <c r="P2141" i="12" s="1"/>
  <c r="K2141" i="12"/>
  <c r="L2141" i="12" s="1"/>
  <c r="O2140" i="12"/>
  <c r="P2140" i="12" s="1"/>
  <c r="K2140" i="12"/>
  <c r="L2140" i="12" s="1"/>
  <c r="O2139" i="12"/>
  <c r="P2139" i="12" s="1"/>
  <c r="K2139" i="12"/>
  <c r="L2139" i="12" s="1"/>
  <c r="O2138" i="12"/>
  <c r="P2138" i="12" s="1"/>
  <c r="K2138" i="12"/>
  <c r="L2138" i="12" s="1"/>
  <c r="O2137" i="12"/>
  <c r="P2137" i="12" s="1"/>
  <c r="K2137" i="12"/>
  <c r="L2137" i="12" s="1"/>
  <c r="O2136" i="12"/>
  <c r="P2136" i="12" s="1"/>
  <c r="L2136" i="12"/>
  <c r="K2136" i="12"/>
  <c r="O2135" i="12"/>
  <c r="P2135" i="12" s="1"/>
  <c r="L2135" i="12"/>
  <c r="K2135" i="12"/>
  <c r="O2134" i="12"/>
  <c r="P2134" i="12" s="1"/>
  <c r="K2134" i="12"/>
  <c r="L2134" i="12" s="1"/>
  <c r="O2133" i="12"/>
  <c r="P2133" i="12" s="1"/>
  <c r="K2133" i="12"/>
  <c r="L2133" i="12" s="1"/>
  <c r="O2132" i="12"/>
  <c r="P2132" i="12" s="1"/>
  <c r="K2132" i="12"/>
  <c r="L2132" i="12" s="1"/>
  <c r="O2131" i="12"/>
  <c r="P2131" i="12" s="1"/>
  <c r="L2131" i="12"/>
  <c r="K2131" i="12"/>
  <c r="O2130" i="12"/>
  <c r="P2130" i="12" s="1"/>
  <c r="K2130" i="12"/>
  <c r="L2130" i="12" s="1"/>
  <c r="O2129" i="12"/>
  <c r="P2129" i="12" s="1"/>
  <c r="K2129" i="12"/>
  <c r="L2129" i="12" s="1"/>
  <c r="O2128" i="12"/>
  <c r="P2128" i="12" s="1"/>
  <c r="K2128" i="12"/>
  <c r="L2128" i="12" s="1"/>
  <c r="O2127" i="12"/>
  <c r="P2127" i="12" s="1"/>
  <c r="L2127" i="12"/>
  <c r="K2127" i="12"/>
  <c r="O2126" i="12"/>
  <c r="P2126" i="12" s="1"/>
  <c r="K2126" i="12"/>
  <c r="L2126" i="12" s="1"/>
  <c r="O2125" i="12"/>
  <c r="P2125" i="12" s="1"/>
  <c r="K2125" i="12"/>
  <c r="L2125" i="12" s="1"/>
  <c r="O2124" i="12"/>
  <c r="P2124" i="12" s="1"/>
  <c r="K2124" i="12"/>
  <c r="L2124" i="12" s="1"/>
  <c r="P2123" i="12"/>
  <c r="L2123" i="12"/>
  <c r="K2123" i="12"/>
  <c r="P2122" i="12"/>
  <c r="O2122" i="12"/>
  <c r="K2122" i="12"/>
  <c r="L2122" i="12" s="1"/>
  <c r="O2121" i="12"/>
  <c r="P2121" i="12" s="1"/>
  <c r="K2121" i="12"/>
  <c r="L2121" i="12" s="1"/>
  <c r="O2120" i="12"/>
  <c r="P2120" i="12" s="1"/>
  <c r="L2120" i="12"/>
  <c r="K2120" i="12"/>
  <c r="P2119" i="12"/>
  <c r="O2119" i="12"/>
  <c r="K2119" i="12"/>
  <c r="L2119" i="12" s="1"/>
  <c r="P2118" i="12"/>
  <c r="K2118" i="12"/>
  <c r="L2118" i="12" s="1"/>
  <c r="P2117" i="12"/>
  <c r="O2117" i="12"/>
  <c r="K2117" i="12"/>
  <c r="L2117" i="12" s="1"/>
  <c r="O2116" i="12"/>
  <c r="P2116" i="12" s="1"/>
  <c r="K2116" i="12"/>
  <c r="L2116" i="12" s="1"/>
  <c r="O2115" i="12"/>
  <c r="P2115" i="12" s="1"/>
  <c r="K2115" i="12"/>
  <c r="L2115" i="12" s="1"/>
  <c r="O2114" i="12"/>
  <c r="P2114" i="12" s="1"/>
  <c r="K2114" i="12"/>
  <c r="L2114" i="12" s="1"/>
  <c r="O2113" i="12"/>
  <c r="P2113" i="12" s="1"/>
  <c r="K2113" i="12"/>
  <c r="L2113" i="12" s="1"/>
  <c r="O2112" i="12"/>
  <c r="P2112" i="12" s="1"/>
  <c r="K2112" i="12"/>
  <c r="L2112" i="12" s="1"/>
  <c r="P2111" i="12"/>
  <c r="K2111" i="12"/>
  <c r="L2111" i="12" s="1"/>
  <c r="O2110" i="12"/>
  <c r="P2110" i="12" s="1"/>
  <c r="L2110" i="12"/>
  <c r="K2110" i="12"/>
  <c r="O2109" i="12"/>
  <c r="P2109" i="12" s="1"/>
  <c r="K2109" i="12"/>
  <c r="L2109" i="12" s="1"/>
  <c r="O2108" i="12"/>
  <c r="P2108" i="12" s="1"/>
  <c r="K2108" i="12"/>
  <c r="L2108" i="12" s="1"/>
  <c r="O2107" i="12"/>
  <c r="P2107" i="12" s="1"/>
  <c r="K2107" i="12"/>
  <c r="L2107" i="12" s="1"/>
  <c r="O2106" i="12"/>
  <c r="P2106" i="12" s="1"/>
  <c r="K2106" i="12"/>
  <c r="L2106" i="12" s="1"/>
  <c r="O2105" i="12"/>
  <c r="P2105" i="12" s="1"/>
  <c r="K2105" i="12"/>
  <c r="L2105" i="12" s="1"/>
  <c r="O2104" i="12"/>
  <c r="P2104" i="12" s="1"/>
  <c r="L2104" i="12"/>
  <c r="K2104" i="12"/>
  <c r="P2103" i="12"/>
  <c r="K2103" i="12"/>
  <c r="L2103" i="12" s="1"/>
  <c r="P2102" i="12"/>
  <c r="K2102" i="12"/>
  <c r="L2102" i="12" s="1"/>
  <c r="O2101" i="12"/>
  <c r="P2101" i="12" s="1"/>
  <c r="K2101" i="12"/>
  <c r="L2101" i="12" s="1"/>
  <c r="P2100" i="12"/>
  <c r="K2100" i="12"/>
  <c r="L2100" i="12" s="1"/>
  <c r="P2099" i="12"/>
  <c r="L2099" i="12"/>
  <c r="K2099" i="12"/>
  <c r="P2098" i="12"/>
  <c r="K2098" i="12"/>
  <c r="L2098" i="12" s="1"/>
  <c r="P2097" i="12"/>
  <c r="K2097" i="12"/>
  <c r="L2097" i="12" s="1"/>
  <c r="P2096" i="12"/>
  <c r="K2096" i="12"/>
  <c r="L2096" i="12" s="1"/>
  <c r="P2095" i="12"/>
  <c r="K2095" i="12"/>
  <c r="L2095" i="12" s="1"/>
  <c r="O2094" i="12"/>
  <c r="P2094" i="12" s="1"/>
  <c r="K2094" i="12"/>
  <c r="L2094" i="12" s="1"/>
  <c r="O2093" i="12"/>
  <c r="P2093" i="12" s="1"/>
  <c r="L2093" i="12"/>
  <c r="K2093" i="12"/>
  <c r="P2092" i="12"/>
  <c r="K2092" i="12"/>
  <c r="L2092" i="12" s="1"/>
  <c r="P2091" i="12"/>
  <c r="K2091" i="12"/>
  <c r="L2091" i="12" s="1"/>
  <c r="P2090" i="12"/>
  <c r="K2090" i="12"/>
  <c r="L2090" i="12" s="1"/>
  <c r="P2089" i="12"/>
  <c r="L2089" i="12"/>
  <c r="K2089" i="12"/>
  <c r="P2088" i="12"/>
  <c r="K2088" i="12"/>
  <c r="L2088" i="12" s="1"/>
  <c r="P2087" i="12"/>
  <c r="K2087" i="12"/>
  <c r="L2087" i="12" s="1"/>
  <c r="P2086" i="12"/>
  <c r="K2086" i="12"/>
  <c r="L2086" i="12" s="1"/>
  <c r="O2085" i="12"/>
  <c r="P2085" i="12" s="1"/>
  <c r="K2085" i="12"/>
  <c r="L2085" i="12" s="1"/>
  <c r="P2084" i="12"/>
  <c r="K2084" i="12"/>
  <c r="L2084" i="12" s="1"/>
  <c r="P2083" i="12"/>
  <c r="K2083" i="12"/>
  <c r="L2083" i="12" s="1"/>
  <c r="O2082" i="12"/>
  <c r="P2082" i="12" s="1"/>
  <c r="L2082" i="12"/>
  <c r="K2082" i="12"/>
  <c r="O2081" i="12"/>
  <c r="P2081" i="12" s="1"/>
  <c r="K2081" i="12"/>
  <c r="L2081" i="12" s="1"/>
  <c r="P2080" i="12"/>
  <c r="L2080" i="12"/>
  <c r="K2080" i="12"/>
  <c r="O2079" i="12"/>
  <c r="P2079" i="12" s="1"/>
  <c r="K2079" i="12"/>
  <c r="L2079" i="12" s="1"/>
  <c r="P2078" i="12"/>
  <c r="K2078" i="12"/>
  <c r="L2078" i="12" s="1"/>
  <c r="P2077" i="12"/>
  <c r="K2077" i="12"/>
  <c r="L2077" i="12" s="1"/>
  <c r="P2076" i="12"/>
  <c r="K2076" i="12"/>
  <c r="L2076" i="12" s="1"/>
  <c r="P2075" i="12"/>
  <c r="K2075" i="12"/>
  <c r="L2075" i="12" s="1"/>
  <c r="O2074" i="12"/>
  <c r="P2074" i="12" s="1"/>
  <c r="K2074" i="12"/>
  <c r="L2074" i="12" s="1"/>
  <c r="P2073" i="12"/>
  <c r="K2073" i="12"/>
  <c r="L2073" i="12" s="1"/>
  <c r="O2072" i="12"/>
  <c r="P2072" i="12" s="1"/>
  <c r="K2072" i="12"/>
  <c r="L2072" i="12" s="1"/>
  <c r="O2071" i="12"/>
  <c r="P2071" i="12" s="1"/>
  <c r="K2071" i="12"/>
  <c r="L2071" i="12" s="1"/>
  <c r="P2070" i="12"/>
  <c r="K2070" i="12"/>
  <c r="L2070" i="12" s="1"/>
  <c r="P2069" i="12"/>
  <c r="K2069" i="12"/>
  <c r="L2069" i="12" s="1"/>
  <c r="O2068" i="12"/>
  <c r="P2068" i="12" s="1"/>
  <c r="L2068" i="12"/>
  <c r="K2068" i="12"/>
  <c r="P2067" i="12"/>
  <c r="K2067" i="12"/>
  <c r="L2067" i="12" s="1"/>
  <c r="P2066" i="12"/>
  <c r="K2066" i="12"/>
  <c r="L2066" i="12" s="1"/>
  <c r="O2065" i="12"/>
  <c r="P2065" i="12" s="1"/>
  <c r="K2065" i="12"/>
  <c r="L2065" i="12" s="1"/>
  <c r="O2064" i="12"/>
  <c r="P2064" i="12" s="1"/>
  <c r="K2064" i="12"/>
  <c r="L2064" i="12" s="1"/>
  <c r="O2063" i="12"/>
  <c r="P2063" i="12" s="1"/>
  <c r="K2063" i="12"/>
  <c r="L2063" i="12" s="1"/>
  <c r="P2062" i="12"/>
  <c r="O2062" i="12"/>
  <c r="K2062" i="12"/>
  <c r="L2062" i="12" s="1"/>
  <c r="O2061" i="12"/>
  <c r="P2061" i="12" s="1"/>
  <c r="K2061" i="12"/>
  <c r="L2061" i="12" s="1"/>
  <c r="O2060" i="12"/>
  <c r="P2060" i="12" s="1"/>
  <c r="K2060" i="12"/>
  <c r="L2060" i="12" s="1"/>
  <c r="O2059" i="12"/>
  <c r="P2059" i="12" s="1"/>
  <c r="K2059" i="12"/>
  <c r="L2059" i="12" s="1"/>
  <c r="O2058" i="12"/>
  <c r="P2058" i="12" s="1"/>
  <c r="K2058" i="12"/>
  <c r="L2058" i="12" s="1"/>
  <c r="O2057" i="12"/>
  <c r="P2057" i="12" s="1"/>
  <c r="K2057" i="12"/>
  <c r="L2057" i="12" s="1"/>
  <c r="O2056" i="12"/>
  <c r="P2056" i="12" s="1"/>
  <c r="K2056" i="12"/>
  <c r="L2056" i="12" s="1"/>
  <c r="O2055" i="12"/>
  <c r="P2055" i="12" s="1"/>
  <c r="K2055" i="12"/>
  <c r="L2055" i="12" s="1"/>
  <c r="O2054" i="12"/>
  <c r="P2054" i="12" s="1"/>
  <c r="K2054" i="12"/>
  <c r="L2054" i="12" s="1"/>
  <c r="O2053" i="12"/>
  <c r="P2053" i="12" s="1"/>
  <c r="L2053" i="12"/>
  <c r="K2053" i="12"/>
  <c r="O2052" i="12"/>
  <c r="P2052" i="12" s="1"/>
  <c r="K2052" i="12"/>
  <c r="L2052" i="12" s="1"/>
  <c r="O2051" i="12"/>
  <c r="P2051" i="12" s="1"/>
  <c r="K2051" i="12"/>
  <c r="L2051" i="12" s="1"/>
  <c r="O2050" i="12"/>
  <c r="P2050" i="12" s="1"/>
  <c r="K2050" i="12"/>
  <c r="L2050" i="12" s="1"/>
  <c r="P2049" i="12"/>
  <c r="O2049" i="12"/>
  <c r="K2049" i="12"/>
  <c r="L2049" i="12" s="1"/>
  <c r="P2048" i="12"/>
  <c r="O2048" i="12"/>
  <c r="K2048" i="12"/>
  <c r="L2048" i="12" s="1"/>
  <c r="P2047" i="12"/>
  <c r="O2047" i="12"/>
  <c r="L2047" i="12"/>
  <c r="K2047" i="12"/>
  <c r="O2046" i="12"/>
  <c r="P2046" i="12" s="1"/>
  <c r="K2046" i="12"/>
  <c r="L2046" i="12" s="1"/>
  <c r="O2045" i="12"/>
  <c r="P2045" i="12" s="1"/>
  <c r="K2045" i="12"/>
  <c r="L2045" i="12" s="1"/>
  <c r="O2044" i="12"/>
  <c r="P2044" i="12" s="1"/>
  <c r="K2044" i="12"/>
  <c r="L2044" i="12" s="1"/>
  <c r="O2043" i="12"/>
  <c r="P2043" i="12" s="1"/>
  <c r="K2043" i="12"/>
  <c r="L2043" i="12" s="1"/>
  <c r="O2042" i="12"/>
  <c r="P2042" i="12" s="1"/>
  <c r="L2042" i="12"/>
  <c r="K2042" i="12"/>
  <c r="P2041" i="12"/>
  <c r="O2041" i="12"/>
  <c r="K2041" i="12"/>
  <c r="L2041" i="12" s="1"/>
  <c r="O2040" i="12"/>
  <c r="P2040" i="12" s="1"/>
  <c r="K2040" i="12"/>
  <c r="L2040" i="12" s="1"/>
  <c r="P2039" i="12"/>
  <c r="O2039" i="12"/>
  <c r="L2039" i="12"/>
  <c r="K2039" i="12"/>
  <c r="O2038" i="12"/>
  <c r="P2038" i="12" s="1"/>
  <c r="K2038" i="12"/>
  <c r="L2038" i="12" s="1"/>
  <c r="O2037" i="12"/>
  <c r="P2037" i="12" s="1"/>
  <c r="K2037" i="12"/>
  <c r="L2037" i="12" s="1"/>
  <c r="O2036" i="12"/>
  <c r="P2036" i="12" s="1"/>
  <c r="L2036" i="12"/>
  <c r="K2036" i="12"/>
  <c r="O2035" i="12"/>
  <c r="P2035" i="12" s="1"/>
  <c r="L2035" i="12"/>
  <c r="K2035" i="12"/>
  <c r="O2034" i="12"/>
  <c r="P2034" i="12" s="1"/>
  <c r="K2034" i="12"/>
  <c r="L2034" i="12" s="1"/>
  <c r="O2033" i="12"/>
  <c r="P2033" i="12" s="1"/>
  <c r="K2033" i="12"/>
  <c r="L2033" i="12" s="1"/>
  <c r="O2032" i="12"/>
  <c r="P2032" i="12" s="1"/>
  <c r="K2032" i="12"/>
  <c r="L2032" i="12" s="1"/>
  <c r="O2031" i="12"/>
  <c r="P2031" i="12" s="1"/>
  <c r="K2031" i="12"/>
  <c r="L2031" i="12" s="1"/>
  <c r="O2030" i="12"/>
  <c r="P2030" i="12" s="1"/>
  <c r="K2030" i="12"/>
  <c r="L2030" i="12" s="1"/>
  <c r="O2029" i="12"/>
  <c r="P2029" i="12" s="1"/>
  <c r="L2029" i="12"/>
  <c r="K2029" i="12"/>
  <c r="P2028" i="12"/>
  <c r="O2028" i="12"/>
  <c r="K2028" i="12"/>
  <c r="L2028" i="12" s="1"/>
  <c r="O2027" i="12"/>
  <c r="P2027" i="12" s="1"/>
  <c r="L2027" i="12"/>
  <c r="K2027" i="12"/>
  <c r="O2026" i="12"/>
  <c r="P2026" i="12" s="1"/>
  <c r="K2026" i="12"/>
  <c r="L2026" i="12" s="1"/>
  <c r="O2025" i="12"/>
  <c r="P2025" i="12" s="1"/>
  <c r="K2025" i="12"/>
  <c r="L2025" i="12" s="1"/>
  <c r="O2024" i="12"/>
  <c r="P2024" i="12" s="1"/>
  <c r="K2024" i="12"/>
  <c r="L2024" i="12" s="1"/>
  <c r="P2023" i="12"/>
  <c r="O2023" i="12"/>
  <c r="K2023" i="12"/>
  <c r="L2023" i="12" s="1"/>
  <c r="P2022" i="12"/>
  <c r="O2022" i="12"/>
  <c r="K2022" i="12"/>
  <c r="L2022" i="12" s="1"/>
  <c r="O2021" i="12"/>
  <c r="P2021" i="12" s="1"/>
  <c r="K2021" i="12"/>
  <c r="L2021" i="12" s="1"/>
  <c r="P2020" i="12"/>
  <c r="O2020" i="12"/>
  <c r="K2020" i="12"/>
  <c r="L2020" i="12" s="1"/>
  <c r="O2019" i="12"/>
  <c r="P2019" i="12" s="1"/>
  <c r="L2019" i="12"/>
  <c r="K2019" i="12"/>
  <c r="O2018" i="12"/>
  <c r="P2018" i="12" s="1"/>
  <c r="K2018" i="12"/>
  <c r="L2018" i="12" s="1"/>
  <c r="P2017" i="12"/>
  <c r="O2017" i="12"/>
  <c r="K2017" i="12"/>
  <c r="L2017" i="12" s="1"/>
  <c r="P2016" i="12"/>
  <c r="O2016" i="12"/>
  <c r="L2016" i="12"/>
  <c r="K2016" i="12"/>
  <c r="O2015" i="12"/>
  <c r="P2015" i="12" s="1"/>
  <c r="K2015" i="12"/>
  <c r="L2015" i="12" s="1"/>
  <c r="O2014" i="12"/>
  <c r="P2014" i="12" s="1"/>
  <c r="K2014" i="12"/>
  <c r="L2014" i="12" s="1"/>
  <c r="P2013" i="12"/>
  <c r="O2013" i="12"/>
  <c r="L2013" i="12"/>
  <c r="K2013" i="12"/>
  <c r="O2012" i="12"/>
  <c r="P2012" i="12" s="1"/>
  <c r="K2012" i="12"/>
  <c r="L2012" i="12" s="1"/>
  <c r="O2011" i="12"/>
  <c r="P2011" i="12" s="1"/>
  <c r="K2011" i="12"/>
  <c r="L2011" i="12" s="1"/>
  <c r="P2010" i="12"/>
  <c r="O2010" i="12"/>
  <c r="K2010" i="12"/>
  <c r="L2010" i="12" s="1"/>
  <c r="P2009" i="12"/>
  <c r="L2009" i="12"/>
  <c r="K2009" i="12"/>
  <c r="P2008" i="12"/>
  <c r="K2008" i="12"/>
  <c r="L2008" i="12" s="1"/>
  <c r="P2007" i="12"/>
  <c r="K2007" i="12"/>
  <c r="L2007" i="12" s="1"/>
  <c r="P2006" i="12"/>
  <c r="K2006" i="12"/>
  <c r="L2006" i="12" s="1"/>
  <c r="P2005" i="12"/>
  <c r="L2005" i="12"/>
  <c r="K2005" i="12"/>
  <c r="P2004" i="12"/>
  <c r="L2004" i="12"/>
  <c r="K2004" i="12"/>
  <c r="P2003" i="12"/>
  <c r="K2003" i="12"/>
  <c r="L2003" i="12" s="1"/>
  <c r="P2002" i="12"/>
  <c r="K2002" i="12"/>
  <c r="L2002" i="12" s="1"/>
  <c r="P2001" i="12"/>
  <c r="K2001" i="12"/>
  <c r="L2001" i="12" s="1"/>
  <c r="P2000" i="12"/>
  <c r="K2000" i="12"/>
  <c r="L2000" i="12" s="1"/>
  <c r="P1999" i="12"/>
  <c r="K1999" i="12"/>
  <c r="L1999" i="12" s="1"/>
  <c r="P1998" i="12"/>
  <c r="K1998" i="12"/>
  <c r="L1998" i="12" s="1"/>
  <c r="P1997" i="12"/>
  <c r="L1997" i="12"/>
  <c r="K1997" i="12"/>
  <c r="P1996" i="12"/>
  <c r="L1996" i="12"/>
  <c r="K1996" i="12"/>
  <c r="P1995" i="12"/>
  <c r="K1995" i="12"/>
  <c r="L1995" i="12" s="1"/>
  <c r="P1994" i="12"/>
  <c r="K1994" i="12"/>
  <c r="L1994" i="12" s="1"/>
  <c r="P1993" i="12"/>
  <c r="L1993" i="12"/>
  <c r="K1993" i="12"/>
  <c r="P1992" i="12"/>
  <c r="K1992" i="12"/>
  <c r="L1992" i="12" s="1"/>
  <c r="P1991" i="12"/>
  <c r="K1991" i="12"/>
  <c r="L1991" i="12" s="1"/>
  <c r="P1990" i="12"/>
  <c r="L1990" i="12"/>
  <c r="K1990" i="12"/>
  <c r="P1989" i="12"/>
  <c r="K1989" i="12"/>
  <c r="L1989" i="12" s="1"/>
  <c r="P1988" i="12"/>
  <c r="L1988" i="12"/>
  <c r="K1988" i="12"/>
  <c r="P1987" i="12"/>
  <c r="K1987" i="12"/>
  <c r="L1987" i="12" s="1"/>
  <c r="P1986" i="12"/>
  <c r="K1986" i="12"/>
  <c r="L1986" i="12" s="1"/>
  <c r="P1985" i="12"/>
  <c r="K1985" i="12"/>
  <c r="L1985" i="12" s="1"/>
  <c r="P1984" i="12"/>
  <c r="K1984" i="12"/>
  <c r="L1984" i="12" s="1"/>
  <c r="P1983" i="12"/>
  <c r="K1983" i="12"/>
  <c r="L1983" i="12" s="1"/>
  <c r="P1982" i="12"/>
  <c r="L1982" i="12"/>
  <c r="K1982" i="12"/>
  <c r="P1981" i="12"/>
  <c r="L1981" i="12"/>
  <c r="K1981" i="12"/>
  <c r="P1980" i="12"/>
  <c r="L1980" i="12"/>
  <c r="K1980" i="12"/>
  <c r="P1979" i="12"/>
  <c r="K1979" i="12"/>
  <c r="L1979" i="12" s="1"/>
  <c r="P1978" i="12"/>
  <c r="K1978" i="12"/>
  <c r="L1978" i="12" s="1"/>
  <c r="O1977" i="12"/>
  <c r="P1977" i="12" s="1"/>
  <c r="K1977" i="12"/>
  <c r="L1977" i="12" s="1"/>
  <c r="O1976" i="12"/>
  <c r="P1976" i="12" s="1"/>
  <c r="K1976" i="12"/>
  <c r="L1976" i="12" s="1"/>
  <c r="O1975" i="12"/>
  <c r="P1975" i="12" s="1"/>
  <c r="K1975" i="12"/>
  <c r="L1975" i="12" s="1"/>
  <c r="O1974" i="12"/>
  <c r="P1974" i="12" s="1"/>
  <c r="K1974" i="12"/>
  <c r="L1974" i="12" s="1"/>
  <c r="O1973" i="12"/>
  <c r="P1973" i="12" s="1"/>
  <c r="K1973" i="12"/>
  <c r="L1973" i="12" s="1"/>
  <c r="O1972" i="12"/>
  <c r="P1972" i="12" s="1"/>
  <c r="K1972" i="12"/>
  <c r="L1972" i="12" s="1"/>
  <c r="O1971" i="12"/>
  <c r="P1971" i="12" s="1"/>
  <c r="K1971" i="12"/>
  <c r="L1971" i="12" s="1"/>
  <c r="O1970" i="12"/>
  <c r="P1970" i="12" s="1"/>
  <c r="K1970" i="12"/>
  <c r="L1970" i="12" s="1"/>
  <c r="P1969" i="12"/>
  <c r="O1969" i="12"/>
  <c r="L1969" i="12"/>
  <c r="K1969" i="12"/>
  <c r="O1968" i="12"/>
  <c r="P1968" i="12" s="1"/>
  <c r="K1968" i="12"/>
  <c r="L1968" i="12" s="1"/>
  <c r="P1967" i="12"/>
  <c r="O1967" i="12"/>
  <c r="K1967" i="12"/>
  <c r="L1967" i="12" s="1"/>
  <c r="O1966" i="12"/>
  <c r="P1966" i="12" s="1"/>
  <c r="K1966" i="12"/>
  <c r="L1966" i="12" s="1"/>
  <c r="O1965" i="12"/>
  <c r="P1965" i="12" s="1"/>
  <c r="K1965" i="12"/>
  <c r="L1965" i="12" s="1"/>
  <c r="O1964" i="12"/>
  <c r="P1964" i="12" s="1"/>
  <c r="K1964" i="12"/>
  <c r="L1964" i="12" s="1"/>
  <c r="O1963" i="12"/>
  <c r="P1963" i="12" s="1"/>
  <c r="L1963" i="12"/>
  <c r="K1963" i="12"/>
  <c r="O1962" i="12"/>
  <c r="P1962" i="12" s="1"/>
  <c r="K1962" i="12"/>
  <c r="L1962" i="12" s="1"/>
  <c r="P1961" i="12"/>
  <c r="O1961" i="12"/>
  <c r="L1961" i="12"/>
  <c r="K1961" i="12"/>
  <c r="O1960" i="12"/>
  <c r="P1960" i="12" s="1"/>
  <c r="L1960" i="12"/>
  <c r="K1960" i="12"/>
  <c r="P1959" i="12"/>
  <c r="O1959" i="12"/>
  <c r="K1959" i="12"/>
  <c r="L1959" i="12" s="1"/>
  <c r="O1958" i="12"/>
  <c r="P1958" i="12" s="1"/>
  <c r="K1958" i="12"/>
  <c r="L1958" i="12" s="1"/>
  <c r="O1957" i="12"/>
  <c r="P1957" i="12" s="1"/>
  <c r="L1957" i="12"/>
  <c r="K1957" i="12"/>
  <c r="O1956" i="12"/>
  <c r="P1956" i="12" s="1"/>
  <c r="K1956" i="12"/>
  <c r="L1956" i="12" s="1"/>
  <c r="O1955" i="12"/>
  <c r="P1955" i="12" s="1"/>
  <c r="K1955" i="12"/>
  <c r="L1955" i="12" s="1"/>
  <c r="O1954" i="12"/>
  <c r="P1954" i="12" s="1"/>
  <c r="K1954" i="12"/>
  <c r="L1954" i="12" s="1"/>
  <c r="O1953" i="12"/>
  <c r="P1953" i="12" s="1"/>
  <c r="K1953" i="12"/>
  <c r="L1953" i="12" s="1"/>
  <c r="P1952" i="12"/>
  <c r="O1952" i="12"/>
  <c r="K1952" i="12"/>
  <c r="L1952" i="12" s="1"/>
  <c r="O1951" i="12"/>
  <c r="P1951" i="12" s="1"/>
  <c r="L1951" i="12"/>
  <c r="K1951" i="12"/>
  <c r="O1950" i="12"/>
  <c r="P1950" i="12" s="1"/>
  <c r="K1950" i="12"/>
  <c r="L1950" i="12" s="1"/>
  <c r="O1949" i="12"/>
  <c r="P1949" i="12" s="1"/>
  <c r="K1949" i="12"/>
  <c r="L1949" i="12" s="1"/>
  <c r="O1948" i="12"/>
  <c r="P1948" i="12" s="1"/>
  <c r="L1948" i="12"/>
  <c r="K1948" i="12"/>
  <c r="P1947" i="12"/>
  <c r="O1947" i="12"/>
  <c r="K1947" i="12"/>
  <c r="L1947" i="12" s="1"/>
  <c r="O1946" i="12"/>
  <c r="P1946" i="12" s="1"/>
  <c r="K1946" i="12"/>
  <c r="L1946" i="12" s="1"/>
  <c r="O1945" i="12"/>
  <c r="P1945" i="12" s="1"/>
  <c r="K1945" i="12"/>
  <c r="L1945" i="12" s="1"/>
  <c r="O1944" i="12"/>
  <c r="P1944" i="12" s="1"/>
  <c r="K1944" i="12"/>
  <c r="L1944" i="12" s="1"/>
  <c r="O1943" i="12"/>
  <c r="P1943" i="12" s="1"/>
  <c r="L1943" i="12"/>
  <c r="K1943" i="12"/>
  <c r="P1942" i="12"/>
  <c r="O1942" i="12"/>
  <c r="K1942" i="12"/>
  <c r="L1942" i="12" s="1"/>
  <c r="O1941" i="12"/>
  <c r="P1941" i="12" s="1"/>
  <c r="K1941" i="12"/>
  <c r="L1941" i="12" s="1"/>
  <c r="P1940" i="12"/>
  <c r="O1940" i="12"/>
  <c r="K1940" i="12"/>
  <c r="L1940" i="12" s="1"/>
  <c r="O1939" i="12"/>
  <c r="P1939" i="12" s="1"/>
  <c r="L1939" i="12"/>
  <c r="K1939" i="12"/>
  <c r="O1938" i="12"/>
  <c r="P1938" i="12" s="1"/>
  <c r="K1938" i="12"/>
  <c r="L1938" i="12" s="1"/>
  <c r="O1937" i="12"/>
  <c r="P1937" i="12" s="1"/>
  <c r="K1937" i="12"/>
  <c r="L1937" i="12" s="1"/>
  <c r="P1936" i="12"/>
  <c r="O1936" i="12"/>
  <c r="K1936" i="12"/>
  <c r="L1936" i="12" s="1"/>
  <c r="O1935" i="12"/>
  <c r="P1935" i="12" s="1"/>
  <c r="K1935" i="12"/>
  <c r="L1935" i="12" s="1"/>
  <c r="O1934" i="12"/>
  <c r="P1934" i="12" s="1"/>
  <c r="K1934" i="12"/>
  <c r="L1934" i="12" s="1"/>
  <c r="O1933" i="12"/>
  <c r="P1933" i="12" s="1"/>
  <c r="K1933" i="12"/>
  <c r="L1933" i="12" s="1"/>
  <c r="P1932" i="12"/>
  <c r="O1932" i="12"/>
  <c r="K1932" i="12"/>
  <c r="L1932" i="12" s="1"/>
  <c r="O1931" i="12"/>
  <c r="P1931" i="12" s="1"/>
  <c r="K1931" i="12"/>
  <c r="L1931" i="12" s="1"/>
  <c r="O1930" i="12"/>
  <c r="P1930" i="12" s="1"/>
  <c r="K1930" i="12"/>
  <c r="L1930" i="12" s="1"/>
  <c r="O1929" i="12"/>
  <c r="P1929" i="12" s="1"/>
  <c r="K1929" i="12"/>
  <c r="L1929" i="12" s="1"/>
  <c r="P1928" i="12"/>
  <c r="O1928" i="12"/>
  <c r="K1928" i="12"/>
  <c r="L1928" i="12" s="1"/>
  <c r="O1927" i="12"/>
  <c r="P1927" i="12" s="1"/>
  <c r="L1927" i="12"/>
  <c r="K1927" i="12"/>
  <c r="O1926" i="12"/>
  <c r="P1926" i="12" s="1"/>
  <c r="K1926" i="12"/>
  <c r="L1926" i="12" s="1"/>
  <c r="O1925" i="12"/>
  <c r="P1925" i="12" s="1"/>
  <c r="K1925" i="12"/>
  <c r="L1925" i="12" s="1"/>
  <c r="P1924" i="12"/>
  <c r="O1924" i="12"/>
  <c r="L1924" i="12"/>
  <c r="K1924" i="12"/>
  <c r="P1923" i="12"/>
  <c r="O1923" i="12"/>
  <c r="K1923" i="12"/>
  <c r="L1923" i="12" s="1"/>
  <c r="O1922" i="12"/>
  <c r="P1922" i="12" s="1"/>
  <c r="K1922" i="12"/>
  <c r="L1922" i="12" s="1"/>
  <c r="O1921" i="12"/>
  <c r="P1921" i="12" s="1"/>
  <c r="K1921" i="12"/>
  <c r="L1921" i="12" s="1"/>
  <c r="O1920" i="12"/>
  <c r="P1920" i="12" s="1"/>
  <c r="K1920" i="12"/>
  <c r="L1920" i="12" s="1"/>
  <c r="P1919" i="12"/>
  <c r="O1919" i="12"/>
  <c r="K1919" i="12"/>
  <c r="L1919" i="12" s="1"/>
  <c r="P1918" i="12"/>
  <c r="O1918" i="12"/>
  <c r="K1918" i="12"/>
  <c r="L1918" i="12" s="1"/>
  <c r="O1917" i="12"/>
  <c r="P1917" i="12" s="1"/>
  <c r="K1917" i="12"/>
  <c r="L1917" i="12" s="1"/>
  <c r="O1916" i="12"/>
  <c r="P1916" i="12" s="1"/>
  <c r="L1916" i="12"/>
  <c r="K1916" i="12"/>
  <c r="O1915" i="12"/>
  <c r="P1915" i="12" s="1"/>
  <c r="L1915" i="12"/>
  <c r="K1915" i="12"/>
  <c r="O1914" i="12"/>
  <c r="P1914" i="12" s="1"/>
  <c r="K1914" i="12"/>
  <c r="L1914" i="12" s="1"/>
  <c r="O1913" i="12"/>
  <c r="P1913" i="12" s="1"/>
  <c r="L1913" i="12"/>
  <c r="K1913" i="12"/>
  <c r="O1912" i="12"/>
  <c r="P1912" i="12" s="1"/>
  <c r="L1912" i="12"/>
  <c r="K1912" i="12"/>
  <c r="P1911" i="12"/>
  <c r="O1911" i="12"/>
  <c r="K1911" i="12"/>
  <c r="L1911" i="12" s="1"/>
  <c r="P1910" i="12"/>
  <c r="O1910" i="12"/>
  <c r="K1910" i="12"/>
  <c r="L1910" i="12" s="1"/>
  <c r="O1909" i="12"/>
  <c r="P1909" i="12" s="1"/>
  <c r="L1909" i="12"/>
  <c r="K1909" i="12"/>
  <c r="O1908" i="12"/>
  <c r="P1908" i="12" s="1"/>
  <c r="K1908" i="12"/>
  <c r="L1908" i="12" s="1"/>
  <c r="P1907" i="12"/>
  <c r="O1907" i="12"/>
  <c r="K1907" i="12"/>
  <c r="L1907" i="12" s="1"/>
  <c r="P1906" i="12"/>
  <c r="O1906" i="12"/>
  <c r="L1906" i="12"/>
  <c r="K1906" i="12"/>
  <c r="P1905" i="12"/>
  <c r="O1905" i="12"/>
  <c r="K1905" i="12"/>
  <c r="L1905" i="12" s="1"/>
  <c r="O1904" i="12"/>
  <c r="P1904" i="12" s="1"/>
  <c r="L1904" i="12"/>
  <c r="K1904" i="12"/>
  <c r="O1903" i="12"/>
  <c r="P1903" i="12" s="1"/>
  <c r="L1903" i="12"/>
  <c r="K1903" i="12"/>
  <c r="O1902" i="12"/>
  <c r="P1902" i="12" s="1"/>
  <c r="K1902" i="12"/>
  <c r="L1902" i="12" s="1"/>
  <c r="O1901" i="12"/>
  <c r="P1901" i="12" s="1"/>
  <c r="K1901" i="12"/>
  <c r="L1901" i="12" s="1"/>
  <c r="O1900" i="12"/>
  <c r="P1900" i="12" s="1"/>
  <c r="K1900" i="12"/>
  <c r="L1900" i="12" s="1"/>
  <c r="O1899" i="12"/>
  <c r="P1899" i="12" s="1"/>
  <c r="K1899" i="12"/>
  <c r="L1899" i="12" s="1"/>
  <c r="O1898" i="12"/>
  <c r="P1898" i="12" s="1"/>
  <c r="K1898" i="12"/>
  <c r="L1898" i="12" s="1"/>
  <c r="O1897" i="12"/>
  <c r="P1897" i="12" s="1"/>
  <c r="K1897" i="12"/>
  <c r="L1897" i="12" s="1"/>
  <c r="O1896" i="12"/>
  <c r="P1896" i="12" s="1"/>
  <c r="K1896" i="12"/>
  <c r="L1896" i="12" s="1"/>
  <c r="O1895" i="12"/>
  <c r="P1895" i="12" s="1"/>
  <c r="L1895" i="12"/>
  <c r="K1895" i="12"/>
  <c r="O1894" i="12"/>
  <c r="P1894" i="12" s="1"/>
  <c r="L1894" i="12"/>
  <c r="K1894" i="12"/>
  <c r="O1893" i="12"/>
  <c r="P1893" i="12" s="1"/>
  <c r="K1893" i="12"/>
  <c r="L1893" i="12" s="1"/>
  <c r="O1892" i="12"/>
  <c r="P1892" i="12" s="1"/>
  <c r="K1892" i="12"/>
  <c r="L1892" i="12" s="1"/>
  <c r="O1891" i="12"/>
  <c r="P1891" i="12" s="1"/>
  <c r="K1891" i="12"/>
  <c r="L1891" i="12" s="1"/>
  <c r="O1890" i="12"/>
  <c r="P1890" i="12" s="1"/>
  <c r="K1890" i="12"/>
  <c r="L1890" i="12" s="1"/>
  <c r="O1889" i="12"/>
  <c r="P1889" i="12" s="1"/>
  <c r="L1889" i="12"/>
  <c r="K1889" i="12"/>
  <c r="P1888" i="12"/>
  <c r="O1888" i="12"/>
  <c r="K1888" i="12"/>
  <c r="L1888" i="12" s="1"/>
  <c r="P1887" i="12"/>
  <c r="O1887" i="12"/>
  <c r="K1887" i="12"/>
  <c r="L1887" i="12" s="1"/>
  <c r="O1886" i="12"/>
  <c r="P1886" i="12" s="1"/>
  <c r="K1886" i="12"/>
  <c r="L1886" i="12" s="1"/>
  <c r="O1885" i="12"/>
  <c r="P1885" i="12" s="1"/>
  <c r="K1885" i="12"/>
  <c r="L1885" i="12" s="1"/>
  <c r="O1884" i="12"/>
  <c r="P1884" i="12" s="1"/>
  <c r="K1884" i="12"/>
  <c r="L1884" i="12" s="1"/>
  <c r="O1883" i="12"/>
  <c r="P1883" i="12" s="1"/>
  <c r="K1883" i="12"/>
  <c r="L1883" i="12" s="1"/>
  <c r="O1882" i="12"/>
  <c r="P1882" i="12" s="1"/>
  <c r="L1882" i="12"/>
  <c r="K1882" i="12"/>
  <c r="O1881" i="12"/>
  <c r="P1881" i="12" s="1"/>
  <c r="K1881" i="12"/>
  <c r="L1881" i="12" s="1"/>
  <c r="O1880" i="12"/>
  <c r="P1880" i="12" s="1"/>
  <c r="K1880" i="12"/>
  <c r="L1880" i="12" s="1"/>
  <c r="O1879" i="12"/>
  <c r="P1879" i="12" s="1"/>
  <c r="L1879" i="12"/>
  <c r="K1879" i="12"/>
  <c r="O1878" i="12"/>
  <c r="P1878" i="12" s="1"/>
  <c r="K1878" i="12"/>
  <c r="L1878" i="12" s="1"/>
  <c r="O1877" i="12"/>
  <c r="P1877" i="12" s="1"/>
  <c r="K1877" i="12"/>
  <c r="L1877" i="12" s="1"/>
  <c r="O1876" i="12"/>
  <c r="P1876" i="12" s="1"/>
  <c r="K1876" i="12"/>
  <c r="L1876" i="12" s="1"/>
  <c r="P1875" i="12"/>
  <c r="O1875" i="12"/>
  <c r="K1875" i="12"/>
  <c r="L1875" i="12" s="1"/>
  <c r="P1874" i="12"/>
  <c r="O1874" i="12"/>
  <c r="K1874" i="12"/>
  <c r="L1874" i="12" s="1"/>
  <c r="P1873" i="12"/>
  <c r="O1873" i="12"/>
  <c r="L1873" i="12"/>
  <c r="K1873" i="12"/>
  <c r="O1872" i="12"/>
  <c r="P1872" i="12" s="1"/>
  <c r="K1872" i="12"/>
  <c r="L1872" i="12" s="1"/>
  <c r="O1871" i="12"/>
  <c r="P1871" i="12" s="1"/>
  <c r="L1871" i="12"/>
  <c r="K1871" i="12"/>
  <c r="P1870" i="12"/>
  <c r="O1870" i="12"/>
  <c r="L1870" i="12"/>
  <c r="K1870" i="12"/>
  <c r="O1869" i="12"/>
  <c r="P1869" i="12" s="1"/>
  <c r="K1869" i="12"/>
  <c r="L1869" i="12" s="1"/>
  <c r="O1868" i="12"/>
  <c r="P1868" i="12" s="1"/>
  <c r="K1868" i="12"/>
  <c r="L1868" i="12" s="1"/>
  <c r="O1867" i="12"/>
  <c r="P1867" i="12" s="1"/>
  <c r="L1867" i="12"/>
  <c r="K1867" i="12"/>
  <c r="O1866" i="12"/>
  <c r="P1866" i="12" s="1"/>
  <c r="K1866" i="12"/>
  <c r="L1866" i="12" s="1"/>
  <c r="P1865" i="12"/>
  <c r="O1865" i="12"/>
  <c r="K1865" i="12"/>
  <c r="L1865" i="12" s="1"/>
  <c r="O1864" i="12"/>
  <c r="P1864" i="12" s="1"/>
  <c r="L1864" i="12"/>
  <c r="K1864" i="12"/>
  <c r="O1863" i="12"/>
  <c r="P1863" i="12" s="1"/>
  <c r="K1863" i="12"/>
  <c r="L1863" i="12" s="1"/>
  <c r="O1862" i="12"/>
  <c r="P1862" i="12" s="1"/>
  <c r="K1862" i="12"/>
  <c r="L1862" i="12" s="1"/>
  <c r="P1861" i="12"/>
  <c r="O1861" i="12"/>
  <c r="K1861" i="12"/>
  <c r="L1861" i="12" s="1"/>
  <c r="O1860" i="12"/>
  <c r="P1860" i="12" s="1"/>
  <c r="K1860" i="12"/>
  <c r="L1860" i="12" s="1"/>
  <c r="O1859" i="12"/>
  <c r="P1859" i="12" s="1"/>
  <c r="K1859" i="12"/>
  <c r="L1859" i="12" s="1"/>
  <c r="O1858" i="12"/>
  <c r="P1858" i="12" s="1"/>
  <c r="L1858" i="12"/>
  <c r="K1858" i="12"/>
  <c r="O1857" i="12"/>
  <c r="P1857" i="12" s="1"/>
  <c r="K1857" i="12"/>
  <c r="L1857" i="12" s="1"/>
  <c r="O1856" i="12"/>
  <c r="P1856" i="12" s="1"/>
  <c r="K1856" i="12"/>
  <c r="L1856" i="12" s="1"/>
  <c r="O1855" i="12"/>
  <c r="P1855" i="12" s="1"/>
  <c r="K1855" i="12"/>
  <c r="L1855" i="12" s="1"/>
  <c r="O1854" i="12"/>
  <c r="P1854" i="12" s="1"/>
  <c r="K1854" i="12"/>
  <c r="L1854" i="12" s="1"/>
  <c r="O1853" i="12"/>
  <c r="P1853" i="12" s="1"/>
  <c r="L1853" i="12"/>
  <c r="K1853" i="12"/>
  <c r="P1852" i="12"/>
  <c r="O1852" i="12"/>
  <c r="L1852" i="12"/>
  <c r="K1852" i="12"/>
  <c r="P1851" i="12"/>
  <c r="O1851" i="12"/>
  <c r="K1851" i="12"/>
  <c r="L1851" i="12" s="1"/>
  <c r="O1850" i="12"/>
  <c r="P1850" i="12" s="1"/>
  <c r="K1850" i="12"/>
  <c r="L1850" i="12" s="1"/>
  <c r="O1849" i="12"/>
  <c r="P1849" i="12" s="1"/>
  <c r="K1849" i="12"/>
  <c r="L1849" i="12" s="1"/>
  <c r="O1848" i="12"/>
  <c r="P1848" i="12" s="1"/>
  <c r="K1848" i="12"/>
  <c r="L1848" i="12" s="1"/>
  <c r="P1847" i="12"/>
  <c r="O1847" i="12"/>
  <c r="K1847" i="12"/>
  <c r="L1847" i="12" s="1"/>
  <c r="O1846" i="12"/>
  <c r="P1846" i="12" s="1"/>
  <c r="K1846" i="12"/>
  <c r="L1846" i="12" s="1"/>
  <c r="O1845" i="12"/>
  <c r="P1845" i="12" s="1"/>
  <c r="K1845" i="12"/>
  <c r="L1845" i="12" s="1"/>
  <c r="O1844" i="12"/>
  <c r="P1844" i="12" s="1"/>
  <c r="L1844" i="12"/>
  <c r="K1844" i="12"/>
  <c r="O1843" i="12"/>
  <c r="P1843" i="12" s="1"/>
  <c r="K1843" i="12"/>
  <c r="L1843" i="12" s="1"/>
  <c r="O1842" i="12"/>
  <c r="P1842" i="12" s="1"/>
  <c r="K1842" i="12"/>
  <c r="L1842" i="12" s="1"/>
  <c r="O1841" i="12"/>
  <c r="P1841" i="12" s="1"/>
  <c r="K1841" i="12"/>
  <c r="L1841" i="12" s="1"/>
  <c r="O1840" i="12"/>
  <c r="P1840" i="12" s="1"/>
  <c r="L1840" i="12"/>
  <c r="K1840" i="12"/>
  <c r="O1839" i="12"/>
  <c r="P1839" i="12" s="1"/>
  <c r="K1839" i="12"/>
  <c r="L1839" i="12" s="1"/>
  <c r="P1838" i="12"/>
  <c r="O1838" i="12"/>
  <c r="K1838" i="12"/>
  <c r="L1838" i="12" s="1"/>
  <c r="P1837" i="12"/>
  <c r="O1837" i="12"/>
  <c r="L1837" i="12"/>
  <c r="K1837" i="12"/>
  <c r="O1836" i="12"/>
  <c r="P1836" i="12" s="1"/>
  <c r="K1836" i="12"/>
  <c r="L1836" i="12" s="1"/>
  <c r="O1835" i="12"/>
  <c r="P1835" i="12" s="1"/>
  <c r="L1835" i="12"/>
  <c r="K1835" i="12"/>
  <c r="P1834" i="12"/>
  <c r="O1834" i="12"/>
  <c r="L1834" i="12"/>
  <c r="K1834" i="12"/>
  <c r="O1833" i="12"/>
  <c r="P1833" i="12" s="1"/>
  <c r="K1833" i="12"/>
  <c r="L1833" i="12" s="1"/>
  <c r="O1832" i="12"/>
  <c r="P1832" i="12" s="1"/>
  <c r="L1832" i="12"/>
  <c r="K1832" i="12"/>
  <c r="O1831" i="12"/>
  <c r="P1831" i="12" s="1"/>
  <c r="L1831" i="12"/>
  <c r="K1831" i="12"/>
  <c r="O1830" i="12"/>
  <c r="P1830" i="12" s="1"/>
  <c r="K1830" i="12"/>
  <c r="L1830" i="12" s="1"/>
  <c r="P1829" i="12"/>
  <c r="O1829" i="12"/>
  <c r="L1829" i="12"/>
  <c r="K1829" i="12"/>
  <c r="O1828" i="12"/>
  <c r="P1828" i="12" s="1"/>
  <c r="L1828" i="12"/>
  <c r="K1828" i="12"/>
  <c r="O1827" i="12"/>
  <c r="P1827" i="12" s="1"/>
  <c r="K1827" i="12"/>
  <c r="L1827" i="12" s="1"/>
  <c r="O1826" i="12"/>
  <c r="P1826" i="12" s="1"/>
  <c r="K1826" i="12"/>
  <c r="L1826" i="12" s="1"/>
  <c r="P1825" i="12"/>
  <c r="O1825" i="12"/>
  <c r="L1825" i="12"/>
  <c r="K1825" i="12"/>
  <c r="O1824" i="12"/>
  <c r="P1824" i="12" s="1"/>
  <c r="K1824" i="12"/>
  <c r="L1824" i="12" s="1"/>
  <c r="O1823" i="12"/>
  <c r="P1823" i="12" s="1"/>
  <c r="L1823" i="12"/>
  <c r="K1823" i="12"/>
  <c r="O1822" i="12"/>
  <c r="P1822" i="12" s="1"/>
  <c r="L1822" i="12"/>
  <c r="K1822" i="12"/>
  <c r="P1821" i="12"/>
  <c r="O1821" i="12"/>
  <c r="K1821" i="12"/>
  <c r="L1821" i="12" s="1"/>
  <c r="O1820" i="12"/>
  <c r="P1820" i="12" s="1"/>
  <c r="K1820" i="12"/>
  <c r="L1820" i="12" s="1"/>
  <c r="O1819" i="12"/>
  <c r="P1819" i="12" s="1"/>
  <c r="K1819" i="12"/>
  <c r="L1819" i="12" s="1"/>
  <c r="O1818" i="12"/>
  <c r="P1818" i="12" s="1"/>
  <c r="K1818" i="12"/>
  <c r="L1818" i="12" s="1"/>
  <c r="O1817" i="12"/>
  <c r="P1817" i="12" s="1"/>
  <c r="K1817" i="12"/>
  <c r="L1817" i="12" s="1"/>
  <c r="O1816" i="12"/>
  <c r="P1816" i="12" s="1"/>
  <c r="K1816" i="12"/>
  <c r="L1816" i="12" s="1"/>
  <c r="O1815" i="12"/>
  <c r="P1815" i="12" s="1"/>
  <c r="K1815" i="12"/>
  <c r="L1815" i="12" s="1"/>
  <c r="O1814" i="12"/>
  <c r="P1814" i="12" s="1"/>
  <c r="K1814" i="12"/>
  <c r="L1814" i="12" s="1"/>
  <c r="O1813" i="12"/>
  <c r="P1813" i="12" s="1"/>
  <c r="L1813" i="12"/>
  <c r="K1813" i="12"/>
  <c r="O1812" i="12"/>
  <c r="P1812" i="12" s="1"/>
  <c r="K1812" i="12"/>
  <c r="L1812" i="12" s="1"/>
  <c r="P1811" i="12"/>
  <c r="O1811" i="12"/>
  <c r="K1811" i="12"/>
  <c r="L1811" i="12" s="1"/>
  <c r="P1810" i="12"/>
  <c r="O1810" i="12"/>
  <c r="L1810" i="12"/>
  <c r="K1810" i="12"/>
  <c r="O1809" i="12"/>
  <c r="P1809" i="12" s="1"/>
  <c r="K1809" i="12"/>
  <c r="L1809" i="12" s="1"/>
  <c r="O1808" i="12"/>
  <c r="P1808" i="12" s="1"/>
  <c r="L1808" i="12"/>
  <c r="K1808" i="12"/>
  <c r="O1807" i="12"/>
  <c r="P1807" i="12" s="1"/>
  <c r="L1807" i="12"/>
  <c r="K1807" i="12"/>
  <c r="O1806" i="12"/>
  <c r="P1806" i="12" s="1"/>
  <c r="K1806" i="12"/>
  <c r="L1806" i="12" s="1"/>
  <c r="P1805" i="12"/>
  <c r="O1805" i="12"/>
  <c r="L1805" i="12"/>
  <c r="K1805" i="12"/>
  <c r="O1804" i="12"/>
  <c r="P1804" i="12" s="1"/>
  <c r="L1804" i="12"/>
  <c r="K1804" i="12"/>
  <c r="P1803" i="12"/>
  <c r="O1803" i="12"/>
  <c r="K1803" i="12"/>
  <c r="L1803" i="12" s="1"/>
  <c r="P1802" i="12"/>
  <c r="O1802" i="12"/>
  <c r="K1802" i="12"/>
  <c r="L1802" i="12" s="1"/>
  <c r="P1801" i="12"/>
  <c r="O1801" i="12"/>
  <c r="K1801" i="12"/>
  <c r="L1801" i="12" s="1"/>
  <c r="O1800" i="12"/>
  <c r="P1800" i="12" s="1"/>
  <c r="K1800" i="12"/>
  <c r="L1800" i="12" s="1"/>
  <c r="O1799" i="12"/>
  <c r="P1799" i="12" s="1"/>
  <c r="K1799" i="12"/>
  <c r="L1799" i="12" s="1"/>
  <c r="O1798" i="12"/>
  <c r="P1798" i="12" s="1"/>
  <c r="K1798" i="12"/>
  <c r="L1798" i="12" s="1"/>
  <c r="O1797" i="12"/>
  <c r="P1797" i="12" s="1"/>
  <c r="K1797" i="12"/>
  <c r="L1797" i="12" s="1"/>
  <c r="O1796" i="12"/>
  <c r="P1796" i="12" s="1"/>
  <c r="L1796" i="12"/>
  <c r="K1796" i="12"/>
  <c r="O1795" i="12"/>
  <c r="P1795" i="12" s="1"/>
  <c r="L1795" i="12"/>
  <c r="K1795" i="12"/>
  <c r="O1794" i="12"/>
  <c r="P1794" i="12" s="1"/>
  <c r="K1794" i="12"/>
  <c r="L1794" i="12" s="1"/>
  <c r="P1793" i="12"/>
  <c r="O1793" i="12"/>
  <c r="K1793" i="12"/>
  <c r="L1793" i="12" s="1"/>
  <c r="O1792" i="12"/>
  <c r="P1792" i="12" s="1"/>
  <c r="K1792" i="12"/>
  <c r="L1792" i="12" s="1"/>
  <c r="O1791" i="12"/>
  <c r="P1791" i="12" s="1"/>
  <c r="K1791" i="12"/>
  <c r="L1791" i="12" s="1"/>
  <c r="O1790" i="12"/>
  <c r="P1790" i="12" s="1"/>
  <c r="K1790" i="12"/>
  <c r="L1790" i="12" s="1"/>
  <c r="P1789" i="12"/>
  <c r="O1789" i="12"/>
  <c r="L1789" i="12"/>
  <c r="K1789" i="12"/>
  <c r="O1788" i="12"/>
  <c r="P1788" i="12" s="1"/>
  <c r="K1788" i="12"/>
  <c r="L1788" i="12" s="1"/>
  <c r="P1787" i="12"/>
  <c r="O1787" i="12"/>
  <c r="K1787" i="12"/>
  <c r="L1787" i="12" s="1"/>
  <c r="O1786" i="12"/>
  <c r="P1786" i="12" s="1"/>
  <c r="L1786" i="12"/>
  <c r="K1786" i="12"/>
  <c r="P1785" i="12"/>
  <c r="O1785" i="12"/>
  <c r="K1785" i="12"/>
  <c r="L1785" i="12" s="1"/>
  <c r="O1784" i="12"/>
  <c r="P1784" i="12" s="1"/>
  <c r="K1784" i="12"/>
  <c r="L1784" i="12" s="1"/>
  <c r="O1783" i="12"/>
  <c r="P1783" i="12" s="1"/>
  <c r="L1783" i="12"/>
  <c r="K1783" i="12"/>
  <c r="O1782" i="12"/>
  <c r="P1782" i="12" s="1"/>
  <c r="K1782" i="12"/>
  <c r="L1782" i="12" s="1"/>
  <c r="P1781" i="12"/>
  <c r="O1781" i="12"/>
  <c r="L1781" i="12"/>
  <c r="K1781" i="12"/>
  <c r="O1780" i="12"/>
  <c r="P1780" i="12" s="1"/>
  <c r="K1780" i="12"/>
  <c r="L1780" i="12" s="1"/>
  <c r="P1779" i="12"/>
  <c r="O1779" i="12"/>
  <c r="K1779" i="12"/>
  <c r="L1779" i="12" s="1"/>
  <c r="O1778" i="12"/>
  <c r="P1778" i="12" s="1"/>
  <c r="K1778" i="12"/>
  <c r="L1778" i="12" s="1"/>
  <c r="O1777" i="12"/>
  <c r="P1777" i="12" s="1"/>
  <c r="L1777" i="12"/>
  <c r="K1777" i="12"/>
  <c r="O1776" i="12"/>
  <c r="P1776" i="12" s="1"/>
  <c r="K1776" i="12"/>
  <c r="L1776" i="12" s="1"/>
  <c r="O1775" i="12"/>
  <c r="P1775" i="12" s="1"/>
  <c r="L1775" i="12"/>
  <c r="K1775" i="12"/>
  <c r="P1774" i="12"/>
  <c r="O1774" i="12"/>
  <c r="K1774" i="12"/>
  <c r="L1774" i="12" s="1"/>
  <c r="O1773" i="12"/>
  <c r="P1773" i="12" s="1"/>
  <c r="K1773" i="12"/>
  <c r="L1773" i="12" s="1"/>
  <c r="O1772" i="12"/>
  <c r="P1772" i="12" s="1"/>
  <c r="L1772" i="12"/>
  <c r="K1772" i="12"/>
  <c r="O1771" i="12"/>
  <c r="P1771" i="12" s="1"/>
  <c r="L1771" i="12"/>
  <c r="K1771" i="12"/>
  <c r="O1770" i="12"/>
  <c r="P1770" i="12" s="1"/>
  <c r="K1770" i="12"/>
  <c r="L1770" i="12" s="1"/>
  <c r="O1769" i="12"/>
  <c r="P1769" i="12" s="1"/>
  <c r="K1769" i="12"/>
  <c r="L1769" i="12" s="1"/>
  <c r="O1768" i="12"/>
  <c r="P1768" i="12" s="1"/>
  <c r="K1768" i="12"/>
  <c r="L1768" i="12" s="1"/>
  <c r="P1767" i="12"/>
  <c r="O1767" i="12"/>
  <c r="K1767" i="12"/>
  <c r="L1767" i="12" s="1"/>
  <c r="O1766" i="12"/>
  <c r="P1766" i="12" s="1"/>
  <c r="K1766" i="12"/>
  <c r="L1766" i="12" s="1"/>
  <c r="P1765" i="12"/>
  <c r="O1765" i="12"/>
  <c r="K1765" i="12"/>
  <c r="L1765" i="12" s="1"/>
  <c r="O1764" i="12"/>
  <c r="P1764" i="12" s="1"/>
  <c r="K1764" i="12"/>
  <c r="L1764" i="12" s="1"/>
  <c r="P1763" i="12"/>
  <c r="O1763" i="12"/>
  <c r="L1763" i="12"/>
  <c r="K1763" i="12"/>
  <c r="P1762" i="12"/>
  <c r="O1762" i="12"/>
  <c r="L1762" i="12"/>
  <c r="K1762" i="12"/>
  <c r="O1761" i="12"/>
  <c r="P1761" i="12" s="1"/>
  <c r="K1761" i="12"/>
  <c r="L1761" i="12" s="1"/>
  <c r="O1760" i="12"/>
  <c r="P1760" i="12" s="1"/>
  <c r="L1760" i="12"/>
  <c r="K1760" i="12"/>
  <c r="O1759" i="12"/>
  <c r="P1759" i="12" s="1"/>
  <c r="K1759" i="12"/>
  <c r="L1759" i="12" s="1"/>
  <c r="O1758" i="12"/>
  <c r="P1758" i="12" s="1"/>
  <c r="K1758" i="12"/>
  <c r="L1758" i="12" s="1"/>
  <c r="P1757" i="12"/>
  <c r="O1757" i="12"/>
  <c r="K1757" i="12"/>
  <c r="L1757" i="12" s="1"/>
  <c r="P1756" i="12"/>
  <c r="O1756" i="12"/>
  <c r="L1756" i="12"/>
  <c r="K1756" i="12"/>
  <c r="P1755" i="12"/>
  <c r="O1755" i="12"/>
  <c r="L1755" i="12"/>
  <c r="K1755" i="12"/>
  <c r="O1754" i="12"/>
  <c r="P1754" i="12" s="1"/>
  <c r="K1754" i="12"/>
  <c r="L1754" i="12" s="1"/>
  <c r="O1753" i="12"/>
  <c r="P1753" i="12" s="1"/>
  <c r="K1753" i="12"/>
  <c r="L1753" i="12" s="1"/>
  <c r="O1752" i="12"/>
  <c r="P1752" i="12" s="1"/>
  <c r="K1752" i="12"/>
  <c r="L1752" i="12" s="1"/>
  <c r="P1751" i="12"/>
  <c r="O1751" i="12"/>
  <c r="K1751" i="12"/>
  <c r="L1751" i="12" s="1"/>
  <c r="O1750" i="12"/>
  <c r="P1750" i="12" s="1"/>
  <c r="K1750" i="12"/>
  <c r="L1750" i="12" s="1"/>
  <c r="P1749" i="12"/>
  <c r="O1749" i="12"/>
  <c r="L1749" i="12"/>
  <c r="K1749" i="12"/>
  <c r="O1748" i="12"/>
  <c r="P1748" i="12" s="1"/>
  <c r="K1748" i="12"/>
  <c r="L1748" i="12" s="1"/>
  <c r="P1747" i="12"/>
  <c r="O1747" i="12"/>
  <c r="L1747" i="12"/>
  <c r="K1747" i="12"/>
  <c r="O1746" i="12"/>
  <c r="P1746" i="12" s="1"/>
  <c r="K1746" i="12"/>
  <c r="L1746" i="12" s="1"/>
  <c r="O1745" i="12"/>
  <c r="P1745" i="12" s="1"/>
  <c r="K1745" i="12"/>
  <c r="L1745" i="12" s="1"/>
  <c r="O1744" i="12"/>
  <c r="P1744" i="12" s="1"/>
  <c r="K1744" i="12"/>
  <c r="L1744" i="12" s="1"/>
  <c r="O1743" i="12"/>
  <c r="P1743" i="12" s="1"/>
  <c r="L1743" i="12"/>
  <c r="K1743" i="12"/>
  <c r="P1742" i="12"/>
  <c r="O1742" i="12"/>
  <c r="K1742" i="12"/>
  <c r="L1742" i="12" s="1"/>
  <c r="P1741" i="12"/>
  <c r="O1741" i="12"/>
  <c r="K1741" i="12"/>
  <c r="L1741" i="12" s="1"/>
  <c r="P1740" i="12"/>
  <c r="O1740" i="12"/>
  <c r="L1740" i="12"/>
  <c r="K1740" i="12"/>
  <c r="O1739" i="12"/>
  <c r="P1739" i="12" s="1"/>
  <c r="K1739" i="12"/>
  <c r="L1739" i="12" s="1"/>
  <c r="P1738" i="12"/>
  <c r="O1738" i="12"/>
  <c r="L1738" i="12"/>
  <c r="K1738" i="12"/>
  <c r="O1737" i="12"/>
  <c r="P1737" i="12" s="1"/>
  <c r="L1737" i="12"/>
  <c r="K1737" i="12"/>
  <c r="P1736" i="12"/>
  <c r="O1736" i="12"/>
  <c r="K1736" i="12"/>
  <c r="L1736" i="12" s="1"/>
  <c r="O1735" i="12"/>
  <c r="P1735" i="12" s="1"/>
  <c r="K1735" i="12"/>
  <c r="L1735" i="12" s="1"/>
  <c r="P1734" i="12"/>
  <c r="O1734" i="12"/>
  <c r="K1734" i="12"/>
  <c r="L1734" i="12" s="1"/>
  <c r="P1733" i="12"/>
  <c r="O1733" i="12"/>
  <c r="K1733" i="12"/>
  <c r="L1733" i="12" s="1"/>
  <c r="P1732" i="12"/>
  <c r="O1732" i="12"/>
  <c r="K1732" i="12"/>
  <c r="L1732" i="12" s="1"/>
  <c r="P1731" i="12"/>
  <c r="O1731" i="12"/>
  <c r="K1731" i="12"/>
  <c r="L1731" i="12" s="1"/>
  <c r="O1730" i="12"/>
  <c r="P1730" i="12" s="1"/>
  <c r="K1730" i="12"/>
  <c r="L1730" i="12" s="1"/>
  <c r="O1729" i="12"/>
  <c r="P1729" i="12" s="1"/>
  <c r="K1729" i="12"/>
  <c r="L1729" i="12" s="1"/>
  <c r="O1728" i="12"/>
  <c r="P1728" i="12" s="1"/>
  <c r="L1728" i="12"/>
  <c r="K1728" i="12"/>
  <c r="P1727" i="12"/>
  <c r="O1727" i="12"/>
  <c r="K1727" i="12"/>
  <c r="L1727" i="12" s="1"/>
  <c r="P1726" i="12"/>
  <c r="O1726" i="12"/>
  <c r="L1726" i="12"/>
  <c r="K1726" i="12"/>
  <c r="O1725" i="12"/>
  <c r="P1725" i="12" s="1"/>
  <c r="L1725" i="12"/>
  <c r="K1725" i="12"/>
  <c r="P1724" i="12"/>
  <c r="O1724" i="12"/>
  <c r="K1724" i="12"/>
  <c r="L1724" i="12" s="1"/>
  <c r="P1723" i="12"/>
  <c r="O1723" i="12"/>
  <c r="L1723" i="12"/>
  <c r="K1723" i="12"/>
  <c r="O1722" i="12"/>
  <c r="P1722" i="12" s="1"/>
  <c r="K1722" i="12"/>
  <c r="L1722" i="12" s="1"/>
  <c r="P1721" i="12"/>
  <c r="O1721" i="12"/>
  <c r="K1721" i="12"/>
  <c r="L1721" i="12" s="1"/>
  <c r="P1720" i="12"/>
  <c r="O1720" i="12"/>
  <c r="L1720" i="12"/>
  <c r="K1720" i="12"/>
  <c r="P1719" i="12"/>
  <c r="O1719" i="12"/>
  <c r="L1719" i="12"/>
  <c r="K1719" i="12"/>
  <c r="O1718" i="12"/>
  <c r="P1718" i="12" s="1"/>
  <c r="K1718" i="12"/>
  <c r="L1718" i="12" s="1"/>
  <c r="P1717" i="12"/>
  <c r="O1717" i="12"/>
  <c r="K1717" i="12"/>
  <c r="L1717" i="12" s="1"/>
  <c r="O1716" i="12"/>
  <c r="P1716" i="12" s="1"/>
  <c r="K1716" i="12"/>
  <c r="L1716" i="12" s="1"/>
  <c r="P1715" i="12"/>
  <c r="O1715" i="12"/>
  <c r="K1715" i="12"/>
  <c r="L1715" i="12" s="1"/>
  <c r="P1714" i="12"/>
  <c r="O1714" i="12"/>
  <c r="L1714" i="12"/>
  <c r="K1714" i="12"/>
  <c r="O1713" i="12"/>
  <c r="P1713" i="12" s="1"/>
  <c r="L1713" i="12"/>
  <c r="K1713" i="12"/>
  <c r="O1712" i="12"/>
  <c r="P1712" i="12" s="1"/>
  <c r="K1712" i="12"/>
  <c r="L1712" i="12" s="1"/>
  <c r="O1711" i="12"/>
  <c r="P1711" i="12" s="1"/>
  <c r="L1711" i="12"/>
  <c r="K1711" i="12"/>
  <c r="P1710" i="12"/>
  <c r="O1710" i="12"/>
  <c r="L1710" i="12"/>
  <c r="K1710" i="12"/>
  <c r="O1709" i="12"/>
  <c r="P1709" i="12" s="1"/>
  <c r="K1709" i="12"/>
  <c r="L1709" i="12" s="1"/>
  <c r="P1708" i="12"/>
  <c r="O1708" i="12"/>
  <c r="K1708" i="12"/>
  <c r="L1708" i="12" s="1"/>
  <c r="O1707" i="12"/>
  <c r="P1707" i="12" s="1"/>
  <c r="L1707" i="12"/>
  <c r="K1707" i="12"/>
  <c r="P1706" i="12"/>
  <c r="O1706" i="12"/>
  <c r="K1706" i="12"/>
  <c r="L1706" i="12" s="1"/>
  <c r="O1705" i="12"/>
  <c r="P1705" i="12" s="1"/>
  <c r="L1705" i="12"/>
  <c r="K1705" i="12"/>
  <c r="O1704" i="12"/>
  <c r="P1704" i="12" s="1"/>
  <c r="K1704" i="12"/>
  <c r="L1704" i="12" s="1"/>
  <c r="O1703" i="12"/>
  <c r="P1703" i="12" s="1"/>
  <c r="K1703" i="12"/>
  <c r="L1703" i="12" s="1"/>
  <c r="P1702" i="12"/>
  <c r="O1702" i="12"/>
  <c r="L1702" i="12"/>
  <c r="K1702" i="12"/>
  <c r="O1701" i="12"/>
  <c r="P1701" i="12" s="1"/>
  <c r="K1701" i="12"/>
  <c r="L1701" i="12" s="1"/>
  <c r="P1700" i="12"/>
  <c r="O1700" i="12"/>
  <c r="K1700" i="12"/>
  <c r="L1700" i="12" s="1"/>
  <c r="O1699" i="12"/>
  <c r="P1699" i="12" s="1"/>
  <c r="L1699" i="12"/>
  <c r="K1699" i="12"/>
  <c r="P1698" i="12"/>
  <c r="O1698" i="12"/>
  <c r="K1698" i="12"/>
  <c r="L1698" i="12" s="1"/>
  <c r="P1697" i="12"/>
  <c r="O1697" i="12"/>
  <c r="K1697" i="12"/>
  <c r="L1697" i="12" s="1"/>
  <c r="P1696" i="12"/>
  <c r="O1696" i="12"/>
  <c r="L1696" i="12"/>
  <c r="K1696" i="12"/>
  <c r="O1695" i="12"/>
  <c r="P1695" i="12" s="1"/>
  <c r="L1695" i="12"/>
  <c r="K1695" i="12"/>
  <c r="P1694" i="12"/>
  <c r="O1694" i="12"/>
  <c r="K1694" i="12"/>
  <c r="L1694" i="12" s="1"/>
  <c r="P1693" i="12"/>
  <c r="O1693" i="12"/>
  <c r="K1693" i="12"/>
  <c r="L1693" i="12" s="1"/>
  <c r="O1692" i="12"/>
  <c r="P1692" i="12" s="1"/>
  <c r="K1692" i="12"/>
  <c r="L1692" i="12" s="1"/>
  <c r="P1691" i="12"/>
  <c r="O1691" i="12"/>
  <c r="K1691" i="12"/>
  <c r="L1691" i="12" s="1"/>
  <c r="P1690" i="12"/>
  <c r="O1690" i="12"/>
  <c r="L1690" i="12"/>
  <c r="K1690" i="12"/>
  <c r="O1689" i="12"/>
  <c r="P1689" i="12" s="1"/>
  <c r="L1689" i="12"/>
  <c r="K1689" i="12"/>
  <c r="P1688" i="12"/>
  <c r="O1688" i="12"/>
  <c r="K1688" i="12"/>
  <c r="L1688" i="12" s="1"/>
  <c r="P1687" i="12"/>
  <c r="O1687" i="12"/>
  <c r="K1687" i="12"/>
  <c r="L1687" i="12" s="1"/>
  <c r="O1686" i="12"/>
  <c r="P1686" i="12" s="1"/>
  <c r="L1686" i="12"/>
  <c r="K1686" i="12"/>
  <c r="P1685" i="12"/>
  <c r="K1685" i="12"/>
  <c r="L1685" i="12" s="1"/>
  <c r="P1684" i="12"/>
  <c r="L1684" i="12"/>
  <c r="K1684" i="12"/>
  <c r="P1683" i="12"/>
  <c r="K1683" i="12"/>
  <c r="L1683" i="12" s="1"/>
  <c r="P1682" i="12"/>
  <c r="K1682" i="12"/>
  <c r="L1682" i="12" s="1"/>
  <c r="P1681" i="12"/>
  <c r="L1681" i="12"/>
  <c r="K1681" i="12"/>
  <c r="P1680" i="12"/>
  <c r="K1680" i="12"/>
  <c r="L1680" i="12" s="1"/>
  <c r="P1679" i="12"/>
  <c r="K1679" i="12"/>
  <c r="L1679" i="12" s="1"/>
  <c r="P1678" i="12"/>
  <c r="L1678" i="12"/>
  <c r="K1678" i="12"/>
  <c r="P1677" i="12"/>
  <c r="K1677" i="12"/>
  <c r="L1677" i="12" s="1"/>
  <c r="P1676" i="12"/>
  <c r="L1676" i="12"/>
  <c r="K1676" i="12"/>
  <c r="P1675" i="12"/>
  <c r="K1675" i="12"/>
  <c r="L1675" i="12" s="1"/>
  <c r="P1674" i="12"/>
  <c r="K1674" i="12"/>
  <c r="L1674" i="12" s="1"/>
  <c r="P1673" i="12"/>
  <c r="L1673" i="12"/>
  <c r="K1673" i="12"/>
  <c r="P1672" i="12"/>
  <c r="K1672" i="12"/>
  <c r="L1672" i="12" s="1"/>
  <c r="P1671" i="12"/>
  <c r="K1671" i="12"/>
  <c r="L1671" i="12" s="1"/>
  <c r="P1670" i="12"/>
  <c r="L1670" i="12"/>
  <c r="K1670" i="12"/>
  <c r="P1669" i="12"/>
  <c r="K1669" i="12"/>
  <c r="L1669" i="12" s="1"/>
  <c r="P1668" i="12"/>
  <c r="L1668" i="12"/>
  <c r="K1668" i="12"/>
  <c r="P1667" i="12"/>
  <c r="K1667" i="12"/>
  <c r="L1667" i="12" s="1"/>
  <c r="P1666" i="12"/>
  <c r="K1666" i="12"/>
  <c r="L1666" i="12" s="1"/>
  <c r="P1665" i="12"/>
  <c r="L1665" i="12"/>
  <c r="K1665" i="12"/>
  <c r="P1664" i="12"/>
  <c r="K1664" i="12"/>
  <c r="L1664" i="12" s="1"/>
  <c r="P1663" i="12"/>
  <c r="K1663" i="12"/>
  <c r="L1663" i="12" s="1"/>
  <c r="P1662" i="12"/>
  <c r="K1662" i="12"/>
  <c r="L1662" i="12" s="1"/>
  <c r="P1661" i="12"/>
  <c r="L1661" i="12"/>
  <c r="K1661" i="12"/>
  <c r="P1660" i="12"/>
  <c r="L1660" i="12"/>
  <c r="K1660" i="12"/>
  <c r="P1659" i="12"/>
  <c r="K1659" i="12"/>
  <c r="L1659" i="12" s="1"/>
  <c r="P1658" i="12"/>
  <c r="K1658" i="12"/>
  <c r="L1658" i="12" s="1"/>
  <c r="P1657" i="12"/>
  <c r="K1657" i="12"/>
  <c r="L1657" i="12" s="1"/>
  <c r="P1656" i="12"/>
  <c r="K1656" i="12"/>
  <c r="L1656" i="12" s="1"/>
  <c r="P1655" i="12"/>
  <c r="K1655" i="12"/>
  <c r="L1655" i="12" s="1"/>
  <c r="P1654" i="12"/>
  <c r="K1654" i="12"/>
  <c r="L1654" i="12" s="1"/>
  <c r="P1653" i="12"/>
  <c r="K1653" i="12"/>
  <c r="L1653" i="12" s="1"/>
  <c r="P1652" i="12"/>
  <c r="K1652" i="12"/>
  <c r="L1652" i="12" s="1"/>
  <c r="P1651" i="12"/>
  <c r="K1651" i="12"/>
  <c r="L1651" i="12" s="1"/>
  <c r="P1650" i="12"/>
  <c r="K1650" i="12"/>
  <c r="L1650" i="12" s="1"/>
  <c r="P1649" i="12"/>
  <c r="K1649" i="12"/>
  <c r="L1649" i="12" s="1"/>
  <c r="P1648" i="12"/>
  <c r="K1648" i="12"/>
  <c r="L1648" i="12" s="1"/>
  <c r="P1647" i="12"/>
  <c r="K1647" i="12"/>
  <c r="L1647" i="12" s="1"/>
  <c r="P1646" i="12"/>
  <c r="L1646" i="12"/>
  <c r="K1646" i="12"/>
  <c r="P1645" i="12"/>
  <c r="L1645" i="12"/>
  <c r="K1645" i="12"/>
  <c r="P1644" i="12"/>
  <c r="L1644" i="12"/>
  <c r="K1644" i="12"/>
  <c r="P1643" i="12"/>
  <c r="K1643" i="12"/>
  <c r="L1643" i="12" s="1"/>
  <c r="P1642" i="12"/>
  <c r="K1642" i="12"/>
  <c r="L1642" i="12" s="1"/>
  <c r="P1641" i="12"/>
  <c r="L1641" i="12"/>
  <c r="K1641" i="12"/>
  <c r="P1640" i="12"/>
  <c r="K1640" i="12"/>
  <c r="L1640" i="12" s="1"/>
  <c r="P1639" i="12"/>
  <c r="K1639" i="12"/>
  <c r="L1639" i="12" s="1"/>
  <c r="P1638" i="12"/>
  <c r="K1638" i="12"/>
  <c r="L1638" i="12" s="1"/>
  <c r="P1637" i="12"/>
  <c r="K1637" i="12"/>
  <c r="L1637" i="12" s="1"/>
  <c r="P1636" i="12"/>
  <c r="L1636" i="12"/>
  <c r="K1636" i="12"/>
  <c r="P1635" i="12"/>
  <c r="K1635" i="12"/>
  <c r="L1635" i="12" s="1"/>
  <c r="P1634" i="12"/>
  <c r="K1634" i="12"/>
  <c r="L1634" i="12" s="1"/>
  <c r="P1633" i="12"/>
  <c r="K1633" i="12"/>
  <c r="L1633" i="12" s="1"/>
  <c r="P1632" i="12"/>
  <c r="L1632" i="12"/>
  <c r="K1632" i="12"/>
  <c r="P1631" i="12"/>
  <c r="K1631" i="12"/>
  <c r="L1631" i="12" s="1"/>
  <c r="P1630" i="12"/>
  <c r="L1630" i="12"/>
  <c r="K1630" i="12"/>
  <c r="P1629" i="12"/>
  <c r="K1629" i="12"/>
  <c r="L1629" i="12" s="1"/>
  <c r="P1628" i="12"/>
  <c r="K1628" i="12"/>
  <c r="L1628" i="12" s="1"/>
  <c r="P1627" i="12"/>
  <c r="K1627" i="12"/>
  <c r="L1627" i="12" s="1"/>
  <c r="P1626" i="12"/>
  <c r="L1626" i="12"/>
  <c r="K1626" i="12"/>
  <c r="P1625" i="12"/>
  <c r="L1625" i="12"/>
  <c r="K1625" i="12"/>
  <c r="P1624" i="12"/>
  <c r="K1624" i="12"/>
  <c r="L1624" i="12" s="1"/>
  <c r="P1623" i="12"/>
  <c r="K1623" i="12"/>
  <c r="L1623" i="12" s="1"/>
  <c r="P1622" i="12"/>
  <c r="L1622" i="12"/>
  <c r="K1622" i="12"/>
  <c r="P1621" i="12"/>
  <c r="K1621" i="12"/>
  <c r="L1621" i="12" s="1"/>
  <c r="P1620" i="12"/>
  <c r="L1620" i="12"/>
  <c r="K1620" i="12"/>
  <c r="P1619" i="12"/>
  <c r="K1619" i="12"/>
  <c r="L1619" i="12" s="1"/>
  <c r="P1618" i="12"/>
  <c r="K1618" i="12"/>
  <c r="L1618" i="12" s="1"/>
  <c r="P1617" i="12"/>
  <c r="L1617" i="12"/>
  <c r="K1617" i="12"/>
  <c r="P1616" i="12"/>
  <c r="K1616" i="12"/>
  <c r="L1616" i="12" s="1"/>
  <c r="P1615" i="12"/>
  <c r="K1615" i="12"/>
  <c r="L1615" i="12" s="1"/>
  <c r="P1614" i="12"/>
  <c r="L1614" i="12"/>
  <c r="K1614" i="12"/>
  <c r="O1613" i="12"/>
  <c r="P1613" i="12" s="1"/>
  <c r="K1613" i="12"/>
  <c r="L1613" i="12" s="1"/>
  <c r="P1612" i="12"/>
  <c r="O1612" i="12"/>
  <c r="K1612" i="12"/>
  <c r="L1612" i="12" s="1"/>
  <c r="O1611" i="12"/>
  <c r="P1611" i="12" s="1"/>
  <c r="K1611" i="12"/>
  <c r="L1611" i="12" s="1"/>
  <c r="O1610" i="12"/>
  <c r="P1610" i="12" s="1"/>
  <c r="L1610" i="12"/>
  <c r="K1610" i="12"/>
  <c r="O1609" i="12"/>
  <c r="P1609" i="12" s="1"/>
  <c r="K1609" i="12"/>
  <c r="L1609" i="12" s="1"/>
  <c r="O1608" i="12"/>
  <c r="P1608" i="12" s="1"/>
  <c r="L1608" i="12"/>
  <c r="K1608" i="12"/>
  <c r="P1607" i="12"/>
  <c r="O1607" i="12"/>
  <c r="K1607" i="12"/>
  <c r="L1607" i="12" s="1"/>
  <c r="P1606" i="12"/>
  <c r="O1606" i="12"/>
  <c r="L1606" i="12"/>
  <c r="K1606" i="12"/>
  <c r="O1605" i="12"/>
  <c r="P1605" i="12" s="1"/>
  <c r="K1605" i="12"/>
  <c r="L1605" i="12" s="1"/>
  <c r="P1604" i="12"/>
  <c r="O1604" i="12"/>
  <c r="K1604" i="12"/>
  <c r="L1604" i="12" s="1"/>
  <c r="P1603" i="12"/>
  <c r="O1603" i="12"/>
  <c r="L1603" i="12"/>
  <c r="K1603" i="12"/>
  <c r="O1602" i="12"/>
  <c r="P1602" i="12" s="1"/>
  <c r="L1602" i="12"/>
  <c r="K1602" i="12"/>
  <c r="O1601" i="12"/>
  <c r="P1601" i="12" s="1"/>
  <c r="L1601" i="12"/>
  <c r="K1601" i="12"/>
  <c r="P1600" i="12"/>
  <c r="O1600" i="12"/>
  <c r="L1600" i="12"/>
  <c r="K1600" i="12"/>
  <c r="O1599" i="12"/>
  <c r="P1599" i="12" s="1"/>
  <c r="L1599" i="12"/>
  <c r="K1599" i="12"/>
  <c r="P1598" i="12"/>
  <c r="O1598" i="12"/>
  <c r="L1598" i="12"/>
  <c r="K1598" i="12"/>
  <c r="O1597" i="12"/>
  <c r="P1597" i="12" s="1"/>
  <c r="L1597" i="12"/>
  <c r="K1597" i="12"/>
  <c r="O1596" i="12"/>
  <c r="P1596" i="12" s="1"/>
  <c r="L1596" i="12"/>
  <c r="K1596" i="12"/>
  <c r="P1595" i="12"/>
  <c r="O1595" i="12"/>
  <c r="L1595" i="12"/>
  <c r="K1595" i="12"/>
  <c r="P1594" i="12"/>
  <c r="O1594" i="12"/>
  <c r="K1594" i="12"/>
  <c r="L1594" i="12" s="1"/>
  <c r="O1593" i="12"/>
  <c r="P1593" i="12" s="1"/>
  <c r="K1593" i="12"/>
  <c r="L1593" i="12" s="1"/>
  <c r="O1592" i="12"/>
  <c r="P1592" i="12" s="1"/>
  <c r="K1592" i="12"/>
  <c r="L1592" i="12" s="1"/>
  <c r="O1591" i="12"/>
  <c r="P1591" i="12" s="1"/>
  <c r="K1591" i="12"/>
  <c r="L1591" i="12" s="1"/>
  <c r="O1590" i="12"/>
  <c r="P1590" i="12" s="1"/>
  <c r="L1590" i="12"/>
  <c r="K1590" i="12"/>
  <c r="P1589" i="12"/>
  <c r="O1589" i="12"/>
  <c r="K1589" i="12"/>
  <c r="L1589" i="12" s="1"/>
  <c r="O1588" i="12"/>
  <c r="P1588" i="12" s="1"/>
  <c r="K1588" i="12"/>
  <c r="L1588" i="12" s="1"/>
  <c r="O1587" i="12"/>
  <c r="P1587" i="12" s="1"/>
  <c r="K1587" i="12"/>
  <c r="L1587" i="12" s="1"/>
  <c r="P1586" i="12"/>
  <c r="O1586" i="12"/>
  <c r="K1586" i="12"/>
  <c r="L1586" i="12" s="1"/>
  <c r="O1585" i="12"/>
  <c r="P1585" i="12" s="1"/>
  <c r="L1585" i="12"/>
  <c r="K1585" i="12"/>
  <c r="P1584" i="12"/>
  <c r="O1584" i="12"/>
  <c r="L1584" i="12"/>
  <c r="K1584" i="12"/>
  <c r="P1583" i="12"/>
  <c r="O1583" i="12"/>
  <c r="K1583" i="12"/>
  <c r="L1583" i="12" s="1"/>
  <c r="O1582" i="12"/>
  <c r="P1582" i="12" s="1"/>
  <c r="K1582" i="12"/>
  <c r="L1582" i="12" s="1"/>
  <c r="O1581" i="12"/>
  <c r="P1581" i="12" s="1"/>
  <c r="K1581" i="12"/>
  <c r="L1581" i="12" s="1"/>
  <c r="P1580" i="12"/>
  <c r="O1580" i="12"/>
  <c r="K1580" i="12"/>
  <c r="L1580" i="12" s="1"/>
  <c r="P1579" i="12"/>
  <c r="O1579" i="12"/>
  <c r="K1579" i="12"/>
  <c r="L1579" i="12" s="1"/>
  <c r="O1578" i="12"/>
  <c r="P1578" i="12" s="1"/>
  <c r="L1578" i="12"/>
  <c r="K1578" i="12"/>
  <c r="P1577" i="12"/>
  <c r="O1577" i="12"/>
  <c r="K1577" i="12"/>
  <c r="L1577" i="12" s="1"/>
  <c r="O1576" i="12"/>
  <c r="P1576" i="12" s="1"/>
  <c r="L1576" i="12"/>
  <c r="K1576" i="12"/>
  <c r="O1575" i="12"/>
  <c r="P1575" i="12" s="1"/>
  <c r="L1575" i="12"/>
  <c r="K1575" i="12"/>
  <c r="P1574" i="12"/>
  <c r="O1574" i="12"/>
  <c r="K1574" i="12"/>
  <c r="L1574" i="12" s="1"/>
  <c r="O1573" i="12"/>
  <c r="P1573" i="12" s="1"/>
  <c r="K1573" i="12"/>
  <c r="L1573" i="12" s="1"/>
  <c r="O1572" i="12"/>
  <c r="P1572" i="12" s="1"/>
  <c r="L1572" i="12"/>
  <c r="K1572" i="12"/>
  <c r="O1571" i="12"/>
  <c r="P1571" i="12" s="1"/>
  <c r="K1571" i="12"/>
  <c r="L1571" i="12" s="1"/>
  <c r="O1570" i="12"/>
  <c r="P1570" i="12" s="1"/>
  <c r="K1570" i="12"/>
  <c r="L1570" i="12" s="1"/>
  <c r="O1569" i="12"/>
  <c r="P1569" i="12" s="1"/>
  <c r="K1569" i="12"/>
  <c r="L1569" i="12" s="1"/>
  <c r="O1568" i="12"/>
  <c r="P1568" i="12" s="1"/>
  <c r="K1568" i="12"/>
  <c r="L1568" i="12" s="1"/>
  <c r="O1567" i="12"/>
  <c r="P1567" i="12" s="1"/>
  <c r="K1567" i="12"/>
  <c r="L1567" i="12" s="1"/>
  <c r="O1566" i="12"/>
  <c r="P1566" i="12" s="1"/>
  <c r="K1566" i="12"/>
  <c r="L1566" i="12" s="1"/>
  <c r="O1565" i="12"/>
  <c r="P1565" i="12" s="1"/>
  <c r="K1565" i="12"/>
  <c r="L1565" i="12" s="1"/>
  <c r="O1564" i="12"/>
  <c r="P1564" i="12" s="1"/>
  <c r="L1564" i="12"/>
  <c r="K1564" i="12"/>
  <c r="O1563" i="12"/>
  <c r="P1563" i="12" s="1"/>
  <c r="K1563" i="12"/>
  <c r="L1563" i="12" s="1"/>
  <c r="P1562" i="12"/>
  <c r="O1562" i="12"/>
  <c r="K1562" i="12"/>
  <c r="L1562" i="12" s="1"/>
  <c r="O1561" i="12"/>
  <c r="P1561" i="12" s="1"/>
  <c r="L1561" i="12"/>
  <c r="K1561" i="12"/>
  <c r="O1560" i="12"/>
  <c r="P1560" i="12" s="1"/>
  <c r="L1560" i="12"/>
  <c r="K1560" i="12"/>
  <c r="O1559" i="12"/>
  <c r="P1559" i="12" s="1"/>
  <c r="K1559" i="12"/>
  <c r="L1559" i="12" s="1"/>
  <c r="O1558" i="12"/>
  <c r="P1558" i="12" s="1"/>
  <c r="L1558" i="12"/>
  <c r="K1558" i="12"/>
  <c r="P1557" i="12"/>
  <c r="O1557" i="12"/>
  <c r="L1557" i="12"/>
  <c r="K1557" i="12"/>
  <c r="P1556" i="12"/>
  <c r="O1556" i="12"/>
  <c r="K1556" i="12"/>
  <c r="L1556" i="12" s="1"/>
  <c r="P1555" i="12"/>
  <c r="O1555" i="12"/>
  <c r="K1555" i="12"/>
  <c r="L1555" i="12" s="1"/>
  <c r="O1554" i="12"/>
  <c r="P1554" i="12" s="1"/>
  <c r="L1554" i="12"/>
  <c r="K1554" i="12"/>
  <c r="P1553" i="12"/>
  <c r="O1553" i="12"/>
  <c r="K1553" i="12"/>
  <c r="L1553" i="12" s="1"/>
  <c r="O1552" i="12"/>
  <c r="P1552" i="12" s="1"/>
  <c r="K1552" i="12"/>
  <c r="L1552" i="12" s="1"/>
  <c r="O1551" i="12"/>
  <c r="P1551" i="12" s="1"/>
  <c r="K1551" i="12"/>
  <c r="L1551" i="12" s="1"/>
  <c r="O1550" i="12"/>
  <c r="P1550" i="12" s="1"/>
  <c r="K1550" i="12"/>
  <c r="L1550" i="12" s="1"/>
  <c r="P1549" i="12"/>
  <c r="O1549" i="12"/>
  <c r="K1549" i="12"/>
  <c r="L1549" i="12" s="1"/>
  <c r="P1548" i="12"/>
  <c r="O1548" i="12"/>
  <c r="L1548" i="12"/>
  <c r="K1548" i="12"/>
  <c r="O1547" i="12"/>
  <c r="P1547" i="12" s="1"/>
  <c r="K1547" i="12"/>
  <c r="L1547" i="12" s="1"/>
  <c r="O1546" i="12"/>
  <c r="P1546" i="12" s="1"/>
  <c r="L1546" i="12"/>
  <c r="K1546" i="12"/>
  <c r="O1545" i="12"/>
  <c r="P1545" i="12" s="1"/>
  <c r="K1545" i="12"/>
  <c r="L1545" i="12" s="1"/>
  <c r="P1544" i="12"/>
  <c r="O1544" i="12"/>
  <c r="K1544" i="12"/>
  <c r="L1544" i="12" s="1"/>
  <c r="P1543" i="12"/>
  <c r="O1543" i="12"/>
  <c r="L1543" i="12"/>
  <c r="K1543" i="12"/>
  <c r="O1542" i="12"/>
  <c r="P1542" i="12" s="1"/>
  <c r="L1542" i="12"/>
  <c r="K1542" i="12"/>
  <c r="O1541" i="12"/>
  <c r="P1541" i="12" s="1"/>
  <c r="K1541" i="12"/>
  <c r="L1541" i="12" s="1"/>
  <c r="O1540" i="12"/>
  <c r="P1540" i="12" s="1"/>
  <c r="L1540" i="12"/>
  <c r="K1540" i="12"/>
  <c r="O1539" i="12"/>
  <c r="P1539" i="12" s="1"/>
  <c r="L1539" i="12"/>
  <c r="K1539" i="12"/>
  <c r="O1538" i="12"/>
  <c r="P1538" i="12" s="1"/>
  <c r="K1538" i="12"/>
  <c r="L1538" i="12" s="1"/>
  <c r="O1537" i="12"/>
  <c r="P1537" i="12" s="1"/>
  <c r="K1537" i="12"/>
  <c r="L1537" i="12" s="1"/>
  <c r="P1536" i="12"/>
  <c r="O1536" i="12"/>
  <c r="K1536" i="12"/>
  <c r="L1536" i="12" s="1"/>
  <c r="P1535" i="12"/>
  <c r="O1535" i="12"/>
  <c r="K1535" i="12"/>
  <c r="L1535" i="12" s="1"/>
  <c r="O1534" i="12"/>
  <c r="P1534" i="12" s="1"/>
  <c r="L1534" i="12"/>
  <c r="K1534" i="12"/>
  <c r="O1533" i="12"/>
  <c r="P1533" i="12" s="1"/>
  <c r="L1533" i="12"/>
  <c r="K1533" i="12"/>
  <c r="O1532" i="12"/>
  <c r="P1532" i="12" s="1"/>
  <c r="K1532" i="12"/>
  <c r="L1532" i="12" s="1"/>
  <c r="O1531" i="12"/>
  <c r="P1531" i="12" s="1"/>
  <c r="L1531" i="12"/>
  <c r="K1531" i="12"/>
  <c r="O1530" i="12"/>
  <c r="P1530" i="12" s="1"/>
  <c r="L1530" i="12"/>
  <c r="K1530" i="12"/>
  <c r="P1529" i="12"/>
  <c r="O1529" i="12"/>
  <c r="K1529" i="12"/>
  <c r="L1529" i="12" s="1"/>
  <c r="O1528" i="12"/>
  <c r="P1528" i="12" s="1"/>
  <c r="L1528" i="12"/>
  <c r="K1528" i="12"/>
  <c r="O1527" i="12"/>
  <c r="P1527" i="12" s="1"/>
  <c r="K1527" i="12"/>
  <c r="L1527" i="12" s="1"/>
  <c r="O1526" i="12"/>
  <c r="P1526" i="12" s="1"/>
  <c r="K1526" i="12"/>
  <c r="L1526" i="12" s="1"/>
  <c r="P1525" i="12"/>
  <c r="O1525" i="12"/>
  <c r="L1525" i="12"/>
  <c r="K1525" i="12"/>
  <c r="O1524" i="12"/>
  <c r="P1524" i="12" s="1"/>
  <c r="K1524" i="12"/>
  <c r="L1524" i="12" s="1"/>
  <c r="P1523" i="12"/>
  <c r="O1523" i="12"/>
  <c r="K1523" i="12"/>
  <c r="L1523" i="12" s="1"/>
  <c r="O1522" i="12"/>
  <c r="P1522" i="12" s="1"/>
  <c r="K1522" i="12"/>
  <c r="L1522" i="12" s="1"/>
  <c r="O1521" i="12"/>
  <c r="P1521" i="12" s="1"/>
  <c r="L1521" i="12"/>
  <c r="K1521" i="12"/>
  <c r="O1520" i="12"/>
  <c r="P1520" i="12" s="1"/>
  <c r="K1520" i="12"/>
  <c r="L1520" i="12" s="1"/>
  <c r="P1519" i="12"/>
  <c r="O1519" i="12"/>
  <c r="K1519" i="12"/>
  <c r="L1519" i="12" s="1"/>
  <c r="O1518" i="12"/>
  <c r="P1518" i="12" s="1"/>
  <c r="L1518" i="12"/>
  <c r="K1518" i="12"/>
  <c r="P1517" i="12"/>
  <c r="O1517" i="12"/>
  <c r="K1517" i="12"/>
  <c r="L1517" i="12" s="1"/>
  <c r="O1516" i="12"/>
  <c r="P1516" i="12" s="1"/>
  <c r="L1516" i="12"/>
  <c r="K1516" i="12"/>
  <c r="O1515" i="12"/>
  <c r="P1515" i="12" s="1"/>
  <c r="K1515" i="12"/>
  <c r="L1515" i="12" s="1"/>
  <c r="O1514" i="12"/>
  <c r="P1514" i="12" s="1"/>
  <c r="K1514" i="12"/>
  <c r="L1514" i="12" s="1"/>
  <c r="O1513" i="12"/>
  <c r="P1513" i="12" s="1"/>
  <c r="L1513" i="12"/>
  <c r="K1513" i="12"/>
  <c r="O1512" i="12"/>
  <c r="P1512" i="12" s="1"/>
  <c r="L1512" i="12"/>
  <c r="K1512" i="12"/>
  <c r="O1511" i="12"/>
  <c r="P1511" i="12" s="1"/>
  <c r="K1511" i="12"/>
  <c r="L1511" i="12" s="1"/>
  <c r="O1510" i="12"/>
  <c r="P1510" i="12" s="1"/>
  <c r="L1510" i="12"/>
  <c r="K1510" i="12"/>
  <c r="O1509" i="12"/>
  <c r="P1509" i="12" s="1"/>
  <c r="K1509" i="12"/>
  <c r="L1509" i="12" s="1"/>
  <c r="P1508" i="12"/>
  <c r="O1508" i="12"/>
  <c r="K1508" i="12"/>
  <c r="L1508" i="12" s="1"/>
  <c r="O1507" i="12"/>
  <c r="P1507" i="12" s="1"/>
  <c r="K1507" i="12"/>
  <c r="L1507" i="12" s="1"/>
  <c r="O1506" i="12"/>
  <c r="P1506" i="12" s="1"/>
  <c r="K1506" i="12"/>
  <c r="L1506" i="12" s="1"/>
  <c r="O1505" i="12"/>
  <c r="P1505" i="12" s="1"/>
  <c r="K1505" i="12"/>
  <c r="L1505" i="12" s="1"/>
  <c r="O1504" i="12"/>
  <c r="P1504" i="12" s="1"/>
  <c r="L1504" i="12"/>
  <c r="K1504" i="12"/>
  <c r="O1503" i="12"/>
  <c r="P1503" i="12" s="1"/>
  <c r="K1503" i="12"/>
  <c r="L1503" i="12" s="1"/>
  <c r="O1502" i="12"/>
  <c r="P1502" i="12" s="1"/>
  <c r="K1502" i="12"/>
  <c r="L1502" i="12" s="1"/>
  <c r="O1501" i="12"/>
  <c r="P1501" i="12" s="1"/>
  <c r="L1501" i="12"/>
  <c r="K1501" i="12"/>
  <c r="O1500" i="12"/>
  <c r="P1500" i="12" s="1"/>
  <c r="L1500" i="12"/>
  <c r="K1500" i="12"/>
  <c r="P1499" i="12"/>
  <c r="O1499" i="12"/>
  <c r="K1499" i="12"/>
  <c r="L1499" i="12" s="1"/>
  <c r="P1498" i="12"/>
  <c r="O1498" i="12"/>
  <c r="K1498" i="12"/>
  <c r="L1498" i="12" s="1"/>
  <c r="O1497" i="12"/>
  <c r="P1497" i="12" s="1"/>
  <c r="K1497" i="12"/>
  <c r="L1497" i="12" s="1"/>
  <c r="O1496" i="12"/>
  <c r="P1496" i="12" s="1"/>
  <c r="K1496" i="12"/>
  <c r="L1496" i="12" s="1"/>
  <c r="O1495" i="12"/>
  <c r="P1495" i="12" s="1"/>
  <c r="K1495" i="12"/>
  <c r="L1495" i="12" s="1"/>
  <c r="P1494" i="12"/>
  <c r="O1494" i="12"/>
  <c r="K1494" i="12"/>
  <c r="L1494" i="12" s="1"/>
  <c r="P1493" i="12"/>
  <c r="O1493" i="12"/>
  <c r="K1493" i="12"/>
  <c r="L1493" i="12" s="1"/>
  <c r="O1492" i="12"/>
  <c r="P1492" i="12" s="1"/>
  <c r="K1492" i="12"/>
  <c r="L1492" i="12" s="1"/>
  <c r="O1491" i="12"/>
  <c r="P1491" i="12" s="1"/>
  <c r="K1491" i="12"/>
  <c r="L1491" i="12" s="1"/>
  <c r="O1490" i="12"/>
  <c r="P1490" i="12" s="1"/>
  <c r="K1490" i="12"/>
  <c r="L1490" i="12" s="1"/>
  <c r="O1489" i="12"/>
  <c r="P1489" i="12" s="1"/>
  <c r="L1489" i="12"/>
  <c r="K1489" i="12"/>
  <c r="O1488" i="12"/>
  <c r="P1488" i="12" s="1"/>
  <c r="K1488" i="12"/>
  <c r="L1488" i="12" s="1"/>
  <c r="P1487" i="12"/>
  <c r="O1487" i="12"/>
  <c r="K1487" i="12"/>
  <c r="L1487" i="12" s="1"/>
  <c r="O1486" i="12"/>
  <c r="P1486" i="12" s="1"/>
  <c r="K1486" i="12"/>
  <c r="L1486" i="12" s="1"/>
  <c r="O1485" i="12"/>
  <c r="P1485" i="12" s="1"/>
  <c r="L1485" i="12"/>
  <c r="K1485" i="12"/>
  <c r="O1484" i="12"/>
  <c r="P1484" i="12" s="1"/>
  <c r="K1484" i="12"/>
  <c r="L1484" i="12" s="1"/>
  <c r="O1483" i="12"/>
  <c r="P1483" i="12" s="1"/>
  <c r="K1483" i="12"/>
  <c r="L1483" i="12" s="1"/>
  <c r="O1482" i="12"/>
  <c r="P1482" i="12" s="1"/>
  <c r="L1482" i="12"/>
  <c r="K1482" i="12"/>
  <c r="P1481" i="12"/>
  <c r="O1481" i="12"/>
  <c r="K1481" i="12"/>
  <c r="L1481" i="12" s="1"/>
  <c r="O1480" i="12"/>
  <c r="P1480" i="12" s="1"/>
  <c r="K1480" i="12"/>
  <c r="L1480" i="12" s="1"/>
  <c r="O1479" i="12"/>
  <c r="P1479" i="12" s="1"/>
  <c r="K1479" i="12"/>
  <c r="L1479" i="12" s="1"/>
  <c r="O1478" i="12"/>
  <c r="P1478" i="12" s="1"/>
  <c r="K1478" i="12"/>
  <c r="L1478" i="12" s="1"/>
  <c r="O1477" i="12"/>
  <c r="P1477" i="12" s="1"/>
  <c r="K1477" i="12"/>
  <c r="L1477" i="12" s="1"/>
  <c r="O1476" i="12"/>
  <c r="P1476" i="12" s="1"/>
  <c r="K1476" i="12"/>
  <c r="L1476" i="12" s="1"/>
  <c r="O1475" i="12"/>
  <c r="P1475" i="12" s="1"/>
  <c r="K1475" i="12"/>
  <c r="L1475" i="12" s="1"/>
  <c r="O1474" i="12"/>
  <c r="P1474" i="12" s="1"/>
  <c r="K1474" i="12"/>
  <c r="L1474" i="12" s="1"/>
  <c r="O1473" i="12"/>
  <c r="P1473" i="12" s="1"/>
  <c r="L1473" i="12"/>
  <c r="K1473" i="12"/>
  <c r="O1472" i="12"/>
  <c r="P1472" i="12" s="1"/>
  <c r="K1472" i="12"/>
  <c r="L1472" i="12" s="1"/>
  <c r="O1471" i="12"/>
  <c r="P1471" i="12" s="1"/>
  <c r="L1471" i="12"/>
  <c r="K1471" i="12"/>
  <c r="P1470" i="12"/>
  <c r="O1470" i="12"/>
  <c r="L1470" i="12"/>
  <c r="K1470" i="12"/>
  <c r="O1469" i="12"/>
  <c r="P1469" i="12" s="1"/>
  <c r="K1469" i="12"/>
  <c r="L1469" i="12" s="1"/>
  <c r="O1468" i="12"/>
  <c r="P1468" i="12" s="1"/>
  <c r="L1468" i="12"/>
  <c r="K1468" i="12"/>
  <c r="O1467" i="12"/>
  <c r="P1467" i="12" s="1"/>
  <c r="L1467" i="12"/>
  <c r="K1467" i="12"/>
  <c r="O1466" i="12"/>
  <c r="P1466" i="12" s="1"/>
  <c r="K1466" i="12"/>
  <c r="L1466" i="12" s="1"/>
  <c r="O1465" i="12"/>
  <c r="P1465" i="12" s="1"/>
  <c r="K1465" i="12"/>
  <c r="L1465" i="12" s="1"/>
  <c r="O1464" i="12"/>
  <c r="P1464" i="12" s="1"/>
  <c r="K1464" i="12"/>
  <c r="L1464" i="12" s="1"/>
  <c r="O1463" i="12"/>
  <c r="P1463" i="12" s="1"/>
  <c r="K1463" i="12"/>
  <c r="L1463" i="12" s="1"/>
  <c r="O1462" i="12"/>
  <c r="P1462" i="12" s="1"/>
  <c r="L1462" i="12"/>
  <c r="K1462" i="12"/>
  <c r="O1461" i="12"/>
  <c r="P1461" i="12" s="1"/>
  <c r="K1461" i="12"/>
  <c r="L1461" i="12" s="1"/>
  <c r="O1460" i="12"/>
  <c r="P1460" i="12" s="1"/>
  <c r="K1460" i="12"/>
  <c r="L1460" i="12" s="1"/>
  <c r="O1459" i="12"/>
  <c r="P1459" i="12" s="1"/>
  <c r="L1459" i="12"/>
  <c r="K1459" i="12"/>
  <c r="P1458" i="12"/>
  <c r="O1458" i="12"/>
  <c r="L1458" i="12"/>
  <c r="K1458" i="12"/>
  <c r="P1457" i="12"/>
  <c r="O1457" i="12"/>
  <c r="K1457" i="12"/>
  <c r="L1457" i="12" s="1"/>
  <c r="O1456" i="12"/>
  <c r="P1456" i="12" s="1"/>
  <c r="K1456" i="12"/>
  <c r="L1456" i="12" s="1"/>
  <c r="O1455" i="12"/>
  <c r="P1455" i="12" s="1"/>
  <c r="L1455" i="12"/>
  <c r="K1455" i="12"/>
  <c r="O1454" i="12"/>
  <c r="P1454" i="12" s="1"/>
  <c r="K1454" i="12"/>
  <c r="L1454" i="12" s="1"/>
  <c r="P1453" i="12"/>
  <c r="O1453" i="12"/>
  <c r="K1453" i="12"/>
  <c r="L1453" i="12" s="1"/>
  <c r="O1452" i="12"/>
  <c r="P1452" i="12" s="1"/>
  <c r="K1452" i="12"/>
  <c r="L1452" i="12" s="1"/>
  <c r="P1451" i="12"/>
  <c r="O1451" i="12"/>
  <c r="K1451" i="12"/>
  <c r="L1451" i="12" s="1"/>
  <c r="O1450" i="12"/>
  <c r="P1450" i="12" s="1"/>
  <c r="K1450" i="12"/>
  <c r="L1450" i="12" s="1"/>
  <c r="P1449" i="12"/>
  <c r="O1449" i="12"/>
  <c r="K1449" i="12"/>
  <c r="L1449" i="12" s="1"/>
  <c r="O1448" i="12"/>
  <c r="P1448" i="12" s="1"/>
  <c r="K1448" i="12"/>
  <c r="L1448" i="12" s="1"/>
  <c r="P1447" i="12"/>
  <c r="O1447" i="12"/>
  <c r="L1447" i="12"/>
  <c r="K1447" i="12"/>
  <c r="O1446" i="12"/>
  <c r="P1446" i="12" s="1"/>
  <c r="L1446" i="12"/>
  <c r="K1446" i="12"/>
  <c r="O1445" i="12"/>
  <c r="P1445" i="12" s="1"/>
  <c r="K1445" i="12"/>
  <c r="L1445" i="12" s="1"/>
  <c r="O1444" i="12"/>
  <c r="P1444" i="12" s="1"/>
  <c r="K1444" i="12"/>
  <c r="L1444" i="12" s="1"/>
  <c r="O1443" i="12"/>
  <c r="P1443" i="12" s="1"/>
  <c r="L1443" i="12"/>
  <c r="K1443" i="12"/>
  <c r="O1442" i="12"/>
  <c r="P1442" i="12" s="1"/>
  <c r="K1442" i="12"/>
  <c r="L1442" i="12" s="1"/>
  <c r="P1441" i="12"/>
  <c r="O1441" i="12"/>
  <c r="L1441" i="12"/>
  <c r="K1441" i="12"/>
  <c r="P1440" i="12"/>
  <c r="O1440" i="12"/>
  <c r="K1440" i="12"/>
  <c r="L1440" i="12" s="1"/>
  <c r="O1439" i="12"/>
  <c r="P1439" i="12" s="1"/>
  <c r="K1439" i="12"/>
  <c r="L1439" i="12" s="1"/>
  <c r="O1438" i="12"/>
  <c r="P1438" i="12" s="1"/>
  <c r="K1438" i="12"/>
  <c r="L1438" i="12" s="1"/>
  <c r="O1437" i="12"/>
  <c r="P1437" i="12" s="1"/>
  <c r="L1437" i="12"/>
  <c r="K1437" i="12"/>
  <c r="P1436" i="12"/>
  <c r="O1436" i="12"/>
  <c r="K1436" i="12"/>
  <c r="L1436" i="12" s="1"/>
  <c r="P1435" i="12"/>
  <c r="O1435" i="12"/>
  <c r="K1435" i="12"/>
  <c r="L1435" i="12" s="1"/>
  <c r="O1434" i="12"/>
  <c r="P1434" i="12" s="1"/>
  <c r="K1434" i="12"/>
  <c r="L1434" i="12" s="1"/>
  <c r="O1433" i="12"/>
  <c r="P1433" i="12" s="1"/>
  <c r="K1433" i="12"/>
  <c r="L1433" i="12" s="1"/>
  <c r="O1432" i="12"/>
  <c r="P1432" i="12" s="1"/>
  <c r="K1432" i="12"/>
  <c r="L1432" i="12" s="1"/>
  <c r="O1431" i="12"/>
  <c r="P1431" i="12" s="1"/>
  <c r="K1431" i="12"/>
  <c r="L1431" i="12" s="1"/>
  <c r="O1430" i="12"/>
  <c r="P1430" i="12" s="1"/>
  <c r="K1430" i="12"/>
  <c r="L1430" i="12" s="1"/>
  <c r="O1429" i="12"/>
  <c r="P1429" i="12" s="1"/>
  <c r="K1429" i="12"/>
  <c r="L1429" i="12" s="1"/>
  <c r="O1428" i="12"/>
  <c r="P1428" i="12" s="1"/>
  <c r="K1428" i="12"/>
  <c r="L1428" i="12" s="1"/>
  <c r="P1427" i="12"/>
  <c r="O1427" i="12"/>
  <c r="K1427" i="12"/>
  <c r="L1427" i="12" s="1"/>
  <c r="P1426" i="12"/>
  <c r="O1426" i="12"/>
  <c r="K1426" i="12"/>
  <c r="L1426" i="12" s="1"/>
  <c r="O1425" i="12"/>
  <c r="P1425" i="12" s="1"/>
  <c r="L1425" i="12"/>
  <c r="K1425" i="12"/>
  <c r="O1424" i="12"/>
  <c r="P1424" i="12" s="1"/>
  <c r="K1424" i="12"/>
  <c r="L1424" i="12" s="1"/>
  <c r="O1423" i="12"/>
  <c r="P1423" i="12" s="1"/>
  <c r="L1423" i="12"/>
  <c r="K1423" i="12"/>
  <c r="P1422" i="12"/>
  <c r="O1422" i="12"/>
  <c r="K1422" i="12"/>
  <c r="L1422" i="12" s="1"/>
  <c r="P1421" i="12"/>
  <c r="O1421" i="12"/>
  <c r="K1421" i="12"/>
  <c r="L1421" i="12" s="1"/>
  <c r="O1420" i="12"/>
  <c r="P1420" i="12" s="1"/>
  <c r="L1420" i="12"/>
  <c r="K1420" i="12"/>
  <c r="O1419" i="12"/>
  <c r="P1419" i="12" s="1"/>
  <c r="L1419" i="12"/>
  <c r="K1419" i="12"/>
  <c r="P1418" i="12"/>
  <c r="O1418" i="12"/>
  <c r="K1418" i="12"/>
  <c r="L1418" i="12" s="1"/>
  <c r="P1417" i="12"/>
  <c r="O1417" i="12"/>
  <c r="L1417" i="12"/>
  <c r="K1417" i="12"/>
  <c r="O1416" i="12"/>
  <c r="P1416" i="12" s="1"/>
  <c r="K1416" i="12"/>
  <c r="L1416" i="12" s="1"/>
  <c r="P1415" i="12"/>
  <c r="O1415" i="12"/>
  <c r="K1415" i="12"/>
  <c r="L1415" i="12" s="1"/>
  <c r="O1414" i="12"/>
  <c r="P1414" i="12" s="1"/>
  <c r="K1414" i="12"/>
  <c r="L1414" i="12" s="1"/>
  <c r="O1413" i="12"/>
  <c r="P1413" i="12" s="1"/>
  <c r="K1413" i="12"/>
  <c r="L1413" i="12" s="1"/>
  <c r="O1412" i="12"/>
  <c r="P1412" i="12" s="1"/>
  <c r="K1412" i="12"/>
  <c r="L1412" i="12" s="1"/>
  <c r="P1411" i="12"/>
  <c r="O1411" i="12"/>
  <c r="L1411" i="12"/>
  <c r="K1411" i="12"/>
  <c r="O1410" i="12"/>
  <c r="P1410" i="12" s="1"/>
  <c r="L1410" i="12"/>
  <c r="K1410" i="12"/>
  <c r="P1409" i="12"/>
  <c r="O1409" i="12"/>
  <c r="K1409" i="12"/>
  <c r="L1409" i="12" s="1"/>
  <c r="O1408" i="12"/>
  <c r="P1408" i="12" s="1"/>
  <c r="K1408" i="12"/>
  <c r="L1408" i="12" s="1"/>
  <c r="O1407" i="12"/>
  <c r="P1407" i="12" s="1"/>
  <c r="L1407" i="12"/>
  <c r="K1407" i="12"/>
  <c r="O1406" i="12"/>
  <c r="P1406" i="12" s="1"/>
  <c r="K1406" i="12"/>
  <c r="L1406" i="12" s="1"/>
  <c r="O1405" i="12"/>
  <c r="P1405" i="12" s="1"/>
  <c r="L1405" i="12"/>
  <c r="K1405" i="12"/>
  <c r="P1404" i="12"/>
  <c r="O1404" i="12"/>
  <c r="K1404" i="12"/>
  <c r="L1404" i="12" s="1"/>
  <c r="O1403" i="12"/>
  <c r="P1403" i="12" s="1"/>
  <c r="K1403" i="12"/>
  <c r="L1403" i="12" s="1"/>
  <c r="O1402" i="12"/>
  <c r="P1402" i="12" s="1"/>
  <c r="K1402" i="12"/>
  <c r="L1402" i="12" s="1"/>
  <c r="O1401" i="12"/>
  <c r="P1401" i="12" s="1"/>
  <c r="L1401" i="12"/>
  <c r="K1401" i="12"/>
  <c r="P1400" i="12"/>
  <c r="O1400" i="12"/>
  <c r="K1400" i="12"/>
  <c r="L1400" i="12" s="1"/>
  <c r="O1399" i="12"/>
  <c r="P1399" i="12" s="1"/>
  <c r="L1399" i="12"/>
  <c r="K1399" i="12"/>
  <c r="O1398" i="12"/>
  <c r="P1398" i="12" s="1"/>
  <c r="L1398" i="12"/>
  <c r="K1398" i="12"/>
  <c r="O1397" i="12"/>
  <c r="P1397" i="12" s="1"/>
  <c r="K1397" i="12"/>
  <c r="L1397" i="12" s="1"/>
  <c r="O1396" i="12"/>
  <c r="P1396" i="12" s="1"/>
  <c r="K1396" i="12"/>
  <c r="L1396" i="12" s="1"/>
  <c r="O1395" i="12"/>
  <c r="P1395" i="12" s="1"/>
  <c r="L1395" i="12"/>
  <c r="K1395" i="12"/>
  <c r="O1394" i="12"/>
  <c r="P1394" i="12" s="1"/>
  <c r="K1394" i="12"/>
  <c r="L1394" i="12" s="1"/>
  <c r="O1393" i="12"/>
  <c r="P1393" i="12" s="1"/>
  <c r="L1393" i="12"/>
  <c r="K1393" i="12"/>
  <c r="P1392" i="12"/>
  <c r="O1392" i="12"/>
  <c r="K1392" i="12"/>
  <c r="L1392" i="12" s="1"/>
  <c r="P1391" i="12"/>
  <c r="O1391" i="12"/>
  <c r="K1391" i="12"/>
  <c r="L1391" i="12" s="1"/>
  <c r="O1390" i="12"/>
  <c r="P1390" i="12" s="1"/>
  <c r="K1390" i="12"/>
  <c r="L1390" i="12" s="1"/>
  <c r="O1389" i="12"/>
  <c r="P1389" i="12" s="1"/>
  <c r="K1389" i="12"/>
  <c r="L1389" i="12" s="1"/>
  <c r="O1388" i="12"/>
  <c r="P1388" i="12" s="1"/>
  <c r="K1388" i="12"/>
  <c r="L1388" i="12" s="1"/>
  <c r="O1387" i="12"/>
  <c r="P1387" i="12" s="1"/>
  <c r="K1387" i="12"/>
  <c r="L1387" i="12" s="1"/>
  <c r="O1386" i="12"/>
  <c r="P1386" i="12" s="1"/>
  <c r="L1386" i="12"/>
  <c r="K1386" i="12"/>
  <c r="P1385" i="12"/>
  <c r="O1385" i="12"/>
  <c r="K1385" i="12"/>
  <c r="L1385" i="12" s="1"/>
  <c r="O1384" i="12"/>
  <c r="P1384" i="12" s="1"/>
  <c r="K1384" i="12"/>
  <c r="L1384" i="12" s="1"/>
  <c r="O1383" i="12"/>
  <c r="P1383" i="12" s="1"/>
  <c r="K1383" i="12"/>
  <c r="L1383" i="12" s="1"/>
  <c r="P1382" i="12"/>
  <c r="O1382" i="12"/>
  <c r="K1382" i="12"/>
  <c r="L1382" i="12" s="1"/>
  <c r="P1381" i="12"/>
  <c r="O1381" i="12"/>
  <c r="K1381" i="12"/>
  <c r="L1381" i="12" s="1"/>
  <c r="O1380" i="12"/>
  <c r="P1380" i="12" s="1"/>
  <c r="K1380" i="12"/>
  <c r="L1380" i="12" s="1"/>
  <c r="O1379" i="12"/>
  <c r="P1379" i="12" s="1"/>
  <c r="K1379" i="12"/>
  <c r="L1379" i="12" s="1"/>
  <c r="P1378" i="12"/>
  <c r="O1378" i="12"/>
  <c r="L1378" i="12"/>
  <c r="K1378" i="12"/>
  <c r="P1377" i="12"/>
  <c r="O1377" i="12"/>
  <c r="L1377" i="12"/>
  <c r="K1377" i="12"/>
  <c r="O1376" i="12"/>
  <c r="P1376" i="12" s="1"/>
  <c r="K1376" i="12"/>
  <c r="L1376" i="12" s="1"/>
  <c r="O1375" i="12"/>
  <c r="P1375" i="12" s="1"/>
  <c r="L1375" i="12"/>
  <c r="K1375" i="12"/>
  <c r="O1374" i="12"/>
  <c r="P1374" i="12" s="1"/>
  <c r="L1374" i="12"/>
  <c r="K1374" i="12"/>
  <c r="P1373" i="12"/>
  <c r="O1373" i="12"/>
  <c r="K1373" i="12"/>
  <c r="L1373" i="12" s="1"/>
  <c r="O1372" i="12"/>
  <c r="P1372" i="12" s="1"/>
  <c r="K1372" i="12"/>
  <c r="L1372" i="12" s="1"/>
  <c r="O1371" i="12"/>
  <c r="P1371" i="12" s="1"/>
  <c r="K1371" i="12"/>
  <c r="L1371" i="12" s="1"/>
  <c r="O1370" i="12"/>
  <c r="P1370" i="12" s="1"/>
  <c r="K1370" i="12"/>
  <c r="L1370" i="12" s="1"/>
  <c r="P1369" i="12"/>
  <c r="O1369" i="12"/>
  <c r="K1369" i="12"/>
  <c r="L1369" i="12" s="1"/>
  <c r="P1368" i="12"/>
  <c r="O1368" i="12"/>
  <c r="L1368" i="12"/>
  <c r="K1368" i="12"/>
  <c r="O1367" i="12"/>
  <c r="P1367" i="12" s="1"/>
  <c r="K1367" i="12"/>
  <c r="L1367" i="12" s="1"/>
  <c r="O1366" i="12"/>
  <c r="P1366" i="12" s="1"/>
  <c r="L1366" i="12"/>
  <c r="K1366" i="12"/>
  <c r="O1365" i="12"/>
  <c r="P1365" i="12" s="1"/>
  <c r="K1365" i="12"/>
  <c r="L1365" i="12" s="1"/>
  <c r="P1364" i="12"/>
  <c r="O1364" i="12"/>
  <c r="K1364" i="12"/>
  <c r="L1364" i="12" s="1"/>
  <c r="O1363" i="12"/>
  <c r="P1363" i="12" s="1"/>
  <c r="K1363" i="12"/>
  <c r="L1363" i="12" s="1"/>
  <c r="O1362" i="12"/>
  <c r="P1362" i="12" s="1"/>
  <c r="L1362" i="12"/>
  <c r="K1362" i="12"/>
  <c r="O1361" i="12"/>
  <c r="P1361" i="12" s="1"/>
  <c r="K1361" i="12"/>
  <c r="L1361" i="12" s="1"/>
  <c r="O1360" i="12"/>
  <c r="P1360" i="12" s="1"/>
  <c r="L1360" i="12"/>
  <c r="K1360" i="12"/>
  <c r="O1359" i="12"/>
  <c r="P1359" i="12" s="1"/>
  <c r="L1359" i="12"/>
  <c r="K1359" i="12"/>
  <c r="O1358" i="12"/>
  <c r="P1358" i="12" s="1"/>
  <c r="K1358" i="12"/>
  <c r="L1358" i="12" s="1"/>
  <c r="O1357" i="12"/>
  <c r="P1357" i="12" s="1"/>
  <c r="L1357" i="12"/>
  <c r="K1357" i="12"/>
  <c r="O1356" i="12"/>
  <c r="P1356" i="12" s="1"/>
  <c r="L1356" i="12"/>
  <c r="K1356" i="12"/>
  <c r="O1355" i="12"/>
  <c r="P1355" i="12" s="1"/>
  <c r="K1355" i="12"/>
  <c r="L1355" i="12" s="1"/>
  <c r="P1354" i="12"/>
  <c r="O1354" i="12"/>
  <c r="K1354" i="12"/>
  <c r="L1354" i="12" s="1"/>
  <c r="O1353" i="12"/>
  <c r="P1353" i="12" s="1"/>
  <c r="K1353" i="12"/>
  <c r="L1353" i="12" s="1"/>
  <c r="O1352" i="12"/>
  <c r="P1352" i="12" s="1"/>
  <c r="K1352" i="12"/>
  <c r="L1352" i="12" s="1"/>
  <c r="O1351" i="12"/>
  <c r="P1351" i="12" s="1"/>
  <c r="K1351" i="12"/>
  <c r="L1351" i="12" s="1"/>
  <c r="P1350" i="12"/>
  <c r="O1350" i="12"/>
  <c r="K1350" i="12"/>
  <c r="L1350" i="12" s="1"/>
  <c r="P1349" i="12"/>
  <c r="O1349" i="12"/>
  <c r="K1349" i="12"/>
  <c r="L1349" i="12" s="1"/>
  <c r="O1348" i="12"/>
  <c r="P1348" i="12" s="1"/>
  <c r="K1348" i="12"/>
  <c r="L1348" i="12" s="1"/>
  <c r="O1347" i="12"/>
  <c r="P1347" i="12" s="1"/>
  <c r="K1347" i="12"/>
  <c r="L1347" i="12" s="1"/>
  <c r="P1346" i="12"/>
  <c r="O1346" i="12"/>
  <c r="K1346" i="12"/>
  <c r="L1346" i="12" s="1"/>
  <c r="P1345" i="12"/>
  <c r="O1345" i="12"/>
  <c r="K1345" i="12"/>
  <c r="L1345" i="12" s="1"/>
  <c r="O1344" i="12"/>
  <c r="P1344" i="12" s="1"/>
  <c r="K1344" i="12"/>
  <c r="L1344" i="12" s="1"/>
  <c r="O1343" i="12"/>
  <c r="P1343" i="12" s="1"/>
  <c r="K1343" i="12"/>
  <c r="L1343" i="12" s="1"/>
  <c r="P1342" i="12"/>
  <c r="O1342" i="12"/>
  <c r="K1342" i="12"/>
  <c r="L1342" i="12" s="1"/>
  <c r="P1341" i="12"/>
  <c r="O1341" i="12"/>
  <c r="K1341" i="12"/>
  <c r="L1341" i="12" s="1"/>
  <c r="O1340" i="12"/>
  <c r="P1340" i="12" s="1"/>
  <c r="K1340" i="12"/>
  <c r="L1340" i="12" s="1"/>
  <c r="O1339" i="12"/>
  <c r="P1339" i="12" s="1"/>
  <c r="L1339" i="12"/>
  <c r="K1339" i="12"/>
  <c r="O1338" i="12"/>
  <c r="P1338" i="12" s="1"/>
  <c r="K1338" i="12"/>
  <c r="L1338" i="12" s="1"/>
  <c r="O1337" i="12"/>
  <c r="P1337" i="12" s="1"/>
  <c r="K1337" i="12"/>
  <c r="L1337" i="12" s="1"/>
  <c r="O1336" i="12"/>
  <c r="P1336" i="12" s="1"/>
  <c r="K1336" i="12"/>
  <c r="L1336" i="12" s="1"/>
  <c r="O1335" i="12"/>
  <c r="P1335" i="12" s="1"/>
  <c r="K1335" i="12"/>
  <c r="L1335" i="12" s="1"/>
  <c r="O1334" i="12"/>
  <c r="P1334" i="12" s="1"/>
  <c r="K1334" i="12"/>
  <c r="L1334" i="12" s="1"/>
  <c r="O1333" i="12"/>
  <c r="P1333" i="12" s="1"/>
  <c r="L1333" i="12"/>
  <c r="K1333" i="12"/>
  <c r="O1332" i="12"/>
  <c r="P1332" i="12" s="1"/>
  <c r="K1332" i="12"/>
  <c r="L1332" i="12" s="1"/>
  <c r="P1331" i="12"/>
  <c r="O1331" i="12"/>
  <c r="K1331" i="12"/>
  <c r="L1331" i="12" s="1"/>
  <c r="P1330" i="12"/>
  <c r="O1330" i="12"/>
  <c r="L1330" i="12"/>
  <c r="K1330" i="12"/>
  <c r="P1329" i="12"/>
  <c r="O1329" i="12"/>
  <c r="K1329" i="12"/>
  <c r="L1329" i="12" s="1"/>
  <c r="O1328" i="12"/>
  <c r="P1328" i="12" s="1"/>
  <c r="K1328" i="12"/>
  <c r="L1328" i="12" s="1"/>
  <c r="O1327" i="12"/>
  <c r="P1327" i="12" s="1"/>
  <c r="L1327" i="12"/>
  <c r="K1327" i="12"/>
  <c r="O1326" i="12"/>
  <c r="P1326" i="12" s="1"/>
  <c r="K1326" i="12"/>
  <c r="L1326" i="12" s="1"/>
  <c r="P1325" i="12"/>
  <c r="O1325" i="12"/>
  <c r="K1325" i="12"/>
  <c r="L1325" i="12" s="1"/>
  <c r="O1324" i="12"/>
  <c r="P1324" i="12" s="1"/>
  <c r="K1324" i="12"/>
  <c r="L1324" i="12" s="1"/>
  <c r="P1323" i="12"/>
  <c r="O1323" i="12"/>
  <c r="K1323" i="12"/>
  <c r="L1323" i="12" s="1"/>
  <c r="O1322" i="12"/>
  <c r="P1322" i="12" s="1"/>
  <c r="K1322" i="12"/>
  <c r="L1322" i="12" s="1"/>
  <c r="O1321" i="12"/>
  <c r="P1321" i="12" s="1"/>
  <c r="L1321" i="12"/>
  <c r="K1321" i="12"/>
  <c r="O1320" i="12"/>
  <c r="P1320" i="12" s="1"/>
  <c r="K1320" i="12"/>
  <c r="L1320" i="12" s="1"/>
  <c r="O1319" i="12"/>
  <c r="P1319" i="12" s="1"/>
  <c r="K1319" i="12"/>
  <c r="L1319" i="12" s="1"/>
  <c r="O1318" i="12"/>
  <c r="P1318" i="12" s="1"/>
  <c r="K1318" i="12"/>
  <c r="L1318" i="12" s="1"/>
  <c r="P1317" i="12"/>
  <c r="O1317" i="12"/>
  <c r="K1317" i="12"/>
  <c r="L1317" i="12" s="1"/>
  <c r="O1316" i="12"/>
  <c r="P1316" i="12" s="1"/>
  <c r="K1316" i="12"/>
  <c r="L1316" i="12" s="1"/>
  <c r="O1315" i="12"/>
  <c r="P1315" i="12" s="1"/>
  <c r="L1315" i="12"/>
  <c r="K1315" i="12"/>
  <c r="O1314" i="12"/>
  <c r="P1314" i="12" s="1"/>
  <c r="K1314" i="12"/>
  <c r="L1314" i="12" s="1"/>
  <c r="O1313" i="12"/>
  <c r="P1313" i="12" s="1"/>
  <c r="K1313" i="12"/>
  <c r="L1313" i="12" s="1"/>
  <c r="O1312" i="12"/>
  <c r="P1312" i="12" s="1"/>
  <c r="L1312" i="12"/>
  <c r="K1312" i="12"/>
  <c r="P1311" i="12"/>
  <c r="O1311" i="12"/>
  <c r="K1311" i="12"/>
  <c r="L1311" i="12" s="1"/>
  <c r="O1310" i="12"/>
  <c r="P1310" i="12" s="1"/>
  <c r="K1310" i="12"/>
  <c r="L1310" i="12" s="1"/>
  <c r="O1309" i="12"/>
  <c r="P1309" i="12" s="1"/>
  <c r="L1309" i="12"/>
  <c r="K1309" i="12"/>
  <c r="O1308" i="12"/>
  <c r="P1308" i="12" s="1"/>
  <c r="K1308" i="12"/>
  <c r="L1308" i="12" s="1"/>
  <c r="P1307" i="12"/>
  <c r="O1307" i="12"/>
  <c r="K1307" i="12"/>
  <c r="L1307" i="12" s="1"/>
  <c r="O1306" i="12"/>
  <c r="P1306" i="12" s="1"/>
  <c r="L1306" i="12"/>
  <c r="K1306" i="12"/>
  <c r="O1305" i="12"/>
  <c r="P1305" i="12" s="1"/>
  <c r="K1305" i="12"/>
  <c r="L1305" i="12" s="1"/>
  <c r="O1304" i="12"/>
  <c r="P1304" i="12" s="1"/>
  <c r="K1304" i="12"/>
  <c r="L1304" i="12" s="1"/>
  <c r="P1303" i="12"/>
  <c r="O1303" i="12"/>
  <c r="L1303" i="12"/>
  <c r="K1303" i="12"/>
  <c r="O1302" i="12"/>
  <c r="P1302" i="12" s="1"/>
  <c r="K1302" i="12"/>
  <c r="L1302" i="12" s="1"/>
  <c r="O1301" i="12"/>
  <c r="P1301" i="12" s="1"/>
  <c r="K1301" i="12"/>
  <c r="L1301" i="12" s="1"/>
  <c r="O1300" i="12"/>
  <c r="P1300" i="12" s="1"/>
  <c r="L1300" i="12"/>
  <c r="K1300" i="12"/>
  <c r="O1299" i="12"/>
  <c r="P1299" i="12" s="1"/>
  <c r="K1299" i="12"/>
  <c r="L1299" i="12" s="1"/>
  <c r="O1298" i="12"/>
  <c r="P1298" i="12" s="1"/>
  <c r="K1298" i="12"/>
  <c r="L1298" i="12" s="1"/>
  <c r="O1297" i="12"/>
  <c r="P1297" i="12" s="1"/>
  <c r="L1297" i="12"/>
  <c r="K1297" i="12"/>
  <c r="O1296" i="12"/>
  <c r="P1296" i="12" s="1"/>
  <c r="K1296" i="12"/>
  <c r="L1296" i="12" s="1"/>
  <c r="P1295" i="12"/>
  <c r="O1295" i="12"/>
  <c r="K1295" i="12"/>
  <c r="L1295" i="12" s="1"/>
  <c r="P1294" i="12"/>
  <c r="O1294" i="12"/>
  <c r="L1294" i="12"/>
  <c r="K1294" i="12"/>
  <c r="O1293" i="12"/>
  <c r="P1293" i="12" s="1"/>
  <c r="K1293" i="12"/>
  <c r="L1293" i="12" s="1"/>
  <c r="O1292" i="12"/>
  <c r="P1292" i="12" s="1"/>
  <c r="K1292" i="12"/>
  <c r="L1292" i="12" s="1"/>
  <c r="O1291" i="12"/>
  <c r="P1291" i="12" s="1"/>
  <c r="L1291" i="12"/>
  <c r="K1291" i="12"/>
  <c r="O1290" i="12"/>
  <c r="P1290" i="12" s="1"/>
  <c r="K1290" i="12"/>
  <c r="L1290" i="12" s="1"/>
  <c r="O1289" i="12"/>
  <c r="P1289" i="12" s="1"/>
  <c r="K1289" i="12"/>
  <c r="L1289" i="12" s="1"/>
  <c r="O1288" i="12"/>
  <c r="P1288" i="12" s="1"/>
  <c r="L1288" i="12"/>
  <c r="K1288" i="12"/>
  <c r="O1287" i="12"/>
  <c r="P1287" i="12" s="1"/>
  <c r="K1287" i="12"/>
  <c r="L1287" i="12" s="1"/>
  <c r="P1286" i="12"/>
  <c r="O1286" i="12"/>
  <c r="K1286" i="12"/>
  <c r="L1286" i="12" s="1"/>
  <c r="O1285" i="12"/>
  <c r="P1285" i="12" s="1"/>
  <c r="L1285" i="12"/>
  <c r="K1285" i="12"/>
  <c r="O1284" i="12"/>
  <c r="P1284" i="12" s="1"/>
  <c r="K1284" i="12"/>
  <c r="L1284" i="12" s="1"/>
  <c r="O1283" i="12"/>
  <c r="P1283" i="12" s="1"/>
  <c r="K1283" i="12"/>
  <c r="L1283" i="12" s="1"/>
  <c r="O1282" i="12"/>
  <c r="P1282" i="12" s="1"/>
  <c r="K1282" i="12"/>
  <c r="L1282" i="12" s="1"/>
  <c r="O1281" i="12"/>
  <c r="P1281" i="12" s="1"/>
  <c r="K1281" i="12"/>
  <c r="L1281" i="12" s="1"/>
  <c r="P1280" i="12"/>
  <c r="O1280" i="12"/>
  <c r="K1280" i="12"/>
  <c r="L1280" i="12" s="1"/>
  <c r="O1279" i="12"/>
  <c r="P1279" i="12" s="1"/>
  <c r="K1279" i="12"/>
  <c r="L1279" i="12" s="1"/>
  <c r="O1278" i="12"/>
  <c r="P1278" i="12" s="1"/>
  <c r="L1278" i="12"/>
  <c r="K1278" i="12"/>
  <c r="O1277" i="12"/>
  <c r="P1277" i="12" s="1"/>
  <c r="K1277" i="12"/>
  <c r="L1277" i="12" s="1"/>
  <c r="O1276" i="12"/>
  <c r="P1276" i="12" s="1"/>
  <c r="L1276" i="12"/>
  <c r="K1276" i="12"/>
  <c r="P1275" i="12"/>
  <c r="O1275" i="12"/>
  <c r="K1275" i="12"/>
  <c r="L1275" i="12" s="1"/>
  <c r="O1274" i="12"/>
  <c r="P1274" i="12" s="1"/>
  <c r="K1274" i="12"/>
  <c r="L1274" i="12" s="1"/>
  <c r="O1273" i="12"/>
  <c r="P1273" i="12" s="1"/>
  <c r="L1273" i="12"/>
  <c r="K1273" i="12"/>
  <c r="O1272" i="12"/>
  <c r="P1272" i="12" s="1"/>
  <c r="K1272" i="12"/>
  <c r="L1272" i="12" s="1"/>
  <c r="P1271" i="12"/>
  <c r="O1271" i="12"/>
  <c r="K1271" i="12"/>
  <c r="L1271" i="12" s="1"/>
  <c r="O1270" i="12"/>
  <c r="P1270" i="12" s="1"/>
  <c r="K1270" i="12"/>
  <c r="L1270" i="12" s="1"/>
  <c r="P1269" i="12"/>
  <c r="O1269" i="12"/>
  <c r="L1269" i="12"/>
  <c r="K1269" i="12"/>
  <c r="O1268" i="12"/>
  <c r="P1268" i="12" s="1"/>
  <c r="K1268" i="12"/>
  <c r="L1268" i="12" s="1"/>
  <c r="O1267" i="12"/>
  <c r="P1267" i="12" s="1"/>
  <c r="K1267" i="12"/>
  <c r="L1267" i="12" s="1"/>
  <c r="O1266" i="12"/>
  <c r="P1266" i="12" s="1"/>
  <c r="K1266" i="12"/>
  <c r="L1266" i="12" s="1"/>
  <c r="O1265" i="12"/>
  <c r="P1265" i="12" s="1"/>
  <c r="K1265" i="12"/>
  <c r="L1265" i="12" s="1"/>
  <c r="O1264" i="12"/>
  <c r="P1264" i="12" s="1"/>
  <c r="L1264" i="12"/>
  <c r="K1264" i="12"/>
  <c r="O1263" i="12"/>
  <c r="P1263" i="12" s="1"/>
  <c r="K1263" i="12"/>
  <c r="L1263" i="12" s="1"/>
  <c r="O1262" i="12"/>
  <c r="P1262" i="12" s="1"/>
  <c r="K1262" i="12"/>
  <c r="L1262" i="12" s="1"/>
  <c r="O1261" i="12"/>
  <c r="P1261" i="12" s="1"/>
  <c r="L1261" i="12"/>
  <c r="K1261" i="12"/>
  <c r="O1260" i="12"/>
  <c r="P1260" i="12" s="1"/>
  <c r="K1260" i="12"/>
  <c r="L1260" i="12" s="1"/>
  <c r="O1259" i="12"/>
  <c r="P1259" i="12" s="1"/>
  <c r="K1259" i="12"/>
  <c r="L1259" i="12" s="1"/>
  <c r="O1258" i="12"/>
  <c r="P1258" i="12" s="1"/>
  <c r="K1258" i="12"/>
  <c r="L1258" i="12" s="1"/>
  <c r="P1257" i="12"/>
  <c r="O1257" i="12"/>
  <c r="K1257" i="12"/>
  <c r="L1257" i="12" s="1"/>
  <c r="O1256" i="12"/>
  <c r="P1256" i="12" s="1"/>
  <c r="K1256" i="12"/>
  <c r="L1256" i="12" s="1"/>
  <c r="O1255" i="12"/>
  <c r="P1255" i="12" s="1"/>
  <c r="L1255" i="12"/>
  <c r="K1255" i="12"/>
  <c r="P1254" i="12"/>
  <c r="O1254" i="12"/>
  <c r="K1254" i="12"/>
  <c r="L1254" i="12" s="1"/>
  <c r="O1253" i="12"/>
  <c r="P1253" i="12" s="1"/>
  <c r="K1253" i="12"/>
  <c r="L1253" i="12" s="1"/>
  <c r="O1252" i="12"/>
  <c r="P1252" i="12" s="1"/>
  <c r="L1252" i="12"/>
  <c r="K1252" i="12"/>
  <c r="O1251" i="12"/>
  <c r="P1251" i="12" s="1"/>
  <c r="K1251" i="12"/>
  <c r="L1251" i="12" s="1"/>
  <c r="P1250" i="12"/>
  <c r="O1250" i="12"/>
  <c r="K1250" i="12"/>
  <c r="L1250" i="12" s="1"/>
  <c r="O1249" i="12"/>
  <c r="P1249" i="12" s="1"/>
  <c r="K1249" i="12"/>
  <c r="L1249" i="12" s="1"/>
  <c r="P1248" i="12"/>
  <c r="O1248" i="12"/>
  <c r="K1248" i="12"/>
  <c r="L1248" i="12" s="1"/>
  <c r="P1247" i="12"/>
  <c r="O1247" i="12"/>
  <c r="K1247" i="12"/>
  <c r="L1247" i="12" s="1"/>
  <c r="O1246" i="12"/>
  <c r="P1246" i="12" s="1"/>
  <c r="K1246" i="12"/>
  <c r="L1246" i="12" s="1"/>
  <c r="O1245" i="12"/>
  <c r="P1245" i="12" s="1"/>
  <c r="K1245" i="12"/>
  <c r="L1245" i="12" s="1"/>
  <c r="O1244" i="12"/>
  <c r="P1244" i="12" s="1"/>
  <c r="K1244" i="12"/>
  <c r="L1244" i="12" s="1"/>
  <c r="P1243" i="12"/>
  <c r="O1243" i="12"/>
  <c r="L1243" i="12"/>
  <c r="K1243" i="12"/>
  <c r="O1242" i="12"/>
  <c r="P1242" i="12" s="1"/>
  <c r="L1242" i="12"/>
  <c r="K1242" i="12"/>
  <c r="O1241" i="12"/>
  <c r="P1241" i="12" s="1"/>
  <c r="K1241" i="12"/>
  <c r="L1241" i="12" s="1"/>
  <c r="O1240" i="12"/>
  <c r="P1240" i="12" s="1"/>
  <c r="L1240" i="12"/>
  <c r="K1240" i="12"/>
  <c r="P1239" i="12"/>
  <c r="O1239" i="12"/>
  <c r="L1239" i="12"/>
  <c r="K1239" i="12"/>
  <c r="O1238" i="12"/>
  <c r="P1238" i="12" s="1"/>
  <c r="K1238" i="12"/>
  <c r="L1238" i="12" s="1"/>
  <c r="O1237" i="12"/>
  <c r="P1237" i="12" s="1"/>
  <c r="L1237" i="12"/>
  <c r="K1237" i="12"/>
  <c r="O1236" i="12"/>
  <c r="P1236" i="12" s="1"/>
  <c r="K1236" i="12"/>
  <c r="L1236" i="12" s="1"/>
  <c r="O1235" i="12"/>
  <c r="P1235" i="12" s="1"/>
  <c r="K1235" i="12"/>
  <c r="L1235" i="12" s="1"/>
  <c r="P1234" i="12"/>
  <c r="O1234" i="12"/>
  <c r="L1234" i="12"/>
  <c r="K1234" i="12"/>
  <c r="P1233" i="12"/>
  <c r="O1233" i="12"/>
  <c r="K1233" i="12"/>
  <c r="L1233" i="12" s="1"/>
  <c r="O1232" i="12"/>
  <c r="P1232" i="12" s="1"/>
  <c r="K1232" i="12"/>
  <c r="L1232" i="12" s="1"/>
  <c r="O1231" i="12"/>
  <c r="P1231" i="12" s="1"/>
  <c r="L1231" i="12"/>
  <c r="K1231" i="12"/>
  <c r="P1230" i="12"/>
  <c r="O1230" i="12"/>
  <c r="K1230" i="12"/>
  <c r="L1230" i="12" s="1"/>
  <c r="O1229" i="12"/>
  <c r="P1229" i="12" s="1"/>
  <c r="K1229" i="12"/>
  <c r="L1229" i="12" s="1"/>
  <c r="O1228" i="12"/>
  <c r="P1228" i="12" s="1"/>
  <c r="K1228" i="12"/>
  <c r="L1228" i="12" s="1"/>
  <c r="O1227" i="12"/>
  <c r="P1227" i="12" s="1"/>
  <c r="L1227" i="12"/>
  <c r="K1227" i="12"/>
  <c r="O1226" i="12"/>
  <c r="P1226" i="12" s="1"/>
  <c r="K1226" i="12"/>
  <c r="L1226" i="12" s="1"/>
  <c r="P1225" i="12"/>
  <c r="O1225" i="12"/>
  <c r="K1225" i="12"/>
  <c r="L1225" i="12" s="1"/>
  <c r="P1224" i="12"/>
  <c r="O1224" i="12"/>
  <c r="K1224" i="12"/>
  <c r="L1224" i="12" s="1"/>
  <c r="P1223" i="12"/>
  <c r="O1223" i="12"/>
  <c r="K1223" i="12"/>
  <c r="L1223" i="12" s="1"/>
  <c r="O1222" i="12"/>
  <c r="P1222" i="12" s="1"/>
  <c r="K1222" i="12"/>
  <c r="L1222" i="12" s="1"/>
  <c r="O1221" i="12"/>
  <c r="P1221" i="12" s="1"/>
  <c r="K1221" i="12"/>
  <c r="L1221" i="12" s="1"/>
  <c r="P1220" i="12"/>
  <c r="O1220" i="12"/>
  <c r="K1220" i="12"/>
  <c r="L1220" i="12" s="1"/>
  <c r="O1219" i="12"/>
  <c r="P1219" i="12" s="1"/>
  <c r="L1219" i="12"/>
  <c r="K1219" i="12"/>
  <c r="O1218" i="12"/>
  <c r="P1218" i="12" s="1"/>
  <c r="L1218" i="12"/>
  <c r="K1218" i="12"/>
  <c r="O1217" i="12"/>
  <c r="P1217" i="12" s="1"/>
  <c r="K1217" i="12"/>
  <c r="L1217" i="12" s="1"/>
  <c r="O1216" i="12"/>
  <c r="P1216" i="12" s="1"/>
  <c r="K1216" i="12"/>
  <c r="L1216" i="12" s="1"/>
  <c r="O1215" i="12"/>
  <c r="P1215" i="12" s="1"/>
  <c r="L1215" i="12"/>
  <c r="K1215" i="12"/>
  <c r="P1214" i="12"/>
  <c r="O1214" i="12"/>
  <c r="K1214" i="12"/>
  <c r="L1214" i="12" s="1"/>
  <c r="O1213" i="12"/>
  <c r="P1213" i="12" s="1"/>
  <c r="L1213" i="12"/>
  <c r="K1213" i="12"/>
  <c r="P1212" i="12"/>
  <c r="O1212" i="12"/>
  <c r="K1212" i="12"/>
  <c r="L1212" i="12" s="1"/>
  <c r="O1211" i="12"/>
  <c r="P1211" i="12" s="1"/>
  <c r="K1211" i="12"/>
  <c r="L1211" i="12" s="1"/>
  <c r="P1210" i="12"/>
  <c r="O1210" i="12"/>
  <c r="K1210" i="12"/>
  <c r="L1210" i="12" s="1"/>
  <c r="O1209" i="12"/>
  <c r="P1209" i="12" s="1"/>
  <c r="K1209" i="12"/>
  <c r="L1209" i="12" s="1"/>
  <c r="O1208" i="12"/>
  <c r="P1208" i="12" s="1"/>
  <c r="K1208" i="12"/>
  <c r="L1208" i="12" s="1"/>
  <c r="P1207" i="12"/>
  <c r="O1207" i="12"/>
  <c r="K1207" i="12"/>
  <c r="L1207" i="12" s="1"/>
  <c r="P1206" i="12"/>
  <c r="O1206" i="12"/>
  <c r="L1206" i="12"/>
  <c r="K1206" i="12"/>
  <c r="O1205" i="12"/>
  <c r="P1205" i="12" s="1"/>
  <c r="K1205" i="12"/>
  <c r="L1205" i="12" s="1"/>
  <c r="O1204" i="12"/>
  <c r="P1204" i="12" s="1"/>
  <c r="K1204" i="12"/>
  <c r="L1204" i="12" s="1"/>
  <c r="O1203" i="12"/>
  <c r="P1203" i="12" s="1"/>
  <c r="K1203" i="12"/>
  <c r="L1203" i="12" s="1"/>
  <c r="O1202" i="12"/>
  <c r="P1202" i="12" s="1"/>
  <c r="K1202" i="12"/>
  <c r="L1202" i="12" s="1"/>
  <c r="P1201" i="12"/>
  <c r="O1201" i="12"/>
  <c r="K1201" i="12"/>
  <c r="L1201" i="12" s="1"/>
  <c r="O1200" i="12"/>
  <c r="P1200" i="12" s="1"/>
  <c r="K1200" i="12"/>
  <c r="L1200" i="12" s="1"/>
  <c r="O1199" i="12"/>
  <c r="P1199" i="12" s="1"/>
  <c r="K1199" i="12"/>
  <c r="L1199" i="12" s="1"/>
  <c r="P1198" i="12"/>
  <c r="O1198" i="12"/>
  <c r="L1198" i="12"/>
  <c r="K1198" i="12"/>
  <c r="O1197" i="12"/>
  <c r="P1197" i="12" s="1"/>
  <c r="L1197" i="12"/>
  <c r="K1197" i="12"/>
  <c r="P1196" i="12"/>
  <c r="O1196" i="12"/>
  <c r="K1196" i="12"/>
  <c r="L1196" i="12" s="1"/>
  <c r="O1195" i="12"/>
  <c r="P1195" i="12" s="1"/>
  <c r="K1195" i="12"/>
  <c r="L1195" i="12" s="1"/>
  <c r="O1194" i="12"/>
  <c r="P1194" i="12" s="1"/>
  <c r="K1194" i="12"/>
  <c r="L1194" i="12" s="1"/>
  <c r="P1193" i="12"/>
  <c r="O1193" i="12"/>
  <c r="K1193" i="12"/>
  <c r="L1193" i="12" s="1"/>
  <c r="O1192" i="12"/>
  <c r="P1192" i="12" s="1"/>
  <c r="K1192" i="12"/>
  <c r="L1192" i="12" s="1"/>
  <c r="O1191" i="12"/>
  <c r="P1191" i="12" s="1"/>
  <c r="K1191" i="12"/>
  <c r="L1191" i="12" s="1"/>
  <c r="O1190" i="12"/>
  <c r="P1190" i="12" s="1"/>
  <c r="K1190" i="12"/>
  <c r="L1190" i="12" s="1"/>
  <c r="O1189" i="12"/>
  <c r="P1189" i="12" s="1"/>
  <c r="K1189" i="12"/>
  <c r="L1189" i="12" s="1"/>
  <c r="O1188" i="12"/>
  <c r="P1188" i="12" s="1"/>
  <c r="K1188" i="12"/>
  <c r="L1188" i="12" s="1"/>
  <c r="O1187" i="12"/>
  <c r="P1187" i="12" s="1"/>
  <c r="K1187" i="12"/>
  <c r="L1187" i="12" s="1"/>
  <c r="P1186" i="12"/>
  <c r="O1186" i="12"/>
  <c r="K1186" i="12"/>
  <c r="L1186" i="12" s="1"/>
  <c r="O1185" i="12"/>
  <c r="P1185" i="12" s="1"/>
  <c r="L1185" i="12"/>
  <c r="K1185" i="12"/>
  <c r="O1184" i="12"/>
  <c r="P1184" i="12" s="1"/>
  <c r="K1184" i="12"/>
  <c r="L1184" i="12" s="1"/>
  <c r="P1183" i="12"/>
  <c r="O1183" i="12"/>
  <c r="L1183" i="12"/>
  <c r="K1183" i="12"/>
  <c r="O1182" i="12"/>
  <c r="P1182" i="12" s="1"/>
  <c r="K1182" i="12"/>
  <c r="L1182" i="12" s="1"/>
  <c r="P1181" i="12"/>
  <c r="O1181" i="12"/>
  <c r="K1181" i="12"/>
  <c r="L1181" i="12" s="1"/>
  <c r="O1180" i="12"/>
  <c r="P1180" i="12" s="1"/>
  <c r="L1180" i="12"/>
  <c r="K1180" i="12"/>
  <c r="O1179" i="12"/>
  <c r="P1179" i="12" s="1"/>
  <c r="K1179" i="12"/>
  <c r="L1179" i="12" s="1"/>
  <c r="O1178" i="12"/>
  <c r="P1178" i="12" s="1"/>
  <c r="K1178" i="12"/>
  <c r="L1178" i="12" s="1"/>
  <c r="O1177" i="12"/>
  <c r="P1177" i="12" s="1"/>
  <c r="K1177" i="12"/>
  <c r="L1177" i="12" s="1"/>
  <c r="O1176" i="12"/>
  <c r="P1176" i="12" s="1"/>
  <c r="K1176" i="12"/>
  <c r="L1176" i="12" s="1"/>
  <c r="O1175" i="12"/>
  <c r="P1175" i="12" s="1"/>
  <c r="K1175" i="12"/>
  <c r="L1175" i="12" s="1"/>
  <c r="P1174" i="12"/>
  <c r="O1174" i="12"/>
  <c r="K1174" i="12"/>
  <c r="L1174" i="12" s="1"/>
  <c r="P1173" i="12"/>
  <c r="O1173" i="12"/>
  <c r="K1173" i="12"/>
  <c r="L1173" i="12" s="1"/>
  <c r="O1172" i="12"/>
  <c r="P1172" i="12" s="1"/>
  <c r="K1172" i="12"/>
  <c r="L1172" i="12" s="1"/>
  <c r="O1171" i="12"/>
  <c r="P1171" i="12" s="1"/>
  <c r="L1171" i="12"/>
  <c r="K1171" i="12"/>
  <c r="P1170" i="12"/>
  <c r="O1170" i="12"/>
  <c r="K1170" i="12"/>
  <c r="L1170" i="12" s="1"/>
  <c r="O1169" i="12"/>
  <c r="P1169" i="12" s="1"/>
  <c r="K1169" i="12"/>
  <c r="L1169" i="12" s="1"/>
  <c r="O1168" i="12"/>
  <c r="P1168" i="12" s="1"/>
  <c r="K1168" i="12"/>
  <c r="L1168" i="12" s="1"/>
  <c r="O1167" i="12"/>
  <c r="P1167" i="12" s="1"/>
  <c r="K1167" i="12"/>
  <c r="L1167" i="12" s="1"/>
  <c r="O1166" i="12"/>
  <c r="P1166" i="12" s="1"/>
  <c r="K1166" i="12"/>
  <c r="L1166" i="12" s="1"/>
  <c r="O1165" i="12"/>
  <c r="P1165" i="12" s="1"/>
  <c r="L1165" i="12"/>
  <c r="K1165" i="12"/>
  <c r="P1164" i="12"/>
  <c r="O1164" i="12"/>
  <c r="K1164" i="12"/>
  <c r="L1164" i="12" s="1"/>
  <c r="O1163" i="12"/>
  <c r="P1163" i="12" s="1"/>
  <c r="K1163" i="12"/>
  <c r="L1163" i="12" s="1"/>
  <c r="P1162" i="12"/>
  <c r="O1162" i="12"/>
  <c r="K1162" i="12"/>
  <c r="L1162" i="12" s="1"/>
  <c r="O1161" i="12"/>
  <c r="P1161" i="12" s="1"/>
  <c r="L1161" i="12"/>
  <c r="K1161" i="12"/>
  <c r="O1160" i="12"/>
  <c r="P1160" i="12" s="1"/>
  <c r="K1160" i="12"/>
  <c r="L1160" i="12" s="1"/>
  <c r="O1159" i="12"/>
  <c r="P1159" i="12" s="1"/>
  <c r="L1159" i="12"/>
  <c r="K1159" i="12"/>
  <c r="O1158" i="12"/>
  <c r="P1158" i="12" s="1"/>
  <c r="K1158" i="12"/>
  <c r="L1158" i="12" s="1"/>
  <c r="O1157" i="12"/>
  <c r="P1157" i="12" s="1"/>
  <c r="K1157" i="12"/>
  <c r="L1157" i="12" s="1"/>
  <c r="O1156" i="12"/>
  <c r="P1156" i="12" s="1"/>
  <c r="L1156" i="12"/>
  <c r="K1156" i="12"/>
  <c r="O1155" i="12"/>
  <c r="P1155" i="12" s="1"/>
  <c r="K1155" i="12"/>
  <c r="L1155" i="12" s="1"/>
  <c r="O1154" i="12"/>
  <c r="P1154" i="12" s="1"/>
  <c r="K1154" i="12"/>
  <c r="L1154" i="12" s="1"/>
  <c r="P1153" i="12"/>
  <c r="O1153" i="12"/>
  <c r="K1153" i="12"/>
  <c r="L1153" i="12" s="1"/>
  <c r="O1152" i="12"/>
  <c r="P1152" i="12" s="1"/>
  <c r="K1152" i="12"/>
  <c r="L1152" i="12" s="1"/>
  <c r="O1151" i="12"/>
  <c r="P1151" i="12" s="1"/>
  <c r="K1151" i="12"/>
  <c r="L1151" i="12" s="1"/>
  <c r="O1150" i="12"/>
  <c r="P1150" i="12" s="1"/>
  <c r="K1150" i="12"/>
  <c r="L1150" i="12" s="1"/>
  <c r="P1149" i="12"/>
  <c r="O1149" i="12"/>
  <c r="K1149" i="12"/>
  <c r="L1149" i="12" s="1"/>
  <c r="O1148" i="12"/>
  <c r="P1148" i="12" s="1"/>
  <c r="K1148" i="12"/>
  <c r="L1148" i="12" s="1"/>
  <c r="O1147" i="12"/>
  <c r="P1147" i="12" s="1"/>
  <c r="L1147" i="12"/>
  <c r="K1147" i="12"/>
  <c r="O1146" i="12"/>
  <c r="P1146" i="12" s="1"/>
  <c r="L1146" i="12"/>
  <c r="K1146" i="12"/>
  <c r="O1145" i="12"/>
  <c r="P1145" i="12" s="1"/>
  <c r="K1145" i="12"/>
  <c r="L1145" i="12" s="1"/>
  <c r="P1144" i="12"/>
  <c r="O1144" i="12"/>
  <c r="L1144" i="12"/>
  <c r="K1144" i="12"/>
  <c r="O1143" i="12"/>
  <c r="P1143" i="12" s="1"/>
  <c r="K1143" i="12"/>
  <c r="L1143" i="12" s="1"/>
  <c r="O1142" i="12"/>
  <c r="P1142" i="12" s="1"/>
  <c r="K1142" i="12"/>
  <c r="L1142" i="12" s="1"/>
  <c r="O1141" i="12"/>
  <c r="P1141" i="12" s="1"/>
  <c r="K1141" i="12"/>
  <c r="L1141" i="12" s="1"/>
  <c r="O1140" i="12"/>
  <c r="P1140" i="12" s="1"/>
  <c r="K1140" i="12"/>
  <c r="L1140" i="12" s="1"/>
  <c r="P1139" i="12"/>
  <c r="O1139" i="12"/>
  <c r="K1139" i="12"/>
  <c r="L1139" i="12" s="1"/>
  <c r="O1138" i="12"/>
  <c r="P1138" i="12" s="1"/>
  <c r="K1138" i="12"/>
  <c r="L1138" i="12" s="1"/>
  <c r="O1137" i="12"/>
  <c r="P1137" i="12" s="1"/>
  <c r="L1137" i="12"/>
  <c r="K1137" i="12"/>
  <c r="P1136" i="12"/>
  <c r="O1136" i="12"/>
  <c r="K1136" i="12"/>
  <c r="L1136" i="12" s="1"/>
  <c r="O1135" i="12"/>
  <c r="P1135" i="12" s="1"/>
  <c r="L1135" i="12"/>
  <c r="K1135" i="12"/>
  <c r="O1134" i="12"/>
  <c r="P1134" i="12" s="1"/>
  <c r="K1134" i="12"/>
  <c r="L1134" i="12" s="1"/>
  <c r="O1133" i="12"/>
  <c r="P1133" i="12" s="1"/>
  <c r="K1133" i="12"/>
  <c r="L1133" i="12" s="1"/>
  <c r="O1132" i="12"/>
  <c r="P1132" i="12" s="1"/>
  <c r="K1132" i="12"/>
  <c r="L1132" i="12" s="1"/>
  <c r="O1131" i="12"/>
  <c r="P1131" i="12" s="1"/>
  <c r="L1131" i="12"/>
  <c r="K1131" i="12"/>
  <c r="O1130" i="12"/>
  <c r="P1130" i="12" s="1"/>
  <c r="K1130" i="12"/>
  <c r="L1130" i="12" s="1"/>
  <c r="O1129" i="12"/>
  <c r="P1129" i="12" s="1"/>
  <c r="L1129" i="12"/>
  <c r="K1129" i="12"/>
  <c r="O1128" i="12"/>
  <c r="P1128" i="12" s="1"/>
  <c r="K1128" i="12"/>
  <c r="L1128" i="12" s="1"/>
  <c r="O1127" i="12"/>
  <c r="P1127" i="12" s="1"/>
  <c r="K1127" i="12"/>
  <c r="L1127" i="12" s="1"/>
  <c r="O1126" i="12"/>
  <c r="P1126" i="12" s="1"/>
  <c r="L1126" i="12"/>
  <c r="K1126" i="12"/>
  <c r="O1125" i="12"/>
  <c r="P1125" i="12" s="1"/>
  <c r="L1125" i="12"/>
  <c r="K1125" i="12"/>
  <c r="P1124" i="12"/>
  <c r="O1124" i="12"/>
  <c r="L1124" i="12"/>
  <c r="K1124" i="12"/>
  <c r="O1123" i="12"/>
  <c r="P1123" i="12" s="1"/>
  <c r="K1123" i="12"/>
  <c r="L1123" i="12" s="1"/>
  <c r="O1122" i="12"/>
  <c r="P1122" i="12" s="1"/>
  <c r="L1122" i="12"/>
  <c r="K1122" i="12"/>
  <c r="O1121" i="12"/>
  <c r="P1121" i="12" s="1"/>
  <c r="K1121" i="12"/>
  <c r="L1121" i="12" s="1"/>
  <c r="O1120" i="12"/>
  <c r="P1120" i="12" s="1"/>
  <c r="L1120" i="12"/>
  <c r="K1120" i="12"/>
  <c r="O1119" i="12"/>
  <c r="P1119" i="12" s="1"/>
  <c r="K1119" i="12"/>
  <c r="L1119" i="12" s="1"/>
  <c r="P1118" i="12"/>
  <c r="O1118" i="12"/>
  <c r="L1118" i="12"/>
  <c r="K1118" i="12"/>
  <c r="O1117" i="12"/>
  <c r="P1117" i="12" s="1"/>
  <c r="K1117" i="12"/>
  <c r="L1117" i="12" s="1"/>
  <c r="O1116" i="12"/>
  <c r="P1116" i="12" s="1"/>
  <c r="K1116" i="12"/>
  <c r="L1116" i="12" s="1"/>
  <c r="O1115" i="12"/>
  <c r="P1115" i="12" s="1"/>
  <c r="K1115" i="12"/>
  <c r="L1115" i="12" s="1"/>
  <c r="O1114" i="12"/>
  <c r="P1114" i="12" s="1"/>
  <c r="L1114" i="12"/>
  <c r="K1114" i="12"/>
  <c r="O1113" i="12"/>
  <c r="P1113" i="12" s="1"/>
  <c r="K1113" i="12"/>
  <c r="L1113" i="12" s="1"/>
  <c r="O1112" i="12"/>
  <c r="P1112" i="12" s="1"/>
  <c r="K1112" i="12"/>
  <c r="L1112" i="12" s="1"/>
  <c r="O1111" i="12"/>
  <c r="P1111" i="12" s="1"/>
  <c r="L1111" i="12"/>
  <c r="K1111" i="12"/>
  <c r="O1110" i="12"/>
  <c r="P1110" i="12" s="1"/>
  <c r="L1110" i="12"/>
  <c r="K1110" i="12"/>
  <c r="O1109" i="12"/>
  <c r="P1109" i="12" s="1"/>
  <c r="K1109" i="12"/>
  <c r="L1109" i="12" s="1"/>
  <c r="O1108" i="12"/>
  <c r="P1108" i="12" s="1"/>
  <c r="L1108" i="12"/>
  <c r="K1108" i="12"/>
  <c r="O1107" i="12"/>
  <c r="P1107" i="12" s="1"/>
  <c r="L1107" i="12"/>
  <c r="K1107" i="12"/>
  <c r="O1106" i="12"/>
  <c r="P1106" i="12" s="1"/>
  <c r="L1106" i="12"/>
  <c r="K1106" i="12"/>
  <c r="O1105" i="12"/>
  <c r="P1105" i="12" s="1"/>
  <c r="K1105" i="12"/>
  <c r="L1105" i="12" s="1"/>
  <c r="O1104" i="12"/>
  <c r="P1104" i="12" s="1"/>
  <c r="K1104" i="12"/>
  <c r="L1104" i="12" s="1"/>
  <c r="O1103" i="12"/>
  <c r="P1103" i="12" s="1"/>
  <c r="K1103" i="12"/>
  <c r="L1103" i="12" s="1"/>
  <c r="O1102" i="12"/>
  <c r="P1102" i="12" s="1"/>
  <c r="L1102" i="12"/>
  <c r="K1102" i="12"/>
  <c r="O1101" i="12"/>
  <c r="P1101" i="12" s="1"/>
  <c r="K1101" i="12"/>
  <c r="L1101" i="12" s="1"/>
  <c r="P1100" i="12"/>
  <c r="O1100" i="12"/>
  <c r="L1100" i="12"/>
  <c r="K1100" i="12"/>
  <c r="P1099" i="12"/>
  <c r="O1099" i="12"/>
  <c r="L1099" i="12"/>
  <c r="K1099" i="12"/>
  <c r="O1098" i="12"/>
  <c r="P1098" i="12" s="1"/>
  <c r="K1098" i="12"/>
  <c r="L1098" i="12" s="1"/>
  <c r="O1097" i="12"/>
  <c r="P1097" i="12" s="1"/>
  <c r="K1097" i="12"/>
  <c r="L1097" i="12" s="1"/>
  <c r="O1096" i="12"/>
  <c r="P1096" i="12" s="1"/>
  <c r="L1096" i="12"/>
  <c r="K1096" i="12"/>
  <c r="O1095" i="12"/>
  <c r="P1095" i="12" s="1"/>
  <c r="K1095" i="12"/>
  <c r="L1095" i="12" s="1"/>
  <c r="P1094" i="12"/>
  <c r="O1094" i="12"/>
  <c r="L1094" i="12"/>
  <c r="K1094" i="12"/>
  <c r="O1093" i="12"/>
  <c r="P1093" i="12" s="1"/>
  <c r="K1093" i="12"/>
  <c r="L1093" i="12" s="1"/>
  <c r="O1092" i="12"/>
  <c r="P1092" i="12" s="1"/>
  <c r="L1092" i="12"/>
  <c r="K1092" i="12"/>
  <c r="O1091" i="12"/>
  <c r="P1091" i="12" s="1"/>
  <c r="K1091" i="12"/>
  <c r="L1091" i="12" s="1"/>
  <c r="O1090" i="12"/>
  <c r="P1090" i="12" s="1"/>
  <c r="K1090" i="12"/>
  <c r="L1090" i="12" s="1"/>
  <c r="O1089" i="12"/>
  <c r="P1089" i="12" s="1"/>
  <c r="K1089" i="12"/>
  <c r="L1089" i="12" s="1"/>
  <c r="O1088" i="12"/>
  <c r="P1088" i="12" s="1"/>
  <c r="K1088" i="12"/>
  <c r="L1088" i="12" s="1"/>
  <c r="P1087" i="12"/>
  <c r="O1087" i="12"/>
  <c r="L1087" i="12"/>
  <c r="K1087" i="12"/>
  <c r="O1086" i="12"/>
  <c r="P1086" i="12" s="1"/>
  <c r="K1086" i="12"/>
  <c r="L1086" i="12" s="1"/>
  <c r="O1085" i="12"/>
  <c r="P1085" i="12" s="1"/>
  <c r="K1085" i="12"/>
  <c r="L1085" i="12" s="1"/>
  <c r="O1084" i="12"/>
  <c r="P1084" i="12" s="1"/>
  <c r="K1084" i="12"/>
  <c r="L1084" i="12" s="1"/>
  <c r="O1083" i="12"/>
  <c r="P1083" i="12" s="1"/>
  <c r="K1083" i="12"/>
  <c r="L1083" i="12" s="1"/>
  <c r="P1082" i="12"/>
  <c r="O1082" i="12"/>
  <c r="L1082" i="12"/>
  <c r="K1082" i="12"/>
  <c r="O1081" i="12"/>
  <c r="P1081" i="12" s="1"/>
  <c r="K1081" i="12"/>
  <c r="L1081" i="12" s="1"/>
  <c r="O1080" i="12"/>
  <c r="P1080" i="12" s="1"/>
  <c r="K1080" i="12"/>
  <c r="L1080" i="12" s="1"/>
  <c r="O1079" i="12"/>
  <c r="P1079" i="12" s="1"/>
  <c r="K1079" i="12"/>
  <c r="L1079" i="12" s="1"/>
  <c r="O1078" i="12"/>
  <c r="P1078" i="12" s="1"/>
  <c r="L1078" i="12"/>
  <c r="K1078" i="12"/>
  <c r="O1077" i="12"/>
  <c r="P1077" i="12" s="1"/>
  <c r="K1077" i="12"/>
  <c r="L1077" i="12" s="1"/>
  <c r="O1076" i="12"/>
  <c r="P1076" i="12" s="1"/>
  <c r="K1076" i="12"/>
  <c r="L1076" i="12" s="1"/>
  <c r="O1075" i="12"/>
  <c r="P1075" i="12" s="1"/>
  <c r="K1075" i="12"/>
  <c r="L1075" i="12" s="1"/>
  <c r="O1074" i="12"/>
  <c r="P1074" i="12" s="1"/>
  <c r="K1074" i="12"/>
  <c r="L1074" i="12" s="1"/>
  <c r="O1073" i="12"/>
  <c r="P1073" i="12" s="1"/>
  <c r="K1073" i="12"/>
  <c r="L1073" i="12" s="1"/>
  <c r="O1072" i="12"/>
  <c r="P1072" i="12" s="1"/>
  <c r="K1072" i="12"/>
  <c r="L1072" i="12" s="1"/>
  <c r="O1071" i="12"/>
  <c r="P1071" i="12" s="1"/>
  <c r="K1071" i="12"/>
  <c r="L1071" i="12" s="1"/>
  <c r="O1070" i="12"/>
  <c r="P1070" i="12" s="1"/>
  <c r="L1070" i="12"/>
  <c r="K1070" i="12"/>
  <c r="P1069" i="12"/>
  <c r="O1069" i="12"/>
  <c r="L1069" i="12"/>
  <c r="K1069" i="12"/>
  <c r="O1068" i="12"/>
  <c r="P1068" i="12" s="1"/>
  <c r="K1068" i="12"/>
  <c r="L1068" i="12" s="1"/>
  <c r="O1067" i="12"/>
  <c r="P1067" i="12" s="1"/>
  <c r="K1067" i="12"/>
  <c r="L1067" i="12" s="1"/>
  <c r="O1066" i="12"/>
  <c r="P1066" i="12" s="1"/>
  <c r="L1066" i="12"/>
  <c r="K1066" i="12"/>
  <c r="O1065" i="12"/>
  <c r="P1065" i="12" s="1"/>
  <c r="L1065" i="12"/>
  <c r="K1065" i="12"/>
  <c r="O1064" i="12"/>
  <c r="P1064" i="12" s="1"/>
  <c r="L1064" i="12"/>
  <c r="K1064" i="12"/>
  <c r="O1063" i="12"/>
  <c r="P1063" i="12" s="1"/>
  <c r="K1063" i="12"/>
  <c r="L1063" i="12" s="1"/>
  <c r="O1062" i="12"/>
  <c r="P1062" i="12" s="1"/>
  <c r="K1062" i="12"/>
  <c r="L1062" i="12" s="1"/>
  <c r="O1061" i="12"/>
  <c r="P1061" i="12" s="1"/>
  <c r="L1061" i="12"/>
  <c r="K1061" i="12"/>
  <c r="O1060" i="12"/>
  <c r="P1060" i="12" s="1"/>
  <c r="L1060" i="12"/>
  <c r="K1060" i="12"/>
  <c r="O1059" i="12"/>
  <c r="P1059" i="12" s="1"/>
  <c r="L1059" i="12"/>
  <c r="K1059" i="12"/>
  <c r="P1058" i="12"/>
  <c r="O1058" i="12"/>
  <c r="K1058" i="12"/>
  <c r="L1058" i="12" s="1"/>
  <c r="P1057" i="12"/>
  <c r="O1057" i="12"/>
  <c r="L1057" i="12"/>
  <c r="K1057" i="12"/>
  <c r="O1056" i="12"/>
  <c r="P1056" i="12" s="1"/>
  <c r="K1056" i="12"/>
  <c r="L1056" i="12" s="1"/>
  <c r="O1055" i="12"/>
  <c r="P1055" i="12" s="1"/>
  <c r="K1055" i="12"/>
  <c r="L1055" i="12" s="1"/>
  <c r="O1054" i="12"/>
  <c r="P1054" i="12" s="1"/>
  <c r="K1054" i="12"/>
  <c r="L1054" i="12" s="1"/>
  <c r="O1053" i="12"/>
  <c r="P1053" i="12" s="1"/>
  <c r="K1053" i="12"/>
  <c r="L1053" i="12" s="1"/>
  <c r="O1052" i="12"/>
  <c r="P1052" i="12" s="1"/>
  <c r="L1052" i="12"/>
  <c r="K1052" i="12"/>
  <c r="P1051" i="12"/>
  <c r="O1051" i="12"/>
  <c r="K1051" i="12"/>
  <c r="L1051" i="12" s="1"/>
  <c r="O1050" i="12"/>
  <c r="P1050" i="12" s="1"/>
  <c r="K1050" i="12"/>
  <c r="L1050" i="12" s="1"/>
  <c r="P1049" i="12"/>
  <c r="O1049" i="12"/>
  <c r="K1049" i="12"/>
  <c r="L1049" i="12" s="1"/>
  <c r="O1048" i="12"/>
  <c r="P1048" i="12" s="1"/>
  <c r="L1048" i="12"/>
  <c r="K1048" i="12"/>
  <c r="O1047" i="12"/>
  <c r="P1047" i="12" s="1"/>
  <c r="K1047" i="12"/>
  <c r="L1047" i="12" s="1"/>
  <c r="O1046" i="12"/>
  <c r="P1046" i="12" s="1"/>
  <c r="K1046" i="12"/>
  <c r="L1046" i="12" s="1"/>
  <c r="P1045" i="12"/>
  <c r="O1045" i="12"/>
  <c r="K1045" i="12"/>
  <c r="L1045" i="12" s="1"/>
  <c r="O1044" i="12"/>
  <c r="P1044" i="12" s="1"/>
  <c r="K1044" i="12"/>
  <c r="L1044" i="12" s="1"/>
  <c r="O1043" i="12"/>
  <c r="P1043" i="12" s="1"/>
  <c r="L1043" i="12"/>
  <c r="K1043" i="12"/>
  <c r="O1042" i="12"/>
  <c r="P1042" i="12" s="1"/>
  <c r="K1042" i="12"/>
  <c r="L1042" i="12" s="1"/>
  <c r="O1041" i="12"/>
  <c r="P1041" i="12" s="1"/>
  <c r="L1041" i="12"/>
  <c r="K1041" i="12"/>
  <c r="O1040" i="12"/>
  <c r="P1040" i="12" s="1"/>
  <c r="K1040" i="12"/>
  <c r="L1040" i="12" s="1"/>
  <c r="O1039" i="12"/>
  <c r="P1039" i="12" s="1"/>
  <c r="K1039" i="12"/>
  <c r="L1039" i="12" s="1"/>
  <c r="O1038" i="12"/>
  <c r="P1038" i="12" s="1"/>
  <c r="K1038" i="12"/>
  <c r="L1038" i="12" s="1"/>
  <c r="O1037" i="12"/>
  <c r="P1037" i="12" s="1"/>
  <c r="K1037" i="12"/>
  <c r="L1037" i="12" s="1"/>
  <c r="P1036" i="12"/>
  <c r="O1036" i="12"/>
  <c r="K1036" i="12"/>
  <c r="L1036" i="12" s="1"/>
  <c r="O1035" i="12"/>
  <c r="P1035" i="12" s="1"/>
  <c r="L1035" i="12"/>
  <c r="K1035" i="12"/>
  <c r="P1034" i="12"/>
  <c r="O1034" i="12"/>
  <c r="K1034" i="12"/>
  <c r="L1034" i="12" s="1"/>
  <c r="O1033" i="12"/>
  <c r="P1033" i="12" s="1"/>
  <c r="L1033" i="12"/>
  <c r="K1033" i="12"/>
  <c r="P1032" i="12"/>
  <c r="O1032" i="12"/>
  <c r="L1032" i="12"/>
  <c r="K1032" i="12"/>
  <c r="P1031" i="12"/>
  <c r="O1031" i="12"/>
  <c r="K1031" i="12"/>
  <c r="L1031" i="12" s="1"/>
  <c r="O1030" i="12"/>
  <c r="P1030" i="12" s="1"/>
  <c r="L1030" i="12"/>
  <c r="K1030" i="12"/>
  <c r="P1029" i="12"/>
  <c r="O1029" i="12"/>
  <c r="L1029" i="12"/>
  <c r="K1029" i="12"/>
  <c r="P1028" i="12"/>
  <c r="O1028" i="12"/>
  <c r="K1028" i="12"/>
  <c r="L1028" i="12" s="1"/>
  <c r="O1027" i="12"/>
  <c r="P1027" i="12" s="1"/>
  <c r="L1027" i="12"/>
  <c r="K1027" i="12"/>
  <c r="P1026" i="12"/>
  <c r="O1026" i="12"/>
  <c r="K1026" i="12"/>
  <c r="L1026" i="12" s="1"/>
  <c r="O1025" i="12"/>
  <c r="P1025" i="12" s="1"/>
  <c r="K1025" i="12"/>
  <c r="L1025" i="12" s="1"/>
  <c r="O1024" i="12"/>
  <c r="P1024" i="12" s="1"/>
  <c r="K1024" i="12"/>
  <c r="L1024" i="12" s="1"/>
  <c r="O1023" i="12"/>
  <c r="P1023" i="12" s="1"/>
  <c r="K1023" i="12"/>
  <c r="L1023" i="12" s="1"/>
  <c r="P1022" i="12"/>
  <c r="O1022" i="12"/>
  <c r="L1022" i="12"/>
  <c r="K1022" i="12"/>
  <c r="P1021" i="12"/>
  <c r="O1021" i="12"/>
  <c r="K1021" i="12"/>
  <c r="L1021" i="12" s="1"/>
  <c r="O1020" i="12"/>
  <c r="P1020" i="12" s="1"/>
  <c r="K1020" i="12"/>
  <c r="L1020" i="12" s="1"/>
  <c r="O1019" i="12"/>
  <c r="P1019" i="12" s="1"/>
  <c r="K1019" i="12"/>
  <c r="L1019" i="12" s="1"/>
  <c r="O1018" i="12"/>
  <c r="P1018" i="12" s="1"/>
  <c r="L1018" i="12"/>
  <c r="K1018" i="12"/>
  <c r="O1017" i="12"/>
  <c r="P1017" i="12" s="1"/>
  <c r="K1017" i="12"/>
  <c r="L1017" i="12" s="1"/>
  <c r="O1016" i="12"/>
  <c r="P1016" i="12" s="1"/>
  <c r="K1016" i="12"/>
  <c r="L1016" i="12" s="1"/>
  <c r="P1015" i="12"/>
  <c r="O1015" i="12"/>
  <c r="L1015" i="12"/>
  <c r="K1015" i="12"/>
  <c r="P1014" i="12"/>
  <c r="O1014" i="12"/>
  <c r="K1014" i="12"/>
  <c r="L1014" i="12" s="1"/>
  <c r="O1013" i="12"/>
  <c r="P1013" i="12" s="1"/>
  <c r="L1013" i="12"/>
  <c r="K1013" i="12"/>
  <c r="O1012" i="12"/>
  <c r="P1012" i="12" s="1"/>
  <c r="K1012" i="12"/>
  <c r="L1012" i="12" s="1"/>
  <c r="O1011" i="12"/>
  <c r="P1011" i="12" s="1"/>
  <c r="K1011" i="12"/>
  <c r="L1011" i="12" s="1"/>
  <c r="O1010" i="12"/>
  <c r="P1010" i="12" s="1"/>
  <c r="K1010" i="12"/>
  <c r="L1010" i="12" s="1"/>
  <c r="O1009" i="12"/>
  <c r="P1009" i="12" s="1"/>
  <c r="K1009" i="12"/>
  <c r="L1009" i="12" s="1"/>
  <c r="O1008" i="12"/>
  <c r="P1008" i="12" s="1"/>
  <c r="K1008" i="12"/>
  <c r="L1008" i="12" s="1"/>
  <c r="P1007" i="12"/>
  <c r="O1007" i="12"/>
  <c r="K1007" i="12"/>
  <c r="L1007" i="12" s="1"/>
  <c r="O1006" i="12"/>
  <c r="P1006" i="12" s="1"/>
  <c r="K1006" i="12"/>
  <c r="L1006" i="12" s="1"/>
  <c r="O1005" i="12"/>
  <c r="P1005" i="12" s="1"/>
  <c r="K1005" i="12"/>
  <c r="L1005" i="12" s="1"/>
  <c r="P1004" i="12"/>
  <c r="O1004" i="12"/>
  <c r="K1004" i="12"/>
  <c r="L1004" i="12" s="1"/>
  <c r="O1003" i="12"/>
  <c r="P1003" i="12" s="1"/>
  <c r="K1003" i="12"/>
  <c r="L1003" i="12" s="1"/>
  <c r="O1002" i="12"/>
  <c r="P1002" i="12" s="1"/>
  <c r="K1002" i="12"/>
  <c r="L1002" i="12" s="1"/>
  <c r="O1001" i="12"/>
  <c r="P1001" i="12" s="1"/>
  <c r="K1001" i="12"/>
  <c r="L1001" i="12" s="1"/>
  <c r="O1000" i="12"/>
  <c r="P1000" i="12" s="1"/>
  <c r="K1000" i="12"/>
  <c r="L1000" i="12" s="1"/>
  <c r="P999" i="12"/>
  <c r="O999" i="12"/>
  <c r="K999" i="12"/>
  <c r="L999" i="12" s="1"/>
  <c r="O998" i="12"/>
  <c r="P998" i="12" s="1"/>
  <c r="L998" i="12"/>
  <c r="K998" i="12"/>
  <c r="O997" i="12"/>
  <c r="P997" i="12" s="1"/>
  <c r="K997" i="12"/>
  <c r="L997" i="12" s="1"/>
  <c r="O996" i="12"/>
  <c r="P996" i="12" s="1"/>
  <c r="K996" i="12"/>
  <c r="L996" i="12" s="1"/>
  <c r="O995" i="12"/>
  <c r="P995" i="12" s="1"/>
  <c r="K995" i="12"/>
  <c r="L995" i="12" s="1"/>
  <c r="O994" i="12"/>
  <c r="P994" i="12" s="1"/>
  <c r="L994" i="12"/>
  <c r="K994" i="12"/>
  <c r="P993" i="12"/>
  <c r="O993" i="12"/>
  <c r="K993" i="12"/>
  <c r="L993" i="12" s="1"/>
  <c r="O992" i="12"/>
  <c r="P992" i="12" s="1"/>
  <c r="L992" i="12"/>
  <c r="K992" i="12"/>
  <c r="O991" i="12"/>
  <c r="P991" i="12" s="1"/>
  <c r="L991" i="12"/>
  <c r="K991" i="12"/>
  <c r="O990" i="12"/>
  <c r="P990" i="12" s="1"/>
  <c r="K990" i="12"/>
  <c r="L990" i="12" s="1"/>
  <c r="P989" i="12"/>
  <c r="O989" i="12"/>
  <c r="K989" i="12"/>
  <c r="L989" i="12" s="1"/>
  <c r="O988" i="12"/>
  <c r="P988" i="12" s="1"/>
  <c r="K988" i="12"/>
  <c r="L988" i="12" s="1"/>
  <c r="O987" i="12"/>
  <c r="P987" i="12" s="1"/>
  <c r="K987" i="12"/>
  <c r="L987" i="12" s="1"/>
  <c r="O986" i="12"/>
  <c r="P986" i="12" s="1"/>
  <c r="K986" i="12"/>
  <c r="L986" i="12" s="1"/>
  <c r="O985" i="12"/>
  <c r="P985" i="12" s="1"/>
  <c r="L985" i="12"/>
  <c r="K985" i="12"/>
  <c r="O984" i="12"/>
  <c r="P984" i="12" s="1"/>
  <c r="K984" i="12"/>
  <c r="L984" i="12" s="1"/>
  <c r="P983" i="12"/>
  <c r="O983" i="12"/>
  <c r="L983" i="12"/>
  <c r="K983" i="12"/>
  <c r="O982" i="12"/>
  <c r="P982" i="12" s="1"/>
  <c r="K982" i="12"/>
  <c r="L982" i="12" s="1"/>
  <c r="P981" i="12"/>
  <c r="O981" i="12"/>
  <c r="K981" i="12"/>
  <c r="L981" i="12" s="1"/>
  <c r="O980" i="12"/>
  <c r="P980" i="12" s="1"/>
  <c r="K980" i="12"/>
  <c r="L980" i="12" s="1"/>
  <c r="O979" i="12"/>
  <c r="P979" i="12" s="1"/>
  <c r="K979" i="12"/>
  <c r="L979" i="12" s="1"/>
  <c r="O978" i="12"/>
  <c r="P978" i="12" s="1"/>
  <c r="K978" i="12"/>
  <c r="L978" i="12" s="1"/>
  <c r="O977" i="12"/>
  <c r="P977" i="12" s="1"/>
  <c r="K977" i="12"/>
  <c r="L977" i="12" s="1"/>
  <c r="P976" i="12"/>
  <c r="O976" i="12"/>
  <c r="L976" i="12"/>
  <c r="K976" i="12"/>
  <c r="P975" i="12"/>
  <c r="O975" i="12"/>
  <c r="K975" i="12"/>
  <c r="L975" i="12" s="1"/>
  <c r="P974" i="12"/>
  <c r="O974" i="12"/>
  <c r="K974" i="12"/>
  <c r="L974" i="12" s="1"/>
  <c r="O973" i="12"/>
  <c r="P973" i="12" s="1"/>
  <c r="L973" i="12"/>
  <c r="K973" i="12"/>
  <c r="O972" i="12"/>
  <c r="P972" i="12" s="1"/>
  <c r="K972" i="12"/>
  <c r="L972" i="12" s="1"/>
  <c r="P971" i="12"/>
  <c r="O971" i="12"/>
  <c r="L971" i="12"/>
  <c r="K971" i="12"/>
  <c r="O970" i="12"/>
  <c r="P970" i="12" s="1"/>
  <c r="K970" i="12"/>
  <c r="L970" i="12" s="1"/>
  <c r="P969" i="12"/>
  <c r="O969" i="12"/>
  <c r="K969" i="12"/>
  <c r="L969" i="12" s="1"/>
  <c r="O968" i="12"/>
  <c r="P968" i="12" s="1"/>
  <c r="K968" i="12"/>
  <c r="L968" i="12" s="1"/>
  <c r="P967" i="12"/>
  <c r="O967" i="12"/>
  <c r="K967" i="12"/>
  <c r="L967" i="12" s="1"/>
  <c r="O966" i="12"/>
  <c r="P966" i="12" s="1"/>
  <c r="K966" i="12"/>
  <c r="L966" i="12" s="1"/>
  <c r="O965" i="12"/>
  <c r="P965" i="12" s="1"/>
  <c r="K965" i="12"/>
  <c r="L965" i="12" s="1"/>
  <c r="O964" i="12"/>
  <c r="P964" i="12" s="1"/>
  <c r="K964" i="12"/>
  <c r="L964" i="12" s="1"/>
  <c r="P963" i="12"/>
  <c r="O963" i="12"/>
  <c r="K963" i="12"/>
  <c r="L963" i="12" s="1"/>
  <c r="O962" i="12"/>
  <c r="P962" i="12" s="1"/>
  <c r="L962" i="12"/>
  <c r="K962" i="12"/>
  <c r="O961" i="12"/>
  <c r="P961" i="12" s="1"/>
  <c r="K961" i="12"/>
  <c r="L961" i="12" s="1"/>
  <c r="O960" i="12"/>
  <c r="P960" i="12" s="1"/>
  <c r="K960" i="12"/>
  <c r="L960" i="12" s="1"/>
  <c r="O959" i="12"/>
  <c r="P959" i="12" s="1"/>
  <c r="K959" i="12"/>
  <c r="L959" i="12" s="1"/>
  <c r="O958" i="12"/>
  <c r="P958" i="12" s="1"/>
  <c r="L958" i="12"/>
  <c r="K958" i="12"/>
  <c r="P957" i="12"/>
  <c r="O957" i="12"/>
  <c r="K957" i="12"/>
  <c r="L957" i="12" s="1"/>
  <c r="O956" i="12"/>
  <c r="P956" i="12" s="1"/>
  <c r="L956" i="12"/>
  <c r="K956" i="12"/>
  <c r="P955" i="12"/>
  <c r="O955" i="12"/>
  <c r="K955" i="12"/>
  <c r="L955" i="12" s="1"/>
  <c r="O954" i="12"/>
  <c r="P954" i="12" s="1"/>
  <c r="K954" i="12"/>
  <c r="L954" i="12" s="1"/>
  <c r="P953" i="12"/>
  <c r="O953" i="12"/>
  <c r="K953" i="12"/>
  <c r="L953" i="12" s="1"/>
  <c r="O952" i="12"/>
  <c r="P952" i="12" s="1"/>
  <c r="K952" i="12"/>
  <c r="L952" i="12" s="1"/>
  <c r="O951" i="12"/>
  <c r="P951" i="12" s="1"/>
  <c r="K951" i="12"/>
  <c r="L951" i="12" s="1"/>
  <c r="O950" i="12"/>
  <c r="P950" i="12" s="1"/>
  <c r="K950" i="12"/>
  <c r="L950" i="12" s="1"/>
  <c r="O949" i="12"/>
  <c r="P949" i="12" s="1"/>
  <c r="L949" i="12"/>
  <c r="K949" i="12"/>
  <c r="P948" i="12"/>
  <c r="O948" i="12"/>
  <c r="K948" i="12"/>
  <c r="L948" i="12" s="1"/>
  <c r="P947" i="12"/>
  <c r="O947" i="12"/>
  <c r="L947" i="12"/>
  <c r="K947" i="12"/>
  <c r="O946" i="12"/>
  <c r="P946" i="12" s="1"/>
  <c r="K946" i="12"/>
  <c r="L946" i="12" s="1"/>
  <c r="P945" i="12"/>
  <c r="O945" i="12"/>
  <c r="K945" i="12"/>
  <c r="L945" i="12" s="1"/>
  <c r="O944" i="12"/>
  <c r="P944" i="12" s="1"/>
  <c r="K944" i="12"/>
  <c r="L944" i="12" s="1"/>
  <c r="O943" i="12"/>
  <c r="P943" i="12" s="1"/>
  <c r="K943" i="12"/>
  <c r="L943" i="12" s="1"/>
  <c r="O942" i="12"/>
  <c r="P942" i="12" s="1"/>
  <c r="K942" i="12"/>
  <c r="L942" i="12" s="1"/>
  <c r="O941" i="12"/>
  <c r="P941" i="12" s="1"/>
  <c r="K941" i="12"/>
  <c r="L941" i="12" s="1"/>
  <c r="P940" i="12"/>
  <c r="O940" i="12"/>
  <c r="L940" i="12"/>
  <c r="K940" i="12"/>
  <c r="P939" i="12"/>
  <c r="O939" i="12"/>
  <c r="K939" i="12"/>
  <c r="L939" i="12" s="1"/>
  <c r="P938" i="12"/>
  <c r="O938" i="12"/>
  <c r="K938" i="12"/>
  <c r="L938" i="12" s="1"/>
  <c r="O937" i="12"/>
  <c r="P937" i="12" s="1"/>
  <c r="L937" i="12"/>
  <c r="K937" i="12"/>
  <c r="O936" i="12"/>
  <c r="P936" i="12" s="1"/>
  <c r="K936" i="12"/>
  <c r="L936" i="12" s="1"/>
  <c r="P935" i="12"/>
  <c r="O935" i="12"/>
  <c r="K935" i="12"/>
  <c r="L935" i="12" s="1"/>
  <c r="P934" i="12"/>
  <c r="O934" i="12"/>
  <c r="L934" i="12"/>
  <c r="K934" i="12"/>
  <c r="P933" i="12"/>
  <c r="O933" i="12"/>
  <c r="K933" i="12"/>
  <c r="L933" i="12" s="1"/>
  <c r="P932" i="12"/>
  <c r="O932" i="12"/>
  <c r="K932" i="12"/>
  <c r="L932" i="12" s="1"/>
  <c r="O931" i="12"/>
  <c r="P931" i="12" s="1"/>
  <c r="L931" i="12"/>
  <c r="K931" i="12"/>
  <c r="O930" i="12"/>
  <c r="P930" i="12" s="1"/>
  <c r="K930" i="12"/>
  <c r="L930" i="12" s="1"/>
  <c r="O929" i="12"/>
  <c r="P929" i="12" s="1"/>
  <c r="K929" i="12"/>
  <c r="L929" i="12" s="1"/>
  <c r="P928" i="12"/>
  <c r="O928" i="12"/>
  <c r="L928" i="12"/>
  <c r="K928" i="12"/>
  <c r="P927" i="12"/>
  <c r="O927" i="12"/>
  <c r="K927" i="12"/>
  <c r="L927" i="12" s="1"/>
  <c r="P926" i="12"/>
  <c r="O926" i="12"/>
  <c r="K926" i="12"/>
  <c r="L926" i="12" s="1"/>
  <c r="O925" i="12"/>
  <c r="P925" i="12" s="1"/>
  <c r="L925" i="12"/>
  <c r="K925" i="12"/>
  <c r="P924" i="12"/>
  <c r="O924" i="12"/>
  <c r="K924" i="12"/>
  <c r="L924" i="12" s="1"/>
  <c r="P923" i="12"/>
  <c r="O923" i="12"/>
  <c r="K923" i="12"/>
  <c r="L923" i="12" s="1"/>
  <c r="O922" i="12"/>
  <c r="P922" i="12" s="1"/>
  <c r="K922" i="12"/>
  <c r="L922" i="12" s="1"/>
  <c r="O921" i="12"/>
  <c r="P921" i="12" s="1"/>
  <c r="K921" i="12"/>
  <c r="L921" i="12" s="1"/>
  <c r="P920" i="12"/>
  <c r="O920" i="12"/>
  <c r="L920" i="12"/>
  <c r="K920" i="12"/>
  <c r="O919" i="12"/>
  <c r="P919" i="12" s="1"/>
  <c r="K919" i="12"/>
  <c r="L919" i="12" s="1"/>
  <c r="P918" i="12"/>
  <c r="O918" i="12"/>
  <c r="K918" i="12"/>
  <c r="L918" i="12" s="1"/>
  <c r="O917" i="12"/>
  <c r="P917" i="12" s="1"/>
  <c r="K917" i="12"/>
  <c r="L917" i="12" s="1"/>
  <c r="O916" i="12"/>
  <c r="P916" i="12" s="1"/>
  <c r="L916" i="12"/>
  <c r="K916" i="12"/>
  <c r="P915" i="12"/>
  <c r="O915" i="12"/>
  <c r="K915" i="12"/>
  <c r="L915" i="12" s="1"/>
  <c r="P914" i="12"/>
  <c r="O914" i="12"/>
  <c r="L914" i="12"/>
  <c r="K914" i="12"/>
  <c r="P913" i="12"/>
  <c r="O913" i="12"/>
  <c r="L913" i="12"/>
  <c r="K913" i="12"/>
  <c r="O912" i="12"/>
  <c r="P912" i="12" s="1"/>
  <c r="K912" i="12"/>
  <c r="L912" i="12" s="1"/>
  <c r="P911" i="12"/>
  <c r="O911" i="12"/>
  <c r="K911" i="12"/>
  <c r="L911" i="12" s="1"/>
  <c r="O910" i="12"/>
  <c r="P910" i="12" s="1"/>
  <c r="L910" i="12"/>
  <c r="K910" i="12"/>
  <c r="P909" i="12"/>
  <c r="O909" i="12"/>
  <c r="K909" i="12"/>
  <c r="L909" i="12" s="1"/>
  <c r="P908" i="12"/>
  <c r="O908" i="12"/>
  <c r="K908" i="12"/>
  <c r="L908" i="12" s="1"/>
  <c r="P907" i="12"/>
  <c r="O907" i="12"/>
  <c r="L907" i="12"/>
  <c r="K907" i="12"/>
  <c r="P906" i="12"/>
  <c r="O906" i="12"/>
  <c r="K906" i="12"/>
  <c r="L906" i="12" s="1"/>
  <c r="P905" i="12"/>
  <c r="O905" i="12"/>
  <c r="L905" i="12"/>
  <c r="K905" i="12"/>
  <c r="P904" i="12"/>
  <c r="O904" i="12"/>
  <c r="K904" i="12"/>
  <c r="L904" i="12" s="1"/>
  <c r="O903" i="12"/>
  <c r="P903" i="12" s="1"/>
  <c r="K903" i="12"/>
  <c r="L903" i="12" s="1"/>
  <c r="P902" i="12"/>
  <c r="O902" i="12"/>
  <c r="K902" i="12"/>
  <c r="L902" i="12" s="1"/>
  <c r="O901" i="12"/>
  <c r="P901" i="12" s="1"/>
  <c r="K901" i="12"/>
  <c r="L901" i="12" s="1"/>
  <c r="O900" i="12"/>
  <c r="P900" i="12" s="1"/>
  <c r="K900" i="12"/>
  <c r="L900" i="12" s="1"/>
  <c r="P899" i="12"/>
  <c r="O899" i="12"/>
  <c r="K899" i="12"/>
  <c r="L899" i="12" s="1"/>
  <c r="P898" i="12"/>
  <c r="O898" i="12"/>
  <c r="L898" i="12"/>
  <c r="K898" i="12"/>
  <c r="P897" i="12"/>
  <c r="O897" i="12"/>
  <c r="K897" i="12"/>
  <c r="L897" i="12" s="1"/>
  <c r="P896" i="12"/>
  <c r="O896" i="12"/>
  <c r="K896" i="12"/>
  <c r="L896" i="12" s="1"/>
  <c r="O895" i="12"/>
  <c r="P895" i="12" s="1"/>
  <c r="L895" i="12"/>
  <c r="K895" i="12"/>
  <c r="O894" i="12"/>
  <c r="P894" i="12" s="1"/>
  <c r="K894" i="12"/>
  <c r="L894" i="12" s="1"/>
  <c r="P893" i="12"/>
  <c r="O893" i="12"/>
  <c r="K893" i="12"/>
  <c r="L893" i="12" s="1"/>
  <c r="O892" i="12"/>
  <c r="P892" i="12" s="1"/>
  <c r="K892" i="12"/>
  <c r="L892" i="12" s="1"/>
  <c r="O891" i="12"/>
  <c r="P891" i="12" s="1"/>
  <c r="K891" i="12"/>
  <c r="L891" i="12" s="1"/>
  <c r="O890" i="12"/>
  <c r="P890" i="12" s="1"/>
  <c r="K890" i="12"/>
  <c r="L890" i="12" s="1"/>
  <c r="O889" i="12"/>
  <c r="P889" i="12" s="1"/>
  <c r="K889" i="12"/>
  <c r="L889" i="12" s="1"/>
  <c r="O888" i="12"/>
  <c r="P888" i="12" s="1"/>
  <c r="K888" i="12"/>
  <c r="L888" i="12" s="1"/>
  <c r="P887" i="12"/>
  <c r="O887" i="12"/>
  <c r="K887" i="12"/>
  <c r="L887" i="12" s="1"/>
  <c r="O886" i="12"/>
  <c r="P886" i="12" s="1"/>
  <c r="K886" i="12"/>
  <c r="L886" i="12" s="1"/>
  <c r="P885" i="12"/>
  <c r="O885" i="12"/>
  <c r="K885" i="12"/>
  <c r="L885" i="12" s="1"/>
  <c r="O884" i="12"/>
  <c r="P884" i="12" s="1"/>
  <c r="K884" i="12"/>
  <c r="L884" i="12" s="1"/>
  <c r="P883" i="12"/>
  <c r="O883" i="12"/>
  <c r="L883" i="12"/>
  <c r="K883" i="12"/>
  <c r="P882" i="12"/>
  <c r="O882" i="12"/>
  <c r="K882" i="12"/>
  <c r="L882" i="12" s="1"/>
  <c r="P881" i="12"/>
  <c r="O881" i="12"/>
  <c r="K881" i="12"/>
  <c r="L881" i="12" s="1"/>
  <c r="O880" i="12"/>
  <c r="P880" i="12" s="1"/>
  <c r="L880" i="12"/>
  <c r="K880" i="12"/>
  <c r="O879" i="12"/>
  <c r="P879" i="12" s="1"/>
  <c r="K879" i="12"/>
  <c r="L879" i="12" s="1"/>
  <c r="O878" i="12"/>
  <c r="P878" i="12" s="1"/>
  <c r="K878" i="12"/>
  <c r="L878" i="12" s="1"/>
  <c r="O877" i="12"/>
  <c r="P877" i="12" s="1"/>
  <c r="K877" i="12"/>
  <c r="L877" i="12" s="1"/>
  <c r="P876" i="12"/>
  <c r="O876" i="12"/>
  <c r="K876" i="12"/>
  <c r="L876" i="12" s="1"/>
  <c r="O875" i="12"/>
  <c r="P875" i="12" s="1"/>
  <c r="L875" i="12"/>
  <c r="K875" i="12"/>
  <c r="O874" i="12"/>
  <c r="P874" i="12" s="1"/>
  <c r="K874" i="12"/>
  <c r="L874" i="12" s="1"/>
  <c r="O873" i="12"/>
  <c r="P873" i="12" s="1"/>
  <c r="K873" i="12"/>
  <c r="L873" i="12" s="1"/>
  <c r="O872" i="12"/>
  <c r="P872" i="12" s="1"/>
  <c r="K872" i="12"/>
  <c r="L872" i="12" s="1"/>
  <c r="O871" i="12"/>
  <c r="P871" i="12" s="1"/>
  <c r="K871" i="12"/>
  <c r="L871" i="12" s="1"/>
  <c r="O870" i="12"/>
  <c r="P870" i="12" s="1"/>
  <c r="K870" i="12"/>
  <c r="L870" i="12" s="1"/>
  <c r="P869" i="12"/>
  <c r="O869" i="12"/>
  <c r="K869" i="12"/>
  <c r="L869" i="12" s="1"/>
  <c r="O868" i="12"/>
  <c r="P868" i="12" s="1"/>
  <c r="L868" i="12"/>
  <c r="K868" i="12"/>
  <c r="P867" i="12"/>
  <c r="O867" i="12"/>
  <c r="K867" i="12"/>
  <c r="L867" i="12" s="1"/>
  <c r="O866" i="12"/>
  <c r="P866" i="12" s="1"/>
  <c r="K866" i="12"/>
  <c r="L866" i="12" s="1"/>
  <c r="O865" i="12"/>
  <c r="P865" i="12" s="1"/>
  <c r="L865" i="12"/>
  <c r="K865" i="12"/>
  <c r="O864" i="12"/>
  <c r="P864" i="12" s="1"/>
  <c r="K864" i="12"/>
  <c r="L864" i="12" s="1"/>
  <c r="P863" i="12"/>
  <c r="O863" i="12"/>
  <c r="L863" i="12"/>
  <c r="K863" i="12"/>
  <c r="P862" i="12"/>
  <c r="O862" i="12"/>
  <c r="K862" i="12"/>
  <c r="L862" i="12" s="1"/>
  <c r="O861" i="12"/>
  <c r="P861" i="12" s="1"/>
  <c r="K861" i="12"/>
  <c r="L861" i="12" s="1"/>
  <c r="O860" i="12"/>
  <c r="P860" i="12" s="1"/>
  <c r="K860" i="12"/>
  <c r="L860" i="12" s="1"/>
  <c r="P859" i="12"/>
  <c r="O859" i="12"/>
  <c r="L859" i="12"/>
  <c r="K859" i="12"/>
  <c r="O858" i="12"/>
  <c r="P858" i="12" s="1"/>
  <c r="K858" i="12"/>
  <c r="L858" i="12" s="1"/>
  <c r="P857" i="12"/>
  <c r="O857" i="12"/>
  <c r="K857" i="12"/>
  <c r="L857" i="12" s="1"/>
  <c r="O856" i="12"/>
  <c r="P856" i="12" s="1"/>
  <c r="K856" i="12"/>
  <c r="L856" i="12" s="1"/>
  <c r="O855" i="12"/>
  <c r="P855" i="12" s="1"/>
  <c r="K855" i="12"/>
  <c r="L855" i="12" s="1"/>
  <c r="O854" i="12"/>
  <c r="P854" i="12" s="1"/>
  <c r="K854" i="12"/>
  <c r="L854" i="12" s="1"/>
  <c r="O853" i="12"/>
  <c r="P853" i="12" s="1"/>
  <c r="K853" i="12"/>
  <c r="L853" i="12" s="1"/>
  <c r="O852" i="12"/>
  <c r="P852" i="12" s="1"/>
  <c r="K852" i="12"/>
  <c r="L852" i="12" s="1"/>
  <c r="P851" i="12"/>
  <c r="O851" i="12"/>
  <c r="K851" i="12"/>
  <c r="L851" i="12" s="1"/>
  <c r="O850" i="12"/>
  <c r="P850" i="12" s="1"/>
  <c r="K850" i="12"/>
  <c r="L850" i="12" s="1"/>
  <c r="P849" i="12"/>
  <c r="O849" i="12"/>
  <c r="K849" i="12"/>
  <c r="L849" i="12" s="1"/>
  <c r="O848" i="12"/>
  <c r="P848" i="12" s="1"/>
  <c r="K848" i="12"/>
  <c r="L848" i="12" s="1"/>
  <c r="P847" i="12"/>
  <c r="O847" i="12"/>
  <c r="L847" i="12"/>
  <c r="K847" i="12"/>
  <c r="P846" i="12"/>
  <c r="O846" i="12"/>
  <c r="K846" i="12"/>
  <c r="L846" i="12" s="1"/>
  <c r="P845" i="12"/>
  <c r="O845" i="12"/>
  <c r="K845" i="12"/>
  <c r="L845" i="12" s="1"/>
  <c r="O844" i="12"/>
  <c r="P844" i="12" s="1"/>
  <c r="L844" i="12"/>
  <c r="K844" i="12"/>
  <c r="O843" i="12"/>
  <c r="P843" i="12" s="1"/>
  <c r="K843" i="12"/>
  <c r="L843" i="12" s="1"/>
  <c r="P842" i="12"/>
  <c r="O842" i="12"/>
  <c r="K842" i="12"/>
  <c r="L842" i="12" s="1"/>
  <c r="O841" i="12"/>
  <c r="P841" i="12" s="1"/>
  <c r="K841" i="12"/>
  <c r="L841" i="12" s="1"/>
  <c r="P840" i="12"/>
  <c r="O840" i="12"/>
  <c r="K840" i="12"/>
  <c r="L840" i="12" s="1"/>
  <c r="O839" i="12"/>
  <c r="P839" i="12" s="1"/>
  <c r="L839" i="12"/>
  <c r="K839" i="12"/>
  <c r="O838" i="12"/>
  <c r="P838" i="12" s="1"/>
  <c r="K838" i="12"/>
  <c r="L838" i="12" s="1"/>
  <c r="O837" i="12"/>
  <c r="P837" i="12" s="1"/>
  <c r="K837" i="12"/>
  <c r="L837" i="12" s="1"/>
  <c r="O836" i="12"/>
  <c r="P836" i="12" s="1"/>
  <c r="K836" i="12"/>
  <c r="L836" i="12" s="1"/>
  <c r="P835" i="12"/>
  <c r="O835" i="12"/>
  <c r="K835" i="12"/>
  <c r="L835" i="12" s="1"/>
  <c r="O834" i="12"/>
  <c r="P834" i="12" s="1"/>
  <c r="K834" i="12"/>
  <c r="L834" i="12" s="1"/>
  <c r="P833" i="12"/>
  <c r="O833" i="12"/>
  <c r="K833" i="12"/>
  <c r="L833" i="12" s="1"/>
  <c r="O832" i="12"/>
  <c r="P832" i="12" s="1"/>
  <c r="L832" i="12"/>
  <c r="K832" i="12"/>
  <c r="P831" i="12"/>
  <c r="O831" i="12"/>
  <c r="K831" i="12"/>
  <c r="L831" i="12" s="1"/>
  <c r="O830" i="12"/>
  <c r="P830" i="12" s="1"/>
  <c r="K830" i="12"/>
  <c r="L830" i="12" s="1"/>
  <c r="O829" i="12"/>
  <c r="P829" i="12" s="1"/>
  <c r="L829" i="12"/>
  <c r="K829" i="12"/>
  <c r="P828" i="12"/>
  <c r="O828" i="12"/>
  <c r="K828" i="12"/>
  <c r="L828" i="12" s="1"/>
  <c r="P827" i="12"/>
  <c r="O827" i="12"/>
  <c r="K827" i="12"/>
  <c r="L827" i="12" s="1"/>
  <c r="O826" i="12"/>
  <c r="P826" i="12" s="1"/>
  <c r="L826" i="12"/>
  <c r="K826" i="12"/>
  <c r="P825" i="12"/>
  <c r="O825" i="12"/>
  <c r="K825" i="12"/>
  <c r="L825" i="12" s="1"/>
  <c r="P824" i="12"/>
  <c r="O824" i="12"/>
  <c r="K824" i="12"/>
  <c r="L824" i="12" s="1"/>
  <c r="O823" i="12"/>
  <c r="P823" i="12" s="1"/>
  <c r="L823" i="12"/>
  <c r="K823" i="12"/>
  <c r="P822" i="12"/>
  <c r="O822" i="12"/>
  <c r="K822" i="12"/>
  <c r="L822" i="12" s="1"/>
  <c r="P821" i="12"/>
  <c r="O821" i="12"/>
  <c r="K821" i="12"/>
  <c r="L821" i="12" s="1"/>
  <c r="P820" i="12"/>
  <c r="O820" i="12"/>
  <c r="L820" i="12"/>
  <c r="K820" i="12"/>
  <c r="P819" i="12"/>
  <c r="O819" i="12"/>
  <c r="K819" i="12"/>
  <c r="L819" i="12" s="1"/>
  <c r="P818" i="12"/>
  <c r="O818" i="12"/>
  <c r="L818" i="12"/>
  <c r="K818" i="12"/>
  <c r="O817" i="12"/>
  <c r="P817" i="12" s="1"/>
  <c r="L817" i="12"/>
  <c r="K817" i="12"/>
  <c r="P816" i="12"/>
  <c r="O816" i="12"/>
  <c r="K816" i="12"/>
  <c r="L816" i="12" s="1"/>
  <c r="O815" i="12"/>
  <c r="P815" i="12" s="1"/>
  <c r="K815" i="12"/>
  <c r="L815" i="12" s="1"/>
  <c r="O814" i="12"/>
  <c r="P814" i="12" s="1"/>
  <c r="L814" i="12"/>
  <c r="K814" i="12"/>
  <c r="P813" i="12"/>
  <c r="O813" i="12"/>
  <c r="K813" i="12"/>
  <c r="L813" i="12" s="1"/>
  <c r="P812" i="12"/>
  <c r="O812" i="12"/>
  <c r="L812" i="12"/>
  <c r="K812" i="12"/>
  <c r="P811" i="12"/>
  <c r="O811" i="12"/>
  <c r="K811" i="12"/>
  <c r="L811" i="12" s="1"/>
  <c r="O810" i="12"/>
  <c r="P810" i="12" s="1"/>
  <c r="K810" i="12"/>
  <c r="L810" i="12" s="1"/>
  <c r="O809" i="12"/>
  <c r="P809" i="12" s="1"/>
  <c r="K809" i="12"/>
  <c r="L809" i="12" s="1"/>
  <c r="O808" i="12"/>
  <c r="P808" i="12" s="1"/>
  <c r="K808" i="12"/>
  <c r="L808" i="12" s="1"/>
  <c r="P807" i="12"/>
  <c r="O807" i="12"/>
  <c r="K807" i="12"/>
  <c r="L807" i="12" s="1"/>
  <c r="O806" i="12"/>
  <c r="P806" i="12" s="1"/>
  <c r="L806" i="12"/>
  <c r="K806" i="12"/>
  <c r="P805" i="12"/>
  <c r="O805" i="12"/>
  <c r="L805" i="12"/>
  <c r="K805" i="12"/>
  <c r="P804" i="12"/>
  <c r="O804" i="12"/>
  <c r="K804" i="12"/>
  <c r="L804" i="12" s="1"/>
  <c r="P803" i="12"/>
  <c r="O803" i="12"/>
  <c r="L803" i="12"/>
  <c r="K803" i="12"/>
  <c r="O802" i="12"/>
  <c r="P802" i="12" s="1"/>
  <c r="L802" i="12"/>
  <c r="K802" i="12"/>
  <c r="P801" i="12"/>
  <c r="O801" i="12"/>
  <c r="K801" i="12"/>
  <c r="L801" i="12" s="1"/>
  <c r="P800" i="12"/>
  <c r="O800" i="12"/>
  <c r="K800" i="12"/>
  <c r="L800" i="12" s="1"/>
  <c r="O799" i="12"/>
  <c r="P799" i="12" s="1"/>
  <c r="L799" i="12"/>
  <c r="K799" i="12"/>
  <c r="P798" i="12"/>
  <c r="O798" i="12"/>
  <c r="K798" i="12"/>
  <c r="L798" i="12" s="1"/>
  <c r="O797" i="12"/>
  <c r="P797" i="12" s="1"/>
  <c r="L797" i="12"/>
  <c r="K797" i="12"/>
  <c r="P796" i="12"/>
  <c r="O796" i="12"/>
  <c r="L796" i="12"/>
  <c r="K796" i="12"/>
  <c r="O795" i="12"/>
  <c r="P795" i="12" s="1"/>
  <c r="K795" i="12"/>
  <c r="L795" i="12" s="1"/>
  <c r="P794" i="12"/>
  <c r="O794" i="12"/>
  <c r="L794" i="12"/>
  <c r="K794" i="12"/>
  <c r="O793" i="12"/>
  <c r="P793" i="12" s="1"/>
  <c r="L793" i="12"/>
  <c r="K793" i="12"/>
  <c r="O792" i="12"/>
  <c r="P792" i="12" s="1"/>
  <c r="K792" i="12"/>
  <c r="L792" i="12" s="1"/>
  <c r="P791" i="12"/>
  <c r="O791" i="12"/>
  <c r="K791" i="12"/>
  <c r="L791" i="12" s="1"/>
  <c r="O790" i="12"/>
  <c r="P790" i="12" s="1"/>
  <c r="L790" i="12"/>
  <c r="K790" i="12"/>
  <c r="P789" i="12"/>
  <c r="O789" i="12"/>
  <c r="K789" i="12"/>
  <c r="L789" i="12" s="1"/>
  <c r="P788" i="12"/>
  <c r="O788" i="12"/>
  <c r="K788" i="12"/>
  <c r="L788" i="12" s="1"/>
  <c r="O787" i="12"/>
  <c r="P787" i="12" s="1"/>
  <c r="L787" i="12"/>
  <c r="K787" i="12"/>
  <c r="P786" i="12"/>
  <c r="O786" i="12"/>
  <c r="K786" i="12"/>
  <c r="L786" i="12" s="1"/>
  <c r="P785" i="12"/>
  <c r="O785" i="12"/>
  <c r="K785" i="12"/>
  <c r="L785" i="12" s="1"/>
  <c r="O784" i="12"/>
  <c r="P784" i="12" s="1"/>
  <c r="K784" i="12"/>
  <c r="L784" i="12" s="1"/>
  <c r="O783" i="12"/>
  <c r="P783" i="12" s="1"/>
  <c r="K783" i="12"/>
  <c r="L783" i="12" s="1"/>
  <c r="P782" i="12"/>
  <c r="O782" i="12"/>
  <c r="K782" i="12"/>
  <c r="L782" i="12" s="1"/>
  <c r="O781" i="12"/>
  <c r="P781" i="12" s="1"/>
  <c r="L781" i="12"/>
  <c r="K781" i="12"/>
  <c r="O780" i="12"/>
  <c r="P780" i="12" s="1"/>
  <c r="K780" i="12"/>
  <c r="L780" i="12" s="1"/>
  <c r="P779" i="12"/>
  <c r="O779" i="12"/>
  <c r="K779" i="12"/>
  <c r="L779" i="12" s="1"/>
  <c r="O778" i="12"/>
  <c r="P778" i="12" s="1"/>
  <c r="K778" i="12"/>
  <c r="L778" i="12" s="1"/>
  <c r="O777" i="12"/>
  <c r="P777" i="12" s="1"/>
  <c r="K777" i="12"/>
  <c r="L777" i="12" s="1"/>
  <c r="O776" i="12"/>
  <c r="P776" i="12" s="1"/>
  <c r="K776" i="12"/>
  <c r="L776" i="12" s="1"/>
  <c r="O775" i="12"/>
  <c r="P775" i="12" s="1"/>
  <c r="L775" i="12"/>
  <c r="K775" i="12"/>
  <c r="P774" i="12"/>
  <c r="O774" i="12"/>
  <c r="K774" i="12"/>
  <c r="L774" i="12" s="1"/>
  <c r="P773" i="12"/>
  <c r="O773" i="12"/>
  <c r="K773" i="12"/>
  <c r="L773" i="12" s="1"/>
  <c r="O772" i="12"/>
  <c r="P772" i="12" s="1"/>
  <c r="L772" i="12"/>
  <c r="K772" i="12"/>
  <c r="P771" i="12"/>
  <c r="O771" i="12"/>
  <c r="K771" i="12"/>
  <c r="L771" i="12" s="1"/>
  <c r="P770" i="12"/>
  <c r="O770" i="12"/>
  <c r="K770" i="12"/>
  <c r="L770" i="12" s="1"/>
  <c r="O769" i="12"/>
  <c r="P769" i="12" s="1"/>
  <c r="K769" i="12"/>
  <c r="L769" i="12" s="1"/>
  <c r="O768" i="12"/>
  <c r="P768" i="12" s="1"/>
  <c r="K768" i="12"/>
  <c r="L768" i="12" s="1"/>
  <c r="O767" i="12"/>
  <c r="P767" i="12" s="1"/>
  <c r="K767" i="12"/>
  <c r="L767" i="12" s="1"/>
  <c r="O766" i="12"/>
  <c r="P766" i="12" s="1"/>
  <c r="K766" i="12"/>
  <c r="L766" i="12" s="1"/>
  <c r="O765" i="12"/>
  <c r="P765" i="12" s="1"/>
  <c r="K765" i="12"/>
  <c r="L765" i="12" s="1"/>
  <c r="P764" i="12"/>
  <c r="O764" i="12"/>
  <c r="K764" i="12"/>
  <c r="L764" i="12" s="1"/>
  <c r="P763" i="12"/>
  <c r="O763" i="12"/>
  <c r="K763" i="12"/>
  <c r="L763" i="12" s="1"/>
  <c r="O762" i="12"/>
  <c r="P762" i="12" s="1"/>
  <c r="K762" i="12"/>
  <c r="L762" i="12" s="1"/>
  <c r="P761" i="12"/>
  <c r="O761" i="12"/>
  <c r="L761" i="12"/>
  <c r="K761" i="12"/>
  <c r="O760" i="12"/>
  <c r="P760" i="12" s="1"/>
  <c r="K760" i="12"/>
  <c r="L760" i="12" s="1"/>
  <c r="P759" i="12"/>
  <c r="O759" i="12"/>
  <c r="K759" i="12"/>
  <c r="L759" i="12" s="1"/>
  <c r="O758" i="12"/>
  <c r="P758" i="12" s="1"/>
  <c r="K758" i="12"/>
  <c r="L758" i="12" s="1"/>
  <c r="O757" i="12"/>
  <c r="P757" i="12" s="1"/>
  <c r="L757" i="12"/>
  <c r="K757" i="12"/>
  <c r="P756" i="12"/>
  <c r="O756" i="12"/>
  <c r="K756" i="12"/>
  <c r="L756" i="12" s="1"/>
  <c r="P755" i="12"/>
  <c r="O755" i="12"/>
  <c r="L755" i="12"/>
  <c r="K755" i="12"/>
  <c r="P754" i="12"/>
  <c r="O754" i="12"/>
  <c r="L754" i="12"/>
  <c r="K754" i="12"/>
  <c r="O753" i="12"/>
  <c r="P753" i="12" s="1"/>
  <c r="K753" i="12"/>
  <c r="L753" i="12" s="1"/>
  <c r="O752" i="12"/>
  <c r="P752" i="12" s="1"/>
  <c r="K752" i="12"/>
  <c r="L752" i="12" s="1"/>
  <c r="P751" i="12"/>
  <c r="O751" i="12"/>
  <c r="L751" i="12"/>
  <c r="K751" i="12"/>
  <c r="P750" i="12"/>
  <c r="O750" i="12"/>
  <c r="K750" i="12"/>
  <c r="L750" i="12" s="1"/>
  <c r="P749" i="12"/>
  <c r="O749" i="12"/>
  <c r="K749" i="12"/>
  <c r="L749" i="12" s="1"/>
  <c r="O748" i="12"/>
  <c r="P748" i="12" s="1"/>
  <c r="K748" i="12"/>
  <c r="L748" i="12" s="1"/>
  <c r="O747" i="12"/>
  <c r="P747" i="12" s="1"/>
  <c r="K747" i="12"/>
  <c r="L747" i="12" s="1"/>
  <c r="P746" i="12"/>
  <c r="O746" i="12"/>
  <c r="K746" i="12"/>
  <c r="L746" i="12" s="1"/>
  <c r="O745" i="12"/>
  <c r="P745" i="12" s="1"/>
  <c r="L745" i="12"/>
  <c r="K745" i="12"/>
  <c r="O744" i="12"/>
  <c r="P744" i="12" s="1"/>
  <c r="K744" i="12"/>
  <c r="L744" i="12" s="1"/>
  <c r="P743" i="12"/>
  <c r="O743" i="12"/>
  <c r="K743" i="12"/>
  <c r="L743" i="12" s="1"/>
  <c r="O742" i="12"/>
  <c r="P742" i="12" s="1"/>
  <c r="K742" i="12"/>
  <c r="L742" i="12" s="1"/>
  <c r="O741" i="12"/>
  <c r="P741" i="12" s="1"/>
  <c r="K741" i="12"/>
  <c r="L741" i="12" s="1"/>
  <c r="O740" i="12"/>
  <c r="P740" i="12" s="1"/>
  <c r="K740" i="12"/>
  <c r="L740" i="12" s="1"/>
  <c r="O739" i="12"/>
  <c r="P739" i="12" s="1"/>
  <c r="L739" i="12"/>
  <c r="K739" i="12"/>
  <c r="P738" i="12"/>
  <c r="O738" i="12"/>
  <c r="K738" i="12"/>
  <c r="L738" i="12" s="1"/>
  <c r="P737" i="12"/>
  <c r="O737" i="12"/>
  <c r="K737" i="12"/>
  <c r="L737" i="12" s="1"/>
  <c r="O736" i="12"/>
  <c r="P736" i="12" s="1"/>
  <c r="L736" i="12"/>
  <c r="K736" i="12"/>
  <c r="P735" i="12"/>
  <c r="O735" i="12"/>
  <c r="K735" i="12"/>
  <c r="L735" i="12" s="1"/>
  <c r="P734" i="12"/>
  <c r="O734" i="12"/>
  <c r="K734" i="12"/>
  <c r="L734" i="12" s="1"/>
  <c r="O733" i="12"/>
  <c r="P733" i="12" s="1"/>
  <c r="K733" i="12"/>
  <c r="L733" i="12" s="1"/>
  <c r="O732" i="12"/>
  <c r="P732" i="12" s="1"/>
  <c r="K732" i="12"/>
  <c r="L732" i="12" s="1"/>
  <c r="O731" i="12"/>
  <c r="P731" i="12" s="1"/>
  <c r="K731" i="12"/>
  <c r="L731" i="12" s="1"/>
  <c r="O730" i="12"/>
  <c r="P730" i="12" s="1"/>
  <c r="K730" i="12"/>
  <c r="L730" i="12" s="1"/>
  <c r="O729" i="12"/>
  <c r="P729" i="12" s="1"/>
  <c r="K729" i="12"/>
  <c r="L729" i="12" s="1"/>
  <c r="P728" i="12"/>
  <c r="O728" i="12"/>
  <c r="K728" i="12"/>
  <c r="L728" i="12" s="1"/>
  <c r="P727" i="12"/>
  <c r="O727" i="12"/>
  <c r="L727" i="12"/>
  <c r="K727" i="12"/>
  <c r="O726" i="12"/>
  <c r="P726" i="12" s="1"/>
  <c r="K726" i="12"/>
  <c r="L726" i="12" s="1"/>
  <c r="P725" i="12"/>
  <c r="O725" i="12"/>
  <c r="L725" i="12"/>
  <c r="K725" i="12"/>
  <c r="O724" i="12"/>
  <c r="P724" i="12" s="1"/>
  <c r="K724" i="12"/>
  <c r="L724" i="12" s="1"/>
  <c r="P723" i="12"/>
  <c r="O723" i="12"/>
  <c r="K723" i="12"/>
  <c r="L723" i="12" s="1"/>
  <c r="O722" i="12"/>
  <c r="P722" i="12" s="1"/>
  <c r="K722" i="12"/>
  <c r="L722" i="12" s="1"/>
  <c r="O721" i="12"/>
  <c r="P721" i="12" s="1"/>
  <c r="L721" i="12"/>
  <c r="K721" i="12"/>
  <c r="P720" i="12"/>
  <c r="O720" i="12"/>
  <c r="K720" i="12"/>
  <c r="L720" i="12" s="1"/>
  <c r="P719" i="12"/>
  <c r="O719" i="12"/>
  <c r="K719" i="12"/>
  <c r="L719" i="12" s="1"/>
  <c r="O718" i="12"/>
  <c r="P718" i="12" s="1"/>
  <c r="K718" i="12"/>
  <c r="L718" i="12" s="1"/>
  <c r="P717" i="12"/>
  <c r="O717" i="12"/>
  <c r="K717" i="12"/>
  <c r="L717" i="12" s="1"/>
  <c r="O716" i="12"/>
  <c r="P716" i="12" s="1"/>
  <c r="L716" i="12"/>
  <c r="K716" i="12"/>
  <c r="O715" i="12"/>
  <c r="P715" i="12" s="1"/>
  <c r="K715" i="12"/>
  <c r="L715" i="12" s="1"/>
  <c r="O714" i="12"/>
  <c r="P714" i="12" s="1"/>
  <c r="K714" i="12"/>
  <c r="L714" i="12" s="1"/>
  <c r="O713" i="12"/>
  <c r="P713" i="12" s="1"/>
  <c r="K713" i="12"/>
  <c r="L713" i="12" s="1"/>
  <c r="O712" i="12"/>
  <c r="P712" i="12" s="1"/>
  <c r="K712" i="12"/>
  <c r="L712" i="12" s="1"/>
  <c r="O711" i="12"/>
  <c r="P711" i="12" s="1"/>
  <c r="K711" i="12"/>
  <c r="L711" i="12" s="1"/>
  <c r="P710" i="12"/>
  <c r="O710" i="12"/>
  <c r="K710" i="12"/>
  <c r="L710" i="12" s="1"/>
  <c r="O709" i="12"/>
  <c r="P709" i="12" s="1"/>
  <c r="L709" i="12"/>
  <c r="K709" i="12"/>
  <c r="P708" i="12"/>
  <c r="O708" i="12"/>
  <c r="K708" i="12"/>
  <c r="L708" i="12" s="1"/>
  <c r="O707" i="12"/>
  <c r="P707" i="12" s="1"/>
  <c r="K707" i="12"/>
  <c r="L707" i="12" s="1"/>
  <c r="O706" i="12"/>
  <c r="P706" i="12" s="1"/>
  <c r="L706" i="12"/>
  <c r="K706" i="12"/>
  <c r="O705" i="12"/>
  <c r="P705" i="12" s="1"/>
  <c r="K705" i="12"/>
  <c r="L705" i="12" s="1"/>
  <c r="P704" i="12"/>
  <c r="O704" i="12"/>
  <c r="L704" i="12"/>
  <c r="K704" i="12"/>
  <c r="P703" i="12"/>
  <c r="O703" i="12"/>
  <c r="K703" i="12"/>
  <c r="L703" i="12" s="1"/>
  <c r="O702" i="12"/>
  <c r="P702" i="12" s="1"/>
  <c r="K702" i="12"/>
  <c r="L702" i="12" s="1"/>
  <c r="O701" i="12"/>
  <c r="P701" i="12" s="1"/>
  <c r="K701" i="12"/>
  <c r="L701" i="12" s="1"/>
  <c r="O700" i="12"/>
  <c r="P700" i="12" s="1"/>
  <c r="K700" i="12"/>
  <c r="L700" i="12" s="1"/>
  <c r="P699" i="12"/>
  <c r="O699" i="12"/>
  <c r="K699" i="12"/>
  <c r="L699" i="12" s="1"/>
  <c r="O698" i="12"/>
  <c r="P698" i="12" s="1"/>
  <c r="L698" i="12"/>
  <c r="K698" i="12"/>
  <c r="P697" i="12"/>
  <c r="O697" i="12"/>
  <c r="L697" i="12"/>
  <c r="K697" i="12"/>
  <c r="P696" i="12"/>
  <c r="O696" i="12"/>
  <c r="K696" i="12"/>
  <c r="L696" i="12" s="1"/>
  <c r="P695" i="12"/>
  <c r="O695" i="12"/>
  <c r="K695" i="12"/>
  <c r="L695" i="12" s="1"/>
  <c r="O694" i="12"/>
  <c r="P694" i="12" s="1"/>
  <c r="L694" i="12"/>
  <c r="K694" i="12"/>
  <c r="P693" i="12"/>
  <c r="O693" i="12"/>
  <c r="K693" i="12"/>
  <c r="L693" i="12" s="1"/>
  <c r="P692" i="12"/>
  <c r="O692" i="12"/>
  <c r="K692" i="12"/>
  <c r="L692" i="12" s="1"/>
  <c r="O691" i="12"/>
  <c r="P691" i="12" s="1"/>
  <c r="L691" i="12"/>
  <c r="K691" i="12"/>
  <c r="P690" i="12"/>
  <c r="O690" i="12"/>
  <c r="K690" i="12"/>
  <c r="L690" i="12" s="1"/>
  <c r="O689" i="12"/>
  <c r="P689" i="12" s="1"/>
  <c r="L689" i="12"/>
  <c r="K689" i="12"/>
  <c r="P688" i="12"/>
  <c r="O688" i="12"/>
  <c r="K688" i="12"/>
  <c r="L688" i="12" s="1"/>
  <c r="O687" i="12"/>
  <c r="P687" i="12" s="1"/>
  <c r="K687" i="12"/>
  <c r="L687" i="12" s="1"/>
  <c r="P686" i="12"/>
  <c r="O686" i="12"/>
  <c r="K686" i="12"/>
  <c r="L686" i="12" s="1"/>
  <c r="O685" i="12"/>
  <c r="P685" i="12" s="1"/>
  <c r="K685" i="12"/>
  <c r="L685" i="12" s="1"/>
  <c r="O684" i="12"/>
  <c r="P684" i="12" s="1"/>
  <c r="K684" i="12"/>
  <c r="L684" i="12" s="1"/>
  <c r="O683" i="12"/>
  <c r="P683" i="12" s="1"/>
  <c r="K683" i="12"/>
  <c r="L683" i="12" s="1"/>
  <c r="O682" i="12"/>
  <c r="P682" i="12" s="1"/>
  <c r="L682" i="12"/>
  <c r="K682" i="12"/>
  <c r="P681" i="12"/>
  <c r="O681" i="12"/>
  <c r="K681" i="12"/>
  <c r="L681" i="12" s="1"/>
  <c r="P680" i="12"/>
  <c r="O680" i="12"/>
  <c r="L680" i="12"/>
  <c r="K680" i="12"/>
  <c r="P679" i="12"/>
  <c r="O679" i="12"/>
  <c r="L679" i="12"/>
  <c r="K679" i="12"/>
  <c r="O678" i="12"/>
  <c r="P678" i="12" s="1"/>
  <c r="K678" i="12"/>
  <c r="L678" i="12" s="1"/>
  <c r="O677" i="12"/>
  <c r="P677" i="12" s="1"/>
  <c r="K677" i="12"/>
  <c r="L677" i="12" s="1"/>
  <c r="P676" i="12"/>
  <c r="O676" i="12"/>
  <c r="L676" i="12"/>
  <c r="K676" i="12"/>
  <c r="P675" i="12"/>
  <c r="O675" i="12"/>
  <c r="K675" i="12"/>
  <c r="L675" i="12" s="1"/>
  <c r="P674" i="12"/>
  <c r="O674" i="12"/>
  <c r="K674" i="12"/>
  <c r="L674" i="12" s="1"/>
  <c r="O673" i="12"/>
  <c r="P673" i="12" s="1"/>
  <c r="L673" i="12"/>
  <c r="K673" i="12"/>
  <c r="P672" i="12"/>
  <c r="O672" i="12"/>
  <c r="K672" i="12"/>
  <c r="L672" i="12" s="1"/>
  <c r="P671" i="12"/>
  <c r="O671" i="12"/>
  <c r="K671" i="12"/>
  <c r="L671" i="12" s="1"/>
  <c r="O670" i="12"/>
  <c r="P670" i="12" s="1"/>
  <c r="K670" i="12"/>
  <c r="L670" i="12" s="1"/>
  <c r="O669" i="12"/>
  <c r="P669" i="12" s="1"/>
  <c r="K669" i="12"/>
  <c r="L669" i="12" s="1"/>
  <c r="P668" i="12"/>
  <c r="O668" i="12"/>
  <c r="L668" i="12"/>
  <c r="K668" i="12"/>
  <c r="O667" i="12"/>
  <c r="P667" i="12" s="1"/>
  <c r="K667" i="12"/>
  <c r="L667" i="12" s="1"/>
  <c r="P666" i="12"/>
  <c r="O666" i="12"/>
  <c r="K666" i="12"/>
  <c r="L666" i="12" s="1"/>
  <c r="O665" i="12"/>
  <c r="P665" i="12" s="1"/>
  <c r="K665" i="12"/>
  <c r="L665" i="12" s="1"/>
  <c r="O664" i="12"/>
  <c r="P664" i="12" s="1"/>
  <c r="L664" i="12"/>
  <c r="K664" i="12"/>
  <c r="P663" i="12"/>
  <c r="O663" i="12"/>
  <c r="K663" i="12"/>
  <c r="L663" i="12" s="1"/>
  <c r="P662" i="12"/>
  <c r="O662" i="12"/>
  <c r="L662" i="12"/>
  <c r="K662" i="12"/>
  <c r="P661" i="12"/>
  <c r="O661" i="12"/>
  <c r="L661" i="12"/>
  <c r="K661" i="12"/>
  <c r="O660" i="12"/>
  <c r="P660" i="12" s="1"/>
  <c r="K660" i="12"/>
  <c r="L660" i="12" s="1"/>
  <c r="O659" i="12"/>
  <c r="P659" i="12" s="1"/>
  <c r="K659" i="12"/>
  <c r="L659" i="12" s="1"/>
  <c r="O658" i="12"/>
  <c r="P658" i="12" s="1"/>
  <c r="L658" i="12"/>
  <c r="K658" i="12"/>
  <c r="P657" i="12"/>
  <c r="O657" i="12"/>
  <c r="K657" i="12"/>
  <c r="L657" i="12" s="1"/>
  <c r="P656" i="12"/>
  <c r="O656" i="12"/>
  <c r="K656" i="12"/>
  <c r="L656" i="12" s="1"/>
  <c r="P655" i="12"/>
  <c r="O655" i="12"/>
  <c r="K655" i="12"/>
  <c r="L655" i="12" s="1"/>
  <c r="P654" i="12"/>
  <c r="O654" i="12"/>
  <c r="K654" i="12"/>
  <c r="L654" i="12" s="1"/>
  <c r="P653" i="12"/>
  <c r="O653" i="12"/>
  <c r="L653" i="12"/>
  <c r="K653" i="12"/>
  <c r="P652" i="12"/>
  <c r="O652" i="12"/>
  <c r="K652" i="12"/>
  <c r="L652" i="12" s="1"/>
  <c r="O651" i="12"/>
  <c r="P651" i="12" s="1"/>
  <c r="K651" i="12"/>
  <c r="L651" i="12" s="1"/>
  <c r="P650" i="12"/>
  <c r="O650" i="12"/>
  <c r="K650" i="12"/>
  <c r="L650" i="12" s="1"/>
  <c r="O649" i="12"/>
  <c r="P649" i="12" s="1"/>
  <c r="K649" i="12"/>
  <c r="L649" i="12" s="1"/>
  <c r="O648" i="12"/>
  <c r="P648" i="12" s="1"/>
  <c r="K648" i="12"/>
  <c r="L648" i="12" s="1"/>
  <c r="P647" i="12"/>
  <c r="O647" i="12"/>
  <c r="K647" i="12"/>
  <c r="L647" i="12" s="1"/>
  <c r="P646" i="12"/>
  <c r="O646" i="12"/>
  <c r="K646" i="12"/>
  <c r="L646" i="12" s="1"/>
  <c r="P645" i="12"/>
  <c r="O645" i="12"/>
  <c r="K645" i="12"/>
  <c r="L645" i="12" s="1"/>
  <c r="P644" i="12"/>
  <c r="O644" i="12"/>
  <c r="L644" i="12"/>
  <c r="K644" i="12"/>
  <c r="O643" i="12"/>
  <c r="P643" i="12" s="1"/>
  <c r="L643" i="12"/>
  <c r="K643" i="12"/>
  <c r="O642" i="12"/>
  <c r="P642" i="12" s="1"/>
  <c r="K642" i="12"/>
  <c r="L642" i="12" s="1"/>
  <c r="P641" i="12"/>
  <c r="O641" i="12"/>
  <c r="K641" i="12"/>
  <c r="L641" i="12" s="1"/>
  <c r="O640" i="12"/>
  <c r="P640" i="12" s="1"/>
  <c r="K640" i="12"/>
  <c r="L640" i="12" s="1"/>
  <c r="P639" i="12"/>
  <c r="O639" i="12"/>
  <c r="K639" i="12"/>
  <c r="L639" i="12" s="1"/>
  <c r="O638" i="12"/>
  <c r="P638" i="12" s="1"/>
  <c r="L638" i="12"/>
  <c r="K638" i="12"/>
  <c r="O637" i="12"/>
  <c r="P637" i="12" s="1"/>
  <c r="L637" i="12"/>
  <c r="K637" i="12"/>
  <c r="O636" i="12"/>
  <c r="P636" i="12" s="1"/>
  <c r="K636" i="12"/>
  <c r="L636" i="12" s="1"/>
  <c r="O635" i="12"/>
  <c r="P635" i="12" s="1"/>
  <c r="K635" i="12"/>
  <c r="L635" i="12" s="1"/>
  <c r="O634" i="12"/>
  <c r="P634" i="12" s="1"/>
  <c r="L634" i="12"/>
  <c r="K634" i="12"/>
  <c r="P633" i="12"/>
  <c r="O633" i="12"/>
  <c r="K633" i="12"/>
  <c r="L633" i="12" s="1"/>
  <c r="O632" i="12"/>
  <c r="P632" i="12" s="1"/>
  <c r="L632" i="12"/>
  <c r="K632" i="12"/>
  <c r="O631" i="12"/>
  <c r="P631" i="12" s="1"/>
  <c r="K631" i="12"/>
  <c r="L631" i="12" s="1"/>
  <c r="O630" i="12"/>
  <c r="P630" i="12" s="1"/>
  <c r="K630" i="12"/>
  <c r="L630" i="12" s="1"/>
  <c r="P629" i="12"/>
  <c r="O629" i="12"/>
  <c r="K629" i="12"/>
  <c r="L629" i="12" s="1"/>
  <c r="O628" i="12"/>
  <c r="P628" i="12" s="1"/>
  <c r="K628" i="12"/>
  <c r="L628" i="12" s="1"/>
  <c r="P627" i="12"/>
  <c r="O627" i="12"/>
  <c r="K627" i="12"/>
  <c r="L627" i="12" s="1"/>
  <c r="O626" i="12"/>
  <c r="P626" i="12" s="1"/>
  <c r="K626" i="12"/>
  <c r="L626" i="12" s="1"/>
  <c r="O625" i="12"/>
  <c r="P625" i="12" s="1"/>
  <c r="L625" i="12"/>
  <c r="K625" i="12"/>
  <c r="P624" i="12"/>
  <c r="O624" i="12"/>
  <c r="K624" i="12"/>
  <c r="L624" i="12" s="1"/>
  <c r="P623" i="12"/>
  <c r="O623" i="12"/>
  <c r="L623" i="12"/>
  <c r="K623" i="12"/>
  <c r="O622" i="12"/>
  <c r="P622" i="12" s="1"/>
  <c r="K622" i="12"/>
  <c r="L622" i="12" s="1"/>
  <c r="P621" i="12"/>
  <c r="O621" i="12"/>
  <c r="K621" i="12"/>
  <c r="L621" i="12" s="1"/>
  <c r="P620" i="12"/>
  <c r="O620" i="12"/>
  <c r="K620" i="12"/>
  <c r="L620" i="12" s="1"/>
  <c r="O619" i="12"/>
  <c r="P619" i="12" s="1"/>
  <c r="K619" i="12"/>
  <c r="L619" i="12" s="1"/>
  <c r="O618" i="12"/>
  <c r="P618" i="12" s="1"/>
  <c r="K618" i="12"/>
  <c r="L618" i="12" s="1"/>
  <c r="O617" i="12"/>
  <c r="P617" i="12" s="1"/>
  <c r="K617" i="12"/>
  <c r="L617" i="12" s="1"/>
  <c r="P616" i="12"/>
  <c r="O616" i="12"/>
  <c r="L616" i="12"/>
  <c r="K616" i="12"/>
  <c r="P615" i="12"/>
  <c r="O615" i="12"/>
  <c r="K615" i="12"/>
  <c r="L615" i="12" s="1"/>
  <c r="P614" i="12"/>
  <c r="O614" i="12"/>
  <c r="K614" i="12"/>
  <c r="L614" i="12" s="1"/>
  <c r="O613" i="12"/>
  <c r="P613" i="12" s="1"/>
  <c r="L613" i="12"/>
  <c r="K613" i="12"/>
  <c r="O612" i="12"/>
  <c r="P612" i="12" s="1"/>
  <c r="K612" i="12"/>
  <c r="L612" i="12" s="1"/>
  <c r="P611" i="12"/>
  <c r="O611" i="12"/>
  <c r="K611" i="12"/>
  <c r="L611" i="12" s="1"/>
  <c r="P610" i="12"/>
  <c r="O610" i="12"/>
  <c r="K610" i="12"/>
  <c r="L610" i="12" s="1"/>
  <c r="O609" i="12"/>
  <c r="P609" i="12" s="1"/>
  <c r="K609" i="12"/>
  <c r="L609" i="12" s="1"/>
  <c r="P608" i="12"/>
  <c r="O608" i="12"/>
  <c r="L608" i="12"/>
  <c r="K608" i="12"/>
  <c r="O607" i="12"/>
  <c r="P607" i="12" s="1"/>
  <c r="L607" i="12"/>
  <c r="K607" i="12"/>
  <c r="O606" i="12"/>
  <c r="P606" i="12" s="1"/>
  <c r="K606" i="12"/>
  <c r="L606" i="12" s="1"/>
  <c r="O605" i="12"/>
  <c r="P605" i="12" s="1"/>
  <c r="K605" i="12"/>
  <c r="L605" i="12" s="1"/>
  <c r="P604" i="12"/>
  <c r="O604" i="12"/>
  <c r="L604" i="12"/>
  <c r="K604" i="12"/>
  <c r="P603" i="12"/>
  <c r="O603" i="12"/>
  <c r="K603" i="12"/>
  <c r="L603" i="12" s="1"/>
  <c r="O602" i="12"/>
  <c r="P602" i="12" s="1"/>
  <c r="K602" i="12"/>
  <c r="L602" i="12" s="1"/>
  <c r="O601" i="12"/>
  <c r="P601" i="12" s="1"/>
  <c r="L601" i="12"/>
  <c r="K601" i="12"/>
  <c r="P600" i="12"/>
  <c r="O600" i="12"/>
  <c r="K600" i="12"/>
  <c r="L600" i="12" s="1"/>
  <c r="O599" i="12"/>
  <c r="P599" i="12" s="1"/>
  <c r="K599" i="12"/>
  <c r="L599" i="12" s="1"/>
  <c r="O598" i="12"/>
  <c r="P598" i="12" s="1"/>
  <c r="K598" i="12"/>
  <c r="L598" i="12" s="1"/>
  <c r="P597" i="12"/>
  <c r="O597" i="12"/>
  <c r="K597" i="12"/>
  <c r="L597" i="12" s="1"/>
  <c r="P596" i="12"/>
  <c r="O596" i="12"/>
  <c r="K596" i="12"/>
  <c r="L596" i="12" s="1"/>
  <c r="O595" i="12"/>
  <c r="P595" i="12" s="1"/>
  <c r="L595" i="12"/>
  <c r="K595" i="12"/>
  <c r="O594" i="12"/>
  <c r="P594" i="12" s="1"/>
  <c r="K594" i="12"/>
  <c r="L594" i="12" s="1"/>
  <c r="P593" i="12"/>
  <c r="O593" i="12"/>
  <c r="K593" i="12"/>
  <c r="L593" i="12" s="1"/>
  <c r="O592" i="12"/>
  <c r="P592" i="12" s="1"/>
  <c r="L592" i="12"/>
  <c r="K592" i="12"/>
  <c r="O591" i="12"/>
  <c r="P591" i="12" s="1"/>
  <c r="K591" i="12"/>
  <c r="L591" i="12" s="1"/>
  <c r="O590" i="12"/>
  <c r="P590" i="12" s="1"/>
  <c r="L590" i="12"/>
  <c r="K590" i="12"/>
  <c r="O589" i="12"/>
  <c r="P589" i="12" s="1"/>
  <c r="L589" i="12"/>
  <c r="K589" i="12"/>
  <c r="P588" i="12"/>
  <c r="O588" i="12"/>
  <c r="K588" i="12"/>
  <c r="L588" i="12" s="1"/>
  <c r="O587" i="12"/>
  <c r="P587" i="12" s="1"/>
  <c r="L587" i="12"/>
  <c r="K587" i="12"/>
  <c r="O586" i="12"/>
  <c r="P586" i="12" s="1"/>
  <c r="K586" i="12"/>
  <c r="L586" i="12" s="1"/>
  <c r="O585" i="12"/>
  <c r="P585" i="12" s="1"/>
  <c r="K585" i="12"/>
  <c r="L585" i="12" s="1"/>
  <c r="P584" i="12"/>
  <c r="O584" i="12"/>
  <c r="K584" i="12"/>
  <c r="L584" i="12" s="1"/>
  <c r="O583" i="12"/>
  <c r="P583" i="12" s="1"/>
  <c r="K583" i="12"/>
  <c r="L583" i="12" s="1"/>
  <c r="O582" i="12"/>
  <c r="P582" i="12" s="1"/>
  <c r="K582" i="12"/>
  <c r="L582" i="12" s="1"/>
  <c r="O581" i="12"/>
  <c r="P581" i="12" s="1"/>
  <c r="K581" i="12"/>
  <c r="L581" i="12" s="1"/>
  <c r="O580" i="12"/>
  <c r="P580" i="12" s="1"/>
  <c r="L580" i="12"/>
  <c r="K580" i="12"/>
  <c r="O579" i="12"/>
  <c r="P579" i="12" s="1"/>
  <c r="K579" i="12"/>
  <c r="L579" i="12" s="1"/>
  <c r="O578" i="12"/>
  <c r="P578" i="12" s="1"/>
  <c r="K578" i="12"/>
  <c r="L578" i="12" s="1"/>
  <c r="O577" i="12"/>
  <c r="P577" i="12" s="1"/>
  <c r="K577" i="12"/>
  <c r="L577" i="12" s="1"/>
  <c r="O576" i="12"/>
  <c r="P576" i="12" s="1"/>
  <c r="K576" i="12"/>
  <c r="L576" i="12" s="1"/>
  <c r="O575" i="12"/>
  <c r="P575" i="12" s="1"/>
  <c r="L575" i="12"/>
  <c r="K575" i="12"/>
  <c r="O574" i="12"/>
  <c r="P574" i="12" s="1"/>
  <c r="K574" i="12"/>
  <c r="L574" i="12" s="1"/>
  <c r="O573" i="12"/>
  <c r="P573" i="12" s="1"/>
  <c r="K573" i="12"/>
  <c r="L573" i="12" s="1"/>
  <c r="O572" i="12"/>
  <c r="P572" i="12" s="1"/>
  <c r="K572" i="12"/>
  <c r="L572" i="12" s="1"/>
  <c r="O571" i="12"/>
  <c r="P571" i="12" s="1"/>
  <c r="L571" i="12"/>
  <c r="K571" i="12"/>
  <c r="O570" i="12"/>
  <c r="P570" i="12" s="1"/>
  <c r="K570" i="12"/>
  <c r="L570" i="12" s="1"/>
  <c r="O569" i="12"/>
  <c r="P569" i="12" s="1"/>
  <c r="K569" i="12"/>
  <c r="L569" i="12" s="1"/>
  <c r="O568" i="12"/>
  <c r="P568" i="12" s="1"/>
  <c r="K568" i="12"/>
  <c r="L568" i="12" s="1"/>
  <c r="O567" i="12"/>
  <c r="P567" i="12" s="1"/>
  <c r="K567" i="12"/>
  <c r="L567" i="12" s="1"/>
  <c r="P566" i="12"/>
  <c r="O566" i="12"/>
  <c r="L566" i="12"/>
  <c r="K566" i="12"/>
  <c r="O565" i="12"/>
  <c r="P565" i="12" s="1"/>
  <c r="K565" i="12"/>
  <c r="L565" i="12" s="1"/>
  <c r="O564" i="12"/>
  <c r="P564" i="12" s="1"/>
  <c r="K564" i="12"/>
  <c r="L564" i="12" s="1"/>
  <c r="O563" i="12"/>
  <c r="P563" i="12" s="1"/>
  <c r="K563" i="12"/>
  <c r="L563" i="12" s="1"/>
  <c r="O562" i="12"/>
  <c r="P562" i="12" s="1"/>
  <c r="L562" i="12"/>
  <c r="K562" i="12"/>
  <c r="P561" i="12"/>
  <c r="O561" i="12"/>
  <c r="K561" i="12"/>
  <c r="L561" i="12" s="1"/>
  <c r="O560" i="12"/>
  <c r="P560" i="12" s="1"/>
  <c r="K560" i="12"/>
  <c r="L560" i="12" s="1"/>
  <c r="O559" i="12"/>
  <c r="P559" i="12" s="1"/>
  <c r="L559" i="12"/>
  <c r="K559" i="12"/>
  <c r="O558" i="12"/>
  <c r="P558" i="12" s="1"/>
  <c r="K558" i="12"/>
  <c r="L558" i="12" s="1"/>
  <c r="P557" i="12"/>
  <c r="O557" i="12"/>
  <c r="K557" i="12"/>
  <c r="L557" i="12" s="1"/>
  <c r="O556" i="12"/>
  <c r="P556" i="12" s="1"/>
  <c r="K556" i="12"/>
  <c r="L556" i="12" s="1"/>
  <c r="O555" i="12"/>
  <c r="P555" i="12" s="1"/>
  <c r="K555" i="12"/>
  <c r="L555" i="12" s="1"/>
  <c r="O554" i="12"/>
  <c r="P554" i="12" s="1"/>
  <c r="K554" i="12"/>
  <c r="L554" i="12" s="1"/>
  <c r="O553" i="12"/>
  <c r="P553" i="12" s="1"/>
  <c r="K553" i="12"/>
  <c r="L553" i="12" s="1"/>
  <c r="O552" i="12"/>
  <c r="P552" i="12" s="1"/>
  <c r="K552" i="12"/>
  <c r="L552" i="12" s="1"/>
  <c r="P551" i="12"/>
  <c r="O551" i="12"/>
  <c r="L551" i="12"/>
  <c r="K551" i="12"/>
  <c r="O550" i="12"/>
  <c r="P550" i="12" s="1"/>
  <c r="K550" i="12"/>
  <c r="L550" i="12" s="1"/>
  <c r="O549" i="12"/>
  <c r="P549" i="12" s="1"/>
  <c r="K549" i="12"/>
  <c r="L549" i="12" s="1"/>
  <c r="O548" i="12"/>
  <c r="P548" i="12" s="1"/>
  <c r="K548" i="12"/>
  <c r="L548" i="12" s="1"/>
  <c r="P547" i="12"/>
  <c r="O547" i="12"/>
  <c r="L547" i="12"/>
  <c r="K547" i="12"/>
  <c r="P546" i="12"/>
  <c r="O546" i="12"/>
  <c r="K546" i="12"/>
  <c r="L546" i="12" s="1"/>
  <c r="O545" i="12"/>
  <c r="P545" i="12" s="1"/>
  <c r="K545" i="12"/>
  <c r="L545" i="12" s="1"/>
  <c r="O544" i="12"/>
  <c r="P544" i="12" s="1"/>
  <c r="L544" i="12"/>
  <c r="K544" i="12"/>
  <c r="O543" i="12"/>
  <c r="P543" i="12" s="1"/>
  <c r="K543" i="12"/>
  <c r="L543" i="12" s="1"/>
  <c r="P542" i="12"/>
  <c r="O542" i="12"/>
  <c r="K542" i="12"/>
  <c r="L542" i="12" s="1"/>
  <c r="O541" i="12"/>
  <c r="P541" i="12" s="1"/>
  <c r="K541" i="12"/>
  <c r="L541" i="12" s="1"/>
  <c r="O540" i="12"/>
  <c r="P540" i="12" s="1"/>
  <c r="K540" i="12"/>
  <c r="L540" i="12" s="1"/>
  <c r="O539" i="12"/>
  <c r="P539" i="12" s="1"/>
  <c r="K539" i="12"/>
  <c r="L539" i="12" s="1"/>
  <c r="O538" i="12"/>
  <c r="P538" i="12" s="1"/>
  <c r="K538" i="12"/>
  <c r="L538" i="12" s="1"/>
  <c r="O537" i="12"/>
  <c r="P537" i="12" s="1"/>
  <c r="K537" i="12"/>
  <c r="L537" i="12" s="1"/>
  <c r="O536" i="12"/>
  <c r="P536" i="12" s="1"/>
  <c r="K536" i="12"/>
  <c r="L536" i="12" s="1"/>
  <c r="O535" i="12"/>
  <c r="P535" i="12" s="1"/>
  <c r="L535" i="12"/>
  <c r="K535" i="12"/>
  <c r="P534" i="12"/>
  <c r="O534" i="12"/>
  <c r="K534" i="12"/>
  <c r="L534" i="12" s="1"/>
  <c r="O533" i="12"/>
  <c r="P533" i="12" s="1"/>
  <c r="K533" i="12"/>
  <c r="L533" i="12" s="1"/>
  <c r="O532" i="12"/>
  <c r="P532" i="12" s="1"/>
  <c r="K532" i="12"/>
  <c r="L532" i="12" s="1"/>
  <c r="P531" i="12"/>
  <c r="O531" i="12"/>
  <c r="K531" i="12"/>
  <c r="L531" i="12" s="1"/>
  <c r="P530" i="12"/>
  <c r="O530" i="12"/>
  <c r="L530" i="12"/>
  <c r="K530" i="12"/>
  <c r="O529" i="12"/>
  <c r="P529" i="12" s="1"/>
  <c r="K529" i="12"/>
  <c r="L529" i="12" s="1"/>
  <c r="O528" i="12"/>
  <c r="P528" i="12" s="1"/>
  <c r="K528" i="12"/>
  <c r="L528" i="12" s="1"/>
  <c r="O527" i="12"/>
  <c r="P527" i="12" s="1"/>
  <c r="K527" i="12"/>
  <c r="L527" i="12" s="1"/>
  <c r="O526" i="12"/>
  <c r="P526" i="12" s="1"/>
  <c r="L526" i="12"/>
  <c r="K526" i="12"/>
  <c r="O525" i="12"/>
  <c r="P525" i="12" s="1"/>
  <c r="K525" i="12"/>
  <c r="L525" i="12" s="1"/>
  <c r="O524" i="12"/>
  <c r="P524" i="12" s="1"/>
  <c r="K524" i="12"/>
  <c r="L524" i="12" s="1"/>
  <c r="P523" i="12"/>
  <c r="O523" i="12"/>
  <c r="L523" i="12"/>
  <c r="K523" i="12"/>
  <c r="O522" i="12"/>
  <c r="P522" i="12" s="1"/>
  <c r="K522" i="12"/>
  <c r="L522" i="12" s="1"/>
  <c r="O521" i="12"/>
  <c r="P521" i="12" s="1"/>
  <c r="K521" i="12"/>
  <c r="L521" i="12" s="1"/>
  <c r="O520" i="12"/>
  <c r="P520" i="12" s="1"/>
  <c r="L520" i="12"/>
  <c r="K520" i="12"/>
  <c r="O519" i="12"/>
  <c r="P519" i="12" s="1"/>
  <c r="K519" i="12"/>
  <c r="L519" i="12" s="1"/>
  <c r="O518" i="12"/>
  <c r="P518" i="12" s="1"/>
  <c r="K518" i="12"/>
  <c r="L518" i="12" s="1"/>
  <c r="O517" i="12"/>
  <c r="P517" i="12" s="1"/>
  <c r="K517" i="12"/>
  <c r="L517" i="12" s="1"/>
  <c r="O516" i="12"/>
  <c r="P516" i="12" s="1"/>
  <c r="K516" i="12"/>
  <c r="L516" i="12" s="1"/>
  <c r="P515" i="12"/>
  <c r="O515" i="12"/>
  <c r="K515" i="12"/>
  <c r="L515" i="12" s="1"/>
  <c r="O514" i="12"/>
  <c r="P514" i="12" s="1"/>
  <c r="L514" i="12"/>
  <c r="K514" i="12"/>
  <c r="O513" i="12"/>
  <c r="P513" i="12" s="1"/>
  <c r="K513" i="12"/>
  <c r="L513" i="12" s="1"/>
  <c r="O512" i="12"/>
  <c r="P512" i="12" s="1"/>
  <c r="K512" i="12"/>
  <c r="L512" i="12" s="1"/>
  <c r="P511" i="12"/>
  <c r="O511" i="12"/>
  <c r="K511" i="12"/>
  <c r="L511" i="12" s="1"/>
  <c r="O510" i="12"/>
  <c r="P510" i="12" s="1"/>
  <c r="K510" i="12"/>
  <c r="L510" i="12" s="1"/>
  <c r="O509" i="12"/>
  <c r="P509" i="12" s="1"/>
  <c r="K509" i="12"/>
  <c r="L509" i="12" s="1"/>
  <c r="O508" i="12"/>
  <c r="P508" i="12" s="1"/>
  <c r="L508" i="12"/>
  <c r="K508" i="12"/>
  <c r="O507" i="12"/>
  <c r="P507" i="12" s="1"/>
  <c r="K507" i="12"/>
  <c r="L507" i="12" s="1"/>
  <c r="O506" i="12"/>
  <c r="P506" i="12" s="1"/>
  <c r="L506" i="12"/>
  <c r="K506" i="12"/>
  <c r="O505" i="12"/>
  <c r="P505" i="12" s="1"/>
  <c r="K505" i="12"/>
  <c r="L505" i="12" s="1"/>
  <c r="P504" i="12"/>
  <c r="O504" i="12"/>
  <c r="K504" i="12"/>
  <c r="L504" i="12" s="1"/>
  <c r="O503" i="12"/>
  <c r="P503" i="12" s="1"/>
  <c r="K503" i="12"/>
  <c r="L503" i="12" s="1"/>
  <c r="O502" i="12"/>
  <c r="P502" i="12" s="1"/>
  <c r="L502" i="12"/>
  <c r="K502" i="12"/>
  <c r="O501" i="12"/>
  <c r="P501" i="12" s="1"/>
  <c r="K501" i="12"/>
  <c r="L501" i="12" s="1"/>
  <c r="O500" i="12"/>
  <c r="P500" i="12" s="1"/>
  <c r="K500" i="12"/>
  <c r="L500" i="12" s="1"/>
  <c r="O499" i="12"/>
  <c r="P499" i="12" s="1"/>
  <c r="K499" i="12"/>
  <c r="L499" i="12" s="1"/>
  <c r="O498" i="12"/>
  <c r="P498" i="12" s="1"/>
  <c r="K498" i="12"/>
  <c r="L498" i="12" s="1"/>
  <c r="O497" i="12"/>
  <c r="P497" i="12" s="1"/>
  <c r="K497" i="12"/>
  <c r="L497" i="12" s="1"/>
  <c r="O496" i="12"/>
  <c r="P496" i="12" s="1"/>
  <c r="L496" i="12"/>
  <c r="K496" i="12"/>
  <c r="P495" i="12"/>
  <c r="O495" i="12"/>
  <c r="K495" i="12"/>
  <c r="L495" i="12" s="1"/>
  <c r="O494" i="12"/>
  <c r="P494" i="12" s="1"/>
  <c r="L494" i="12"/>
  <c r="K494" i="12"/>
  <c r="O493" i="12"/>
  <c r="P493" i="12" s="1"/>
  <c r="K493" i="12"/>
  <c r="L493" i="12" s="1"/>
  <c r="O492" i="12"/>
  <c r="P492" i="12" s="1"/>
  <c r="K492" i="12"/>
  <c r="L492" i="12" s="1"/>
  <c r="O491" i="12"/>
  <c r="P491" i="12" s="1"/>
  <c r="K491" i="12"/>
  <c r="L491" i="12" s="1"/>
  <c r="O490" i="12"/>
  <c r="P490" i="12" s="1"/>
  <c r="K490" i="12"/>
  <c r="L490" i="12" s="1"/>
  <c r="O489" i="12"/>
  <c r="P489" i="12" s="1"/>
  <c r="K489" i="12"/>
  <c r="L489" i="12" s="1"/>
  <c r="O488" i="12"/>
  <c r="P488" i="12" s="1"/>
  <c r="K488" i="12"/>
  <c r="L488" i="12" s="1"/>
  <c r="P487" i="12"/>
  <c r="O487" i="12"/>
  <c r="K487" i="12"/>
  <c r="L487" i="12" s="1"/>
  <c r="O486" i="12"/>
  <c r="P486" i="12" s="1"/>
  <c r="K486" i="12"/>
  <c r="L486" i="12" s="1"/>
  <c r="O485" i="12"/>
  <c r="P485" i="12" s="1"/>
  <c r="K485" i="12"/>
  <c r="L485" i="12" s="1"/>
  <c r="O484" i="12"/>
  <c r="P484" i="12" s="1"/>
  <c r="L484" i="12"/>
  <c r="K484" i="12"/>
  <c r="O483" i="12"/>
  <c r="P483" i="12" s="1"/>
  <c r="K483" i="12"/>
  <c r="L483" i="12" s="1"/>
  <c r="O482" i="12"/>
  <c r="P482" i="12" s="1"/>
  <c r="L482" i="12"/>
  <c r="K482" i="12"/>
  <c r="O481" i="12"/>
  <c r="P481" i="12" s="1"/>
  <c r="K481" i="12"/>
  <c r="L481" i="12" s="1"/>
  <c r="O480" i="12"/>
  <c r="P480" i="12" s="1"/>
  <c r="K480" i="12"/>
  <c r="L480" i="12" s="1"/>
  <c r="O479" i="12"/>
  <c r="P479" i="12" s="1"/>
  <c r="K479" i="12"/>
  <c r="L479" i="12" s="1"/>
  <c r="O478" i="12"/>
  <c r="P478" i="12" s="1"/>
  <c r="K478" i="12"/>
  <c r="L478" i="12" s="1"/>
  <c r="O477" i="12"/>
  <c r="P477" i="12" s="1"/>
  <c r="K477" i="12"/>
  <c r="L477" i="12" s="1"/>
  <c r="O476" i="12"/>
  <c r="P476" i="12" s="1"/>
  <c r="L476" i="12"/>
  <c r="K476" i="12"/>
  <c r="O475" i="12"/>
  <c r="P475" i="12" s="1"/>
  <c r="K475" i="12"/>
  <c r="L475" i="12" s="1"/>
  <c r="P474" i="12"/>
  <c r="O474" i="12"/>
  <c r="K474" i="12"/>
  <c r="L474" i="12" s="1"/>
  <c r="O473" i="12"/>
  <c r="P473" i="12" s="1"/>
  <c r="K473" i="12"/>
  <c r="L473" i="12" s="1"/>
  <c r="P472" i="12"/>
  <c r="O472" i="12"/>
  <c r="K472" i="12"/>
  <c r="L472" i="12" s="1"/>
  <c r="O471" i="12"/>
  <c r="P471" i="12" s="1"/>
  <c r="K471" i="12"/>
  <c r="L471" i="12" s="1"/>
  <c r="O470" i="12"/>
  <c r="P470" i="12" s="1"/>
  <c r="K470" i="12"/>
  <c r="L470" i="12" s="1"/>
  <c r="O469" i="12"/>
  <c r="P469" i="12" s="1"/>
  <c r="K469" i="12"/>
  <c r="L469" i="12" s="1"/>
  <c r="O468" i="12"/>
  <c r="P468" i="12" s="1"/>
  <c r="K468" i="12"/>
  <c r="L468" i="12" s="1"/>
  <c r="O467" i="12"/>
  <c r="P467" i="12" s="1"/>
  <c r="K467" i="12"/>
  <c r="L467" i="12" s="1"/>
  <c r="O466" i="12"/>
  <c r="P466" i="12" s="1"/>
  <c r="L466" i="12"/>
  <c r="K466" i="12"/>
  <c r="O465" i="12"/>
  <c r="P465" i="12" s="1"/>
  <c r="K465" i="12"/>
  <c r="L465" i="12" s="1"/>
  <c r="O464" i="12"/>
  <c r="P464" i="12" s="1"/>
  <c r="L464" i="12"/>
  <c r="K464" i="12"/>
  <c r="O463" i="12"/>
  <c r="P463" i="12" s="1"/>
  <c r="K463" i="12"/>
  <c r="L463" i="12" s="1"/>
  <c r="O462" i="12"/>
  <c r="P462" i="12" s="1"/>
  <c r="K462" i="12"/>
  <c r="L462" i="12" s="1"/>
  <c r="O461" i="12"/>
  <c r="P461" i="12" s="1"/>
  <c r="K461" i="12"/>
  <c r="L461" i="12" s="1"/>
  <c r="O460" i="12"/>
  <c r="P460" i="12" s="1"/>
  <c r="L460" i="12"/>
  <c r="K460" i="12"/>
  <c r="O459" i="12"/>
  <c r="P459" i="12" s="1"/>
  <c r="K459" i="12"/>
  <c r="L459" i="12" s="1"/>
  <c r="O458" i="12"/>
  <c r="P458" i="12" s="1"/>
  <c r="L458" i="12"/>
  <c r="K458" i="12"/>
  <c r="O457" i="12"/>
  <c r="P457" i="12" s="1"/>
  <c r="K457" i="12"/>
  <c r="L457" i="12" s="1"/>
  <c r="O456" i="12"/>
  <c r="P456" i="12" s="1"/>
  <c r="K456" i="12"/>
  <c r="L456" i="12" s="1"/>
  <c r="O455" i="12"/>
  <c r="P455" i="12" s="1"/>
  <c r="K455" i="12"/>
  <c r="L455" i="12" s="1"/>
  <c r="O454" i="12"/>
  <c r="P454" i="12" s="1"/>
  <c r="L454" i="12"/>
  <c r="K454" i="12"/>
  <c r="O453" i="12"/>
  <c r="P453" i="12" s="1"/>
  <c r="K453" i="12"/>
  <c r="L453" i="12" s="1"/>
  <c r="O452" i="12"/>
  <c r="P452" i="12" s="1"/>
  <c r="L452" i="12"/>
  <c r="K452" i="12"/>
  <c r="O451" i="12"/>
  <c r="P451" i="12" s="1"/>
  <c r="K451" i="12"/>
  <c r="L451" i="12" s="1"/>
  <c r="O450" i="12"/>
  <c r="P450" i="12" s="1"/>
  <c r="K450" i="12"/>
  <c r="L450" i="12" s="1"/>
  <c r="O449" i="12"/>
  <c r="P449" i="12" s="1"/>
  <c r="K449" i="12"/>
  <c r="L449" i="12" s="1"/>
  <c r="O448" i="12"/>
  <c r="P448" i="12" s="1"/>
  <c r="L448" i="12"/>
  <c r="K448" i="12"/>
  <c r="O447" i="12"/>
  <c r="P447" i="12" s="1"/>
  <c r="K447" i="12"/>
  <c r="L447" i="12" s="1"/>
  <c r="P446" i="12"/>
  <c r="O446" i="12"/>
  <c r="K446" i="12"/>
  <c r="L446" i="12" s="1"/>
  <c r="O445" i="12"/>
  <c r="P445" i="12" s="1"/>
  <c r="K445" i="12"/>
  <c r="L445" i="12" s="1"/>
  <c r="O444" i="12"/>
  <c r="P444" i="12" s="1"/>
  <c r="K444" i="12"/>
  <c r="L444" i="12" s="1"/>
  <c r="O443" i="12"/>
  <c r="P443" i="12" s="1"/>
  <c r="L443" i="12"/>
  <c r="K443" i="12"/>
  <c r="O442" i="12"/>
  <c r="P442" i="12" s="1"/>
  <c r="K442" i="12"/>
  <c r="L442" i="12" s="1"/>
  <c r="O441" i="12"/>
  <c r="P441" i="12" s="1"/>
  <c r="K441" i="12"/>
  <c r="L441" i="12" s="1"/>
  <c r="O440" i="12"/>
  <c r="P440" i="12" s="1"/>
  <c r="K440" i="12"/>
  <c r="L440" i="12" s="1"/>
  <c r="P439" i="12"/>
  <c r="O439" i="12"/>
  <c r="K439" i="12"/>
  <c r="L439" i="12" s="1"/>
  <c r="O438" i="12"/>
  <c r="P438" i="12" s="1"/>
  <c r="K438" i="12"/>
  <c r="L438" i="12" s="1"/>
  <c r="O437" i="12"/>
  <c r="P437" i="12" s="1"/>
  <c r="L437" i="12"/>
  <c r="K437" i="12"/>
  <c r="O436" i="12"/>
  <c r="P436" i="12" s="1"/>
  <c r="L436" i="12"/>
  <c r="K436" i="12"/>
  <c r="O435" i="12"/>
  <c r="P435" i="12" s="1"/>
  <c r="K435" i="12"/>
  <c r="L435" i="12" s="1"/>
  <c r="O434" i="12"/>
  <c r="P434" i="12" s="1"/>
  <c r="K434" i="12"/>
  <c r="L434" i="12" s="1"/>
  <c r="O433" i="12"/>
  <c r="P433" i="12" s="1"/>
  <c r="K433" i="12"/>
  <c r="L433" i="12" s="1"/>
  <c r="O432" i="12"/>
  <c r="P432" i="12" s="1"/>
  <c r="K432" i="12"/>
  <c r="L432" i="12" s="1"/>
  <c r="O431" i="12"/>
  <c r="P431" i="12" s="1"/>
  <c r="L431" i="12"/>
  <c r="K431" i="12"/>
  <c r="O430" i="12"/>
  <c r="P430" i="12" s="1"/>
  <c r="K430" i="12"/>
  <c r="L430" i="12" s="1"/>
  <c r="O429" i="12"/>
  <c r="P429" i="12" s="1"/>
  <c r="K429" i="12"/>
  <c r="L429" i="12" s="1"/>
  <c r="O428" i="12"/>
  <c r="P428" i="12" s="1"/>
  <c r="K428" i="12"/>
  <c r="L428" i="12" s="1"/>
  <c r="P427" i="12"/>
  <c r="O427" i="12"/>
  <c r="L427" i="12"/>
  <c r="K427" i="12"/>
  <c r="P426" i="12"/>
  <c r="O426" i="12"/>
  <c r="K426" i="12"/>
  <c r="L426" i="12" s="1"/>
  <c r="O425" i="12"/>
  <c r="P425" i="12" s="1"/>
  <c r="K425" i="12"/>
  <c r="L425" i="12" s="1"/>
  <c r="O424" i="12"/>
  <c r="P424" i="12" s="1"/>
  <c r="K424" i="12"/>
  <c r="L424" i="12" s="1"/>
  <c r="O423" i="12"/>
  <c r="P423" i="12" s="1"/>
  <c r="K423" i="12"/>
  <c r="L423" i="12" s="1"/>
  <c r="O422" i="12"/>
  <c r="P422" i="12" s="1"/>
  <c r="L422" i="12"/>
  <c r="K422" i="12"/>
  <c r="O421" i="12"/>
  <c r="P421" i="12" s="1"/>
  <c r="K421" i="12"/>
  <c r="L421" i="12" s="1"/>
  <c r="O420" i="12"/>
  <c r="P420" i="12" s="1"/>
  <c r="K420" i="12"/>
  <c r="L420" i="12" s="1"/>
  <c r="O419" i="12"/>
  <c r="P419" i="12" s="1"/>
  <c r="K419" i="12"/>
  <c r="L419" i="12" s="1"/>
  <c r="O418" i="12"/>
  <c r="P418" i="12" s="1"/>
  <c r="K418" i="12"/>
  <c r="L418" i="12" s="1"/>
  <c r="O417" i="12"/>
  <c r="P417" i="12" s="1"/>
  <c r="K417" i="12"/>
  <c r="L417" i="12" s="1"/>
  <c r="O416" i="12"/>
  <c r="P416" i="12" s="1"/>
  <c r="K416" i="12"/>
  <c r="L416" i="12" s="1"/>
  <c r="O415" i="12"/>
  <c r="P415" i="12" s="1"/>
  <c r="L415" i="12"/>
  <c r="K415" i="12"/>
  <c r="O414" i="12"/>
  <c r="P414" i="12" s="1"/>
  <c r="K414" i="12"/>
  <c r="L414" i="12" s="1"/>
  <c r="O413" i="12"/>
  <c r="P413" i="12" s="1"/>
  <c r="K413" i="12"/>
  <c r="L413" i="12" s="1"/>
  <c r="O412" i="12"/>
  <c r="P412" i="12" s="1"/>
  <c r="L412" i="12"/>
  <c r="K412" i="12"/>
  <c r="P411" i="12"/>
  <c r="O411" i="12"/>
  <c r="K411" i="12"/>
  <c r="L411" i="12" s="1"/>
  <c r="O410" i="12"/>
  <c r="P410" i="12" s="1"/>
  <c r="L410" i="12"/>
  <c r="K410" i="12"/>
  <c r="O409" i="12"/>
  <c r="P409" i="12" s="1"/>
  <c r="K409" i="12"/>
  <c r="L409" i="12" s="1"/>
  <c r="O408" i="12"/>
  <c r="P408" i="12" s="1"/>
  <c r="K408" i="12"/>
  <c r="L408" i="12" s="1"/>
  <c r="O407" i="12"/>
  <c r="P407" i="12" s="1"/>
  <c r="L407" i="12"/>
  <c r="K407" i="12"/>
  <c r="O406" i="12"/>
  <c r="P406" i="12" s="1"/>
  <c r="L406" i="12"/>
  <c r="K406" i="12"/>
  <c r="O405" i="12"/>
  <c r="P405" i="12" s="1"/>
  <c r="K405" i="12"/>
  <c r="L405" i="12" s="1"/>
  <c r="O404" i="12"/>
  <c r="P404" i="12" s="1"/>
  <c r="K404" i="12"/>
  <c r="L404" i="12" s="1"/>
  <c r="O403" i="12"/>
  <c r="P403" i="12" s="1"/>
  <c r="L403" i="12"/>
  <c r="K403" i="12"/>
  <c r="O402" i="12"/>
  <c r="P402" i="12" s="1"/>
  <c r="K402" i="12"/>
  <c r="L402" i="12" s="1"/>
  <c r="P401" i="12"/>
  <c r="O401" i="12"/>
  <c r="K401" i="12"/>
  <c r="L401" i="12" s="1"/>
  <c r="O400" i="12"/>
  <c r="P400" i="12" s="1"/>
  <c r="K400" i="12"/>
  <c r="L400" i="12" s="1"/>
  <c r="O399" i="12"/>
  <c r="P399" i="12" s="1"/>
  <c r="K399" i="12"/>
  <c r="L399" i="12" s="1"/>
  <c r="O398" i="12"/>
  <c r="P398" i="12" s="1"/>
  <c r="K398" i="12"/>
  <c r="L398" i="12" s="1"/>
  <c r="O397" i="12"/>
  <c r="P397" i="12" s="1"/>
  <c r="L397" i="12"/>
  <c r="K397" i="12"/>
  <c r="O396" i="12"/>
  <c r="P396" i="12" s="1"/>
  <c r="K396" i="12"/>
  <c r="L396" i="12" s="1"/>
  <c r="O395" i="12"/>
  <c r="P395" i="12" s="1"/>
  <c r="L395" i="12"/>
  <c r="K395" i="12"/>
  <c r="O394" i="12"/>
  <c r="P394" i="12" s="1"/>
  <c r="K394" i="12"/>
  <c r="L394" i="12" s="1"/>
  <c r="O393" i="12"/>
  <c r="P393" i="12" s="1"/>
  <c r="K393" i="12"/>
  <c r="L393" i="12" s="1"/>
  <c r="O392" i="12"/>
  <c r="P392" i="12" s="1"/>
  <c r="K392" i="12"/>
  <c r="L392" i="12" s="1"/>
  <c r="O391" i="12"/>
  <c r="P391" i="12" s="1"/>
  <c r="K391" i="12"/>
  <c r="L391" i="12" s="1"/>
  <c r="P390" i="12"/>
  <c r="O390" i="12"/>
  <c r="K390" i="12"/>
  <c r="L390" i="12" s="1"/>
  <c r="P389" i="12"/>
  <c r="O389" i="12"/>
  <c r="L389" i="12"/>
  <c r="K389" i="12"/>
  <c r="O388" i="12"/>
  <c r="P388" i="12" s="1"/>
  <c r="K388" i="12"/>
  <c r="L388" i="12" s="1"/>
  <c r="O387" i="12"/>
  <c r="P387" i="12" s="1"/>
  <c r="K387" i="12"/>
  <c r="L387" i="12" s="1"/>
  <c r="P386" i="12"/>
  <c r="O386" i="12"/>
  <c r="K386" i="12"/>
  <c r="L386" i="12" s="1"/>
  <c r="O385" i="12"/>
  <c r="P385" i="12" s="1"/>
  <c r="K385" i="12"/>
  <c r="L385" i="12" s="1"/>
  <c r="O384" i="12"/>
  <c r="P384" i="12" s="1"/>
  <c r="K384" i="12"/>
  <c r="L384" i="12" s="1"/>
  <c r="O383" i="12"/>
  <c r="P383" i="12" s="1"/>
  <c r="K383" i="12"/>
  <c r="L383" i="12" s="1"/>
  <c r="O382" i="12"/>
  <c r="P382" i="12" s="1"/>
  <c r="L382" i="12"/>
  <c r="K382" i="12"/>
  <c r="O381" i="12"/>
  <c r="P381" i="12" s="1"/>
  <c r="K381" i="12"/>
  <c r="L381" i="12" s="1"/>
  <c r="P380" i="12"/>
  <c r="O380" i="12"/>
  <c r="K380" i="12"/>
  <c r="L380" i="12" s="1"/>
  <c r="O379" i="12"/>
  <c r="P379" i="12" s="1"/>
  <c r="L379" i="12"/>
  <c r="K379" i="12"/>
  <c r="O378" i="12"/>
  <c r="P378" i="12" s="1"/>
  <c r="K378" i="12"/>
  <c r="L378" i="12" s="1"/>
  <c r="O377" i="12"/>
  <c r="P377" i="12" s="1"/>
  <c r="K377" i="12"/>
  <c r="L377" i="12" s="1"/>
  <c r="P376" i="12"/>
  <c r="O376" i="12"/>
  <c r="K376" i="12"/>
  <c r="L376" i="12" s="1"/>
  <c r="O375" i="12"/>
  <c r="P375" i="12" s="1"/>
  <c r="K375" i="12"/>
  <c r="L375" i="12" s="1"/>
  <c r="P374" i="12"/>
  <c r="O374" i="12"/>
  <c r="K374" i="12"/>
  <c r="L374" i="12" s="1"/>
  <c r="O373" i="12"/>
  <c r="P373" i="12" s="1"/>
  <c r="L373" i="12"/>
  <c r="K373" i="12"/>
  <c r="O372" i="12"/>
  <c r="P372" i="12" s="1"/>
  <c r="K372" i="12"/>
  <c r="L372" i="12" s="1"/>
  <c r="O371" i="12"/>
  <c r="P371" i="12" s="1"/>
  <c r="K371" i="12"/>
  <c r="L371" i="12" s="1"/>
  <c r="O370" i="12"/>
  <c r="P370" i="12" s="1"/>
  <c r="L370" i="12"/>
  <c r="K370" i="12"/>
  <c r="P369" i="12"/>
  <c r="O369" i="12"/>
  <c r="K369" i="12"/>
  <c r="L369" i="12" s="1"/>
  <c r="O368" i="12"/>
  <c r="P368" i="12" s="1"/>
  <c r="K368" i="12"/>
  <c r="L368" i="12" s="1"/>
  <c r="O367" i="12"/>
  <c r="P367" i="12" s="1"/>
  <c r="L367" i="12"/>
  <c r="K367" i="12"/>
  <c r="P366" i="12"/>
  <c r="O366" i="12"/>
  <c r="K366" i="12"/>
  <c r="L366" i="12" s="1"/>
  <c r="O365" i="12"/>
  <c r="P365" i="12" s="1"/>
  <c r="K365" i="12"/>
  <c r="L365" i="12" s="1"/>
  <c r="O364" i="12"/>
  <c r="P364" i="12" s="1"/>
  <c r="K364" i="12"/>
  <c r="L364" i="12" s="1"/>
  <c r="O363" i="12"/>
  <c r="P363" i="12" s="1"/>
  <c r="K363" i="12"/>
  <c r="L363" i="12" s="1"/>
  <c r="P362" i="12"/>
  <c r="O362" i="12"/>
  <c r="K362" i="12"/>
  <c r="L362" i="12" s="1"/>
  <c r="O361" i="12"/>
  <c r="P361" i="12" s="1"/>
  <c r="L361" i="12"/>
  <c r="K361" i="12"/>
  <c r="O360" i="12"/>
  <c r="P360" i="12" s="1"/>
  <c r="K360" i="12"/>
  <c r="L360" i="12" s="1"/>
  <c r="O359" i="12"/>
  <c r="P359" i="12" s="1"/>
  <c r="K359" i="12"/>
  <c r="L359" i="12" s="1"/>
  <c r="O358" i="12"/>
  <c r="P358" i="12" s="1"/>
  <c r="L358" i="12"/>
  <c r="K358" i="12"/>
  <c r="O357" i="12"/>
  <c r="P357" i="12" s="1"/>
  <c r="K357" i="12"/>
  <c r="L357" i="12" s="1"/>
  <c r="O356" i="12"/>
  <c r="P356" i="12" s="1"/>
  <c r="K356" i="12"/>
  <c r="L356" i="12" s="1"/>
  <c r="O355" i="12"/>
  <c r="P355" i="12" s="1"/>
  <c r="K355" i="12"/>
  <c r="L355" i="12" s="1"/>
  <c r="P354" i="12"/>
  <c r="O354" i="12"/>
  <c r="K354" i="12"/>
  <c r="L354" i="12" s="1"/>
  <c r="O353" i="12"/>
  <c r="P353" i="12" s="1"/>
  <c r="L353" i="12"/>
  <c r="K353" i="12"/>
  <c r="P352" i="12"/>
  <c r="O352" i="12"/>
  <c r="K352" i="12"/>
  <c r="L352" i="12" s="1"/>
  <c r="O351" i="12"/>
  <c r="P351" i="12" s="1"/>
  <c r="K351" i="12"/>
  <c r="L351" i="12" s="1"/>
  <c r="O350" i="12"/>
  <c r="P350" i="12" s="1"/>
  <c r="K350" i="12"/>
  <c r="L350" i="12" s="1"/>
  <c r="O349" i="12"/>
  <c r="P349" i="12" s="1"/>
  <c r="L349" i="12"/>
  <c r="K349" i="12"/>
  <c r="O348" i="12"/>
  <c r="P348" i="12" s="1"/>
  <c r="K348" i="12"/>
  <c r="L348" i="12" s="1"/>
  <c r="O347" i="12"/>
  <c r="P347" i="12" s="1"/>
  <c r="K347" i="12"/>
  <c r="L347" i="12" s="1"/>
  <c r="O346" i="12"/>
  <c r="P346" i="12" s="1"/>
  <c r="K346" i="12"/>
  <c r="L346" i="12" s="1"/>
  <c r="O345" i="12"/>
  <c r="P345" i="12" s="1"/>
  <c r="K345" i="12"/>
  <c r="L345" i="12" s="1"/>
  <c r="O344" i="12"/>
  <c r="P344" i="12" s="1"/>
  <c r="K344" i="12"/>
  <c r="L344" i="12" s="1"/>
  <c r="O343" i="12"/>
  <c r="P343" i="12" s="1"/>
  <c r="K343" i="12"/>
  <c r="L343" i="12" s="1"/>
  <c r="O342" i="12"/>
  <c r="P342" i="12" s="1"/>
  <c r="K342" i="12"/>
  <c r="L342" i="12" s="1"/>
  <c r="O341" i="12"/>
  <c r="P341" i="12" s="1"/>
  <c r="K341" i="12"/>
  <c r="L341" i="12" s="1"/>
  <c r="O340" i="12"/>
  <c r="P340" i="12" s="1"/>
  <c r="K340" i="12"/>
  <c r="L340" i="12" s="1"/>
  <c r="O339" i="12"/>
  <c r="P339" i="12" s="1"/>
  <c r="K339" i="12"/>
  <c r="L339" i="12" s="1"/>
  <c r="O338" i="12"/>
  <c r="P338" i="12" s="1"/>
  <c r="K338" i="12"/>
  <c r="L338" i="12" s="1"/>
  <c r="P337" i="12"/>
  <c r="O337" i="12"/>
  <c r="K337" i="12"/>
  <c r="L337" i="12" s="1"/>
  <c r="O336" i="12"/>
  <c r="P336" i="12" s="1"/>
  <c r="K336" i="12"/>
  <c r="L336" i="12" s="1"/>
  <c r="O335" i="12"/>
  <c r="P335" i="12" s="1"/>
  <c r="K335" i="12"/>
  <c r="L335" i="12" s="1"/>
  <c r="O334" i="12"/>
  <c r="P334" i="12" s="1"/>
  <c r="L334" i="12"/>
  <c r="K334" i="12"/>
  <c r="O333" i="12"/>
  <c r="P333" i="12" s="1"/>
  <c r="K333" i="12"/>
  <c r="L333" i="12" s="1"/>
  <c r="P332" i="12"/>
  <c r="O332" i="12"/>
  <c r="L332" i="12"/>
  <c r="K332" i="12"/>
  <c r="O331" i="12"/>
  <c r="P331" i="12" s="1"/>
  <c r="K331" i="12"/>
  <c r="L331" i="12" s="1"/>
  <c r="P330" i="12"/>
  <c r="O330" i="12"/>
  <c r="K330" i="12"/>
  <c r="L330" i="12" s="1"/>
  <c r="O329" i="12"/>
  <c r="P329" i="12" s="1"/>
  <c r="L329" i="12"/>
  <c r="K329" i="12"/>
  <c r="O328" i="12"/>
  <c r="P328" i="12" s="1"/>
  <c r="K328" i="12"/>
  <c r="L328" i="12" s="1"/>
  <c r="O327" i="12"/>
  <c r="P327" i="12" s="1"/>
  <c r="K327" i="12"/>
  <c r="L327" i="12" s="1"/>
  <c r="O326" i="12"/>
  <c r="P326" i="12" s="1"/>
  <c r="L326" i="12"/>
  <c r="K326" i="12"/>
  <c r="O325" i="12"/>
  <c r="P325" i="12" s="1"/>
  <c r="K325" i="12"/>
  <c r="L325" i="12" s="1"/>
  <c r="O324" i="12"/>
  <c r="P324" i="12" s="1"/>
  <c r="K324" i="12"/>
  <c r="L324" i="12" s="1"/>
  <c r="O323" i="12"/>
  <c r="P323" i="12" s="1"/>
  <c r="K323" i="12"/>
  <c r="L323" i="12" s="1"/>
  <c r="O322" i="12"/>
  <c r="P322" i="12" s="1"/>
  <c r="L322" i="12"/>
  <c r="K322" i="12"/>
  <c r="O321" i="12"/>
  <c r="P321" i="12" s="1"/>
  <c r="K321" i="12"/>
  <c r="L321" i="12" s="1"/>
  <c r="O320" i="12"/>
  <c r="P320" i="12" s="1"/>
  <c r="K320" i="12"/>
  <c r="L320" i="12" s="1"/>
  <c r="O319" i="12"/>
  <c r="P319" i="12" s="1"/>
  <c r="K319" i="12"/>
  <c r="L319" i="12" s="1"/>
  <c r="O318" i="12"/>
  <c r="P318" i="12" s="1"/>
  <c r="K318" i="12"/>
  <c r="L318" i="12" s="1"/>
  <c r="O317" i="12"/>
  <c r="P317" i="12" s="1"/>
  <c r="K317" i="12"/>
  <c r="L317" i="12" s="1"/>
  <c r="O316" i="12"/>
  <c r="P316" i="12" s="1"/>
  <c r="L316" i="12"/>
  <c r="K316" i="12"/>
  <c r="O315" i="12"/>
  <c r="P315" i="12" s="1"/>
  <c r="K315" i="12"/>
  <c r="L315" i="12" s="1"/>
  <c r="O314" i="12"/>
  <c r="P314" i="12" s="1"/>
  <c r="L314" i="12"/>
  <c r="K314" i="12"/>
  <c r="O313" i="12"/>
  <c r="P313" i="12" s="1"/>
  <c r="K313" i="12"/>
  <c r="L313" i="12" s="1"/>
  <c r="O312" i="12"/>
  <c r="P312" i="12" s="1"/>
  <c r="K312" i="12"/>
  <c r="L312" i="12" s="1"/>
  <c r="O311" i="12"/>
  <c r="P311" i="12" s="1"/>
  <c r="K311" i="12"/>
  <c r="L311" i="12" s="1"/>
  <c r="O310" i="12"/>
  <c r="P310" i="12" s="1"/>
  <c r="L310" i="12"/>
  <c r="K310" i="12"/>
  <c r="O309" i="12"/>
  <c r="P309" i="12" s="1"/>
  <c r="K309" i="12"/>
  <c r="L309" i="12" s="1"/>
  <c r="P308" i="12"/>
  <c r="O308" i="12"/>
  <c r="L308" i="12"/>
  <c r="K308" i="12"/>
  <c r="O307" i="12"/>
  <c r="P307" i="12" s="1"/>
  <c r="K307" i="12"/>
  <c r="L307" i="12" s="1"/>
  <c r="O306" i="12"/>
  <c r="P306" i="12" s="1"/>
  <c r="K306" i="12"/>
  <c r="L306" i="12" s="1"/>
  <c r="P305" i="12"/>
  <c r="O305" i="12"/>
  <c r="K305" i="12"/>
  <c r="L305" i="12" s="1"/>
  <c r="P304" i="12"/>
  <c r="O304" i="12"/>
  <c r="L304" i="12"/>
  <c r="K304" i="12"/>
  <c r="O303" i="12"/>
  <c r="P303" i="12" s="1"/>
  <c r="K303" i="12"/>
  <c r="L303" i="12" s="1"/>
  <c r="O302" i="12"/>
  <c r="P302" i="12" s="1"/>
  <c r="L302" i="12"/>
  <c r="K302" i="12"/>
  <c r="O301" i="12"/>
  <c r="P301" i="12" s="1"/>
  <c r="K301" i="12"/>
  <c r="L301" i="12" s="1"/>
  <c r="O300" i="12"/>
  <c r="P300" i="12" s="1"/>
  <c r="K300" i="12"/>
  <c r="L300" i="12" s="1"/>
  <c r="O299" i="12"/>
  <c r="P299" i="12" s="1"/>
  <c r="K299" i="12"/>
  <c r="L299" i="12" s="1"/>
  <c r="O298" i="12"/>
  <c r="P298" i="12" s="1"/>
  <c r="L298" i="12"/>
  <c r="K298" i="12"/>
  <c r="O297" i="12"/>
  <c r="P297" i="12" s="1"/>
  <c r="K297" i="12"/>
  <c r="L297" i="12" s="1"/>
  <c r="P296" i="12"/>
  <c r="O296" i="12"/>
  <c r="K296" i="12"/>
  <c r="L296" i="12" s="1"/>
  <c r="O295" i="12"/>
  <c r="P295" i="12" s="1"/>
  <c r="K295" i="12"/>
  <c r="L295" i="12" s="1"/>
  <c r="O294" i="12"/>
  <c r="P294" i="12" s="1"/>
  <c r="K294" i="12"/>
  <c r="L294" i="12" s="1"/>
  <c r="P293" i="12"/>
  <c r="O293" i="12"/>
  <c r="K293" i="12"/>
  <c r="L293" i="12" s="1"/>
  <c r="O292" i="12"/>
  <c r="P292" i="12" s="1"/>
  <c r="L292" i="12"/>
  <c r="K292" i="12"/>
  <c r="O291" i="12"/>
  <c r="P291" i="12" s="1"/>
  <c r="K291" i="12"/>
  <c r="L291" i="12" s="1"/>
  <c r="O290" i="12"/>
  <c r="P290" i="12" s="1"/>
  <c r="K290" i="12"/>
  <c r="L290" i="12" s="1"/>
  <c r="O289" i="12"/>
  <c r="P289" i="12" s="1"/>
  <c r="L289" i="12"/>
  <c r="K289" i="12"/>
  <c r="P288" i="12"/>
  <c r="O288" i="12"/>
  <c r="K288" i="12"/>
  <c r="L288" i="12" s="1"/>
  <c r="O287" i="12"/>
  <c r="P287" i="12" s="1"/>
  <c r="L287" i="12"/>
  <c r="K287" i="12"/>
  <c r="O286" i="12"/>
  <c r="P286" i="12" s="1"/>
  <c r="K286" i="12"/>
  <c r="L286" i="12" s="1"/>
  <c r="O285" i="12"/>
  <c r="P285" i="12" s="1"/>
  <c r="K285" i="12"/>
  <c r="L285" i="12" s="1"/>
  <c r="O284" i="12"/>
  <c r="P284" i="12" s="1"/>
  <c r="K284" i="12"/>
  <c r="L284" i="12" s="1"/>
  <c r="O283" i="12"/>
  <c r="P283" i="12" s="1"/>
  <c r="K283" i="12"/>
  <c r="L283" i="12" s="1"/>
  <c r="O282" i="12"/>
  <c r="P282" i="12" s="1"/>
  <c r="K282" i="12"/>
  <c r="L282" i="12" s="1"/>
  <c r="P281" i="12"/>
  <c r="O281" i="12"/>
  <c r="L281" i="12"/>
  <c r="K281" i="12"/>
  <c r="O280" i="12"/>
  <c r="P280" i="12" s="1"/>
  <c r="K280" i="12"/>
  <c r="L280" i="12" s="1"/>
  <c r="O279" i="12"/>
  <c r="P279" i="12" s="1"/>
  <c r="K279" i="12"/>
  <c r="L279" i="12" s="1"/>
  <c r="O278" i="12"/>
  <c r="P278" i="12" s="1"/>
  <c r="K278" i="12"/>
  <c r="L278" i="12" s="1"/>
  <c r="O277" i="12"/>
  <c r="P277" i="12" s="1"/>
  <c r="L277" i="12"/>
  <c r="K277" i="12"/>
  <c r="O276" i="12"/>
  <c r="P276" i="12" s="1"/>
  <c r="K276" i="12"/>
  <c r="L276" i="12" s="1"/>
  <c r="O275" i="12"/>
  <c r="P275" i="12" s="1"/>
  <c r="L275" i="12"/>
  <c r="K275" i="12"/>
  <c r="O274" i="12"/>
  <c r="P274" i="12" s="1"/>
  <c r="K274" i="12"/>
  <c r="L274" i="12" s="1"/>
  <c r="O273" i="12"/>
  <c r="P273" i="12" s="1"/>
  <c r="K273" i="12"/>
  <c r="L273" i="12" s="1"/>
  <c r="O272" i="12"/>
  <c r="P272" i="12" s="1"/>
  <c r="L272" i="12"/>
  <c r="K272" i="12"/>
  <c r="P271" i="12"/>
  <c r="O271" i="12"/>
  <c r="L271" i="12"/>
  <c r="K271" i="12"/>
  <c r="O270" i="12"/>
  <c r="P270" i="12" s="1"/>
  <c r="K270" i="12"/>
  <c r="L270" i="12" s="1"/>
  <c r="O269" i="12"/>
  <c r="P269" i="12" s="1"/>
  <c r="K269" i="12"/>
  <c r="L269" i="12" s="1"/>
  <c r="O268" i="12"/>
  <c r="P268" i="12" s="1"/>
  <c r="L268" i="12"/>
  <c r="K268" i="12"/>
  <c r="P267" i="12"/>
  <c r="O267" i="12"/>
  <c r="K267" i="12"/>
  <c r="L267" i="12" s="1"/>
  <c r="O266" i="12"/>
  <c r="P266" i="12" s="1"/>
  <c r="K266" i="12"/>
  <c r="L266" i="12" s="1"/>
  <c r="O265" i="12"/>
  <c r="P265" i="12" s="1"/>
  <c r="K265" i="12"/>
  <c r="L265" i="12" s="1"/>
  <c r="O264" i="12"/>
  <c r="P264" i="12" s="1"/>
  <c r="K264" i="12"/>
  <c r="L264" i="12" s="1"/>
  <c r="O263" i="12"/>
  <c r="P263" i="12" s="1"/>
  <c r="K263" i="12"/>
  <c r="L263" i="12" s="1"/>
  <c r="O262" i="12"/>
  <c r="P262" i="12" s="1"/>
  <c r="K262" i="12"/>
  <c r="L262" i="12" s="1"/>
  <c r="P261" i="12"/>
  <c r="O261" i="12"/>
  <c r="K261" i="12"/>
  <c r="L261" i="12" s="1"/>
  <c r="O260" i="12"/>
  <c r="P260" i="12" s="1"/>
  <c r="K260" i="12"/>
  <c r="L260" i="12" s="1"/>
  <c r="P259" i="12"/>
  <c r="O259" i="12"/>
  <c r="L259" i="12"/>
  <c r="K259" i="12"/>
  <c r="O258" i="12"/>
  <c r="P258" i="12" s="1"/>
  <c r="K258" i="12"/>
  <c r="L258" i="12" s="1"/>
  <c r="O257" i="12"/>
  <c r="P257" i="12" s="1"/>
  <c r="K257" i="12"/>
  <c r="L257" i="12" s="1"/>
  <c r="O256" i="12"/>
  <c r="P256" i="12" s="1"/>
  <c r="K256" i="12"/>
  <c r="L256" i="12" s="1"/>
  <c r="O255" i="12"/>
  <c r="P255" i="12" s="1"/>
  <c r="K255" i="12"/>
  <c r="L255" i="12" s="1"/>
  <c r="O254" i="12"/>
  <c r="P254" i="12" s="1"/>
  <c r="K254" i="12"/>
  <c r="L254" i="12" s="1"/>
  <c r="O253" i="12"/>
  <c r="P253" i="12" s="1"/>
  <c r="K253" i="12"/>
  <c r="L253" i="12" s="1"/>
  <c r="O252" i="12"/>
  <c r="P252" i="12" s="1"/>
  <c r="K252" i="12"/>
  <c r="L252" i="12" s="1"/>
  <c r="P251" i="12"/>
  <c r="O251" i="12"/>
  <c r="K251" i="12"/>
  <c r="L251" i="12" s="1"/>
  <c r="O250" i="12"/>
  <c r="P250" i="12" s="1"/>
  <c r="K250" i="12"/>
  <c r="L250" i="12" s="1"/>
  <c r="O249" i="12"/>
  <c r="P249" i="12" s="1"/>
  <c r="K249" i="12"/>
  <c r="L249" i="12" s="1"/>
  <c r="O248" i="12"/>
  <c r="P248" i="12" s="1"/>
  <c r="K248" i="12"/>
  <c r="L248" i="12" s="1"/>
  <c r="O247" i="12"/>
  <c r="P247" i="12" s="1"/>
  <c r="L247" i="12"/>
  <c r="K247" i="12"/>
  <c r="P246" i="12"/>
  <c r="O246" i="12"/>
  <c r="K246" i="12"/>
  <c r="L246" i="12" s="1"/>
  <c r="O245" i="12"/>
  <c r="P245" i="12" s="1"/>
  <c r="L245" i="12"/>
  <c r="K245" i="12"/>
  <c r="P244" i="12"/>
  <c r="O244" i="12"/>
  <c r="L244" i="12"/>
  <c r="K244" i="12"/>
  <c r="O243" i="12"/>
  <c r="P243" i="12" s="1"/>
  <c r="K243" i="12"/>
  <c r="L243" i="12" s="1"/>
  <c r="O242" i="12"/>
  <c r="P242" i="12" s="1"/>
  <c r="K242" i="12"/>
  <c r="L242" i="12" s="1"/>
  <c r="O241" i="12"/>
  <c r="P241" i="12" s="1"/>
  <c r="L241" i="12"/>
  <c r="K241" i="12"/>
  <c r="O240" i="12"/>
  <c r="P240" i="12" s="1"/>
  <c r="K240" i="12"/>
  <c r="L240" i="12" s="1"/>
  <c r="O239" i="12"/>
  <c r="P239" i="12" s="1"/>
  <c r="K239" i="12"/>
  <c r="L239" i="12" s="1"/>
  <c r="O238" i="12"/>
  <c r="P238" i="12" s="1"/>
  <c r="K238" i="12"/>
  <c r="L238" i="12" s="1"/>
  <c r="O237" i="12"/>
  <c r="P237" i="12" s="1"/>
  <c r="K237" i="12"/>
  <c r="L237" i="12" s="1"/>
  <c r="O236" i="12"/>
  <c r="P236" i="12" s="1"/>
  <c r="L236" i="12"/>
  <c r="K236" i="12"/>
  <c r="O235" i="12"/>
  <c r="P235" i="12" s="1"/>
  <c r="L235" i="12"/>
  <c r="K235" i="12"/>
  <c r="P234" i="12"/>
  <c r="O234" i="12"/>
  <c r="K234" i="12"/>
  <c r="L234" i="12" s="1"/>
  <c r="O233" i="12"/>
  <c r="P233" i="12" s="1"/>
  <c r="K233" i="12"/>
  <c r="L233" i="12" s="1"/>
  <c r="O232" i="12"/>
  <c r="P232" i="12" s="1"/>
  <c r="L232" i="12"/>
  <c r="K232" i="12"/>
  <c r="O231" i="12"/>
  <c r="P231" i="12" s="1"/>
  <c r="K231" i="12"/>
  <c r="L231" i="12" s="1"/>
  <c r="O230" i="12"/>
  <c r="P230" i="12" s="1"/>
  <c r="K230" i="12"/>
  <c r="L230" i="12" s="1"/>
  <c r="O229" i="12"/>
  <c r="P229" i="12" s="1"/>
  <c r="K229" i="12"/>
  <c r="L229" i="12" s="1"/>
  <c r="O228" i="12"/>
  <c r="P228" i="12" s="1"/>
  <c r="K228" i="12"/>
  <c r="L228" i="12" s="1"/>
  <c r="O227" i="12"/>
  <c r="P227" i="12" s="1"/>
  <c r="K227" i="12"/>
  <c r="L227" i="12" s="1"/>
  <c r="O226" i="12"/>
  <c r="P226" i="12" s="1"/>
  <c r="L226" i="12"/>
  <c r="K226" i="12"/>
  <c r="O225" i="12"/>
  <c r="P225" i="12" s="1"/>
  <c r="K225" i="12"/>
  <c r="L225" i="12" s="1"/>
  <c r="P224" i="12"/>
  <c r="O224" i="12"/>
  <c r="L224" i="12"/>
  <c r="K224" i="12"/>
  <c r="P223" i="12"/>
  <c r="O223" i="12"/>
  <c r="L223" i="12"/>
  <c r="K223" i="12"/>
  <c r="P222" i="12"/>
  <c r="O222" i="12"/>
  <c r="K222" i="12"/>
  <c r="L222" i="12" s="1"/>
  <c r="O221" i="12"/>
  <c r="P221" i="12" s="1"/>
  <c r="L221" i="12"/>
  <c r="K221" i="12"/>
  <c r="O220" i="12"/>
  <c r="P220" i="12" s="1"/>
  <c r="K220" i="12"/>
  <c r="L220" i="12" s="1"/>
  <c r="O219" i="12"/>
  <c r="P219" i="12" s="1"/>
  <c r="K219" i="12"/>
  <c r="L219" i="12" s="1"/>
  <c r="O218" i="12"/>
  <c r="P218" i="12" s="1"/>
  <c r="K218" i="12"/>
  <c r="L218" i="12" s="1"/>
  <c r="O217" i="12"/>
  <c r="P217" i="12" s="1"/>
  <c r="L217" i="12"/>
  <c r="K217" i="12"/>
  <c r="O216" i="12"/>
  <c r="P216" i="12" s="1"/>
  <c r="K216" i="12"/>
  <c r="L216" i="12" s="1"/>
  <c r="O215" i="12"/>
  <c r="P215" i="12" s="1"/>
  <c r="K215" i="12"/>
  <c r="L215" i="12" s="1"/>
  <c r="O214" i="12"/>
  <c r="P214" i="12" s="1"/>
  <c r="K214" i="12"/>
  <c r="L214" i="12" s="1"/>
  <c r="O213" i="12"/>
  <c r="P213" i="12" s="1"/>
  <c r="K213" i="12"/>
  <c r="L213" i="12" s="1"/>
  <c r="P212" i="12"/>
  <c r="O212" i="12"/>
  <c r="K212" i="12"/>
  <c r="L212" i="12" s="1"/>
  <c r="O211" i="12"/>
  <c r="P211" i="12" s="1"/>
  <c r="K211" i="12"/>
  <c r="L211" i="12" s="1"/>
  <c r="O210" i="12"/>
  <c r="P210" i="12" s="1"/>
  <c r="K210" i="12"/>
  <c r="L210" i="12" s="1"/>
  <c r="O209" i="12"/>
  <c r="P209" i="12" s="1"/>
  <c r="K209" i="12"/>
  <c r="L209" i="12" s="1"/>
  <c r="O208" i="12"/>
  <c r="P208" i="12" s="1"/>
  <c r="K208" i="12"/>
  <c r="L208" i="12" s="1"/>
  <c r="P207" i="12"/>
  <c r="O207" i="12"/>
  <c r="K207" i="12"/>
  <c r="L207" i="12" s="1"/>
  <c r="O206" i="12"/>
  <c r="P206" i="12" s="1"/>
  <c r="L206" i="12"/>
  <c r="K206" i="12"/>
  <c r="O205" i="12"/>
  <c r="P205" i="12" s="1"/>
  <c r="K205" i="12"/>
  <c r="L205" i="12" s="1"/>
  <c r="P204" i="12"/>
  <c r="O204" i="12"/>
  <c r="K204" i="12"/>
  <c r="L204" i="12" s="1"/>
  <c r="O203" i="12"/>
  <c r="P203" i="12" s="1"/>
  <c r="K203" i="12"/>
  <c r="L203" i="12" s="1"/>
  <c r="P202" i="12"/>
  <c r="O202" i="12"/>
  <c r="L202" i="12"/>
  <c r="K202" i="12"/>
  <c r="O201" i="12"/>
  <c r="P201" i="12" s="1"/>
  <c r="K201" i="12"/>
  <c r="L201" i="12" s="1"/>
  <c r="P200" i="12"/>
  <c r="O200" i="12"/>
  <c r="K200" i="12"/>
  <c r="L200" i="12" s="1"/>
  <c r="O199" i="12"/>
  <c r="P199" i="12" s="1"/>
  <c r="K199" i="12"/>
  <c r="L199" i="12" s="1"/>
  <c r="O198" i="12"/>
  <c r="P198" i="12" s="1"/>
  <c r="K198" i="12"/>
  <c r="L198" i="12" s="1"/>
  <c r="O197" i="12"/>
  <c r="P197" i="12" s="1"/>
  <c r="K197" i="12"/>
  <c r="L197" i="12" s="1"/>
  <c r="P196" i="12"/>
  <c r="O196" i="12"/>
  <c r="K196" i="12"/>
  <c r="L196" i="12" s="1"/>
  <c r="P195" i="12"/>
  <c r="O195" i="12"/>
  <c r="K195" i="12"/>
  <c r="L195" i="12" s="1"/>
  <c r="O194" i="12"/>
  <c r="P194" i="12" s="1"/>
  <c r="L194" i="12"/>
  <c r="K194" i="12"/>
  <c r="O193" i="12"/>
  <c r="P193" i="12" s="1"/>
  <c r="K193" i="12"/>
  <c r="L193" i="12" s="1"/>
  <c r="P192" i="12"/>
  <c r="O192" i="12"/>
  <c r="K192" i="12"/>
  <c r="L192" i="12" s="1"/>
  <c r="O191" i="12"/>
  <c r="P191" i="12" s="1"/>
  <c r="K191" i="12"/>
  <c r="L191" i="12" s="1"/>
  <c r="O190" i="12"/>
  <c r="P190" i="12" s="1"/>
  <c r="K190" i="12"/>
  <c r="L190" i="12" s="1"/>
  <c r="O189" i="12"/>
  <c r="P189" i="12" s="1"/>
  <c r="K189" i="12"/>
  <c r="L189" i="12" s="1"/>
  <c r="P188" i="12"/>
  <c r="O188" i="12"/>
  <c r="K188" i="12"/>
  <c r="L188" i="12" s="1"/>
  <c r="O187" i="12"/>
  <c r="P187" i="12" s="1"/>
  <c r="K187" i="12"/>
  <c r="L187" i="12" s="1"/>
  <c r="P186" i="12"/>
  <c r="O186" i="12"/>
  <c r="K186" i="12"/>
  <c r="L186" i="12" s="1"/>
  <c r="P185" i="12"/>
  <c r="O185" i="12"/>
  <c r="K185" i="12"/>
  <c r="L185" i="12" s="1"/>
  <c r="O184" i="12"/>
  <c r="P184" i="12" s="1"/>
  <c r="K184" i="12"/>
  <c r="L184" i="12" s="1"/>
  <c r="O183" i="12"/>
  <c r="P183" i="12" s="1"/>
  <c r="K183" i="12"/>
  <c r="L183" i="12" s="1"/>
  <c r="O182" i="12"/>
  <c r="P182" i="12" s="1"/>
  <c r="L182" i="12"/>
  <c r="K182" i="12"/>
  <c r="O181" i="12"/>
  <c r="P181" i="12" s="1"/>
  <c r="L181" i="12"/>
  <c r="K181" i="12"/>
  <c r="P180" i="12"/>
  <c r="O180" i="12"/>
  <c r="K180" i="12"/>
  <c r="L180" i="12" s="1"/>
  <c r="O179" i="12"/>
  <c r="P179" i="12" s="1"/>
  <c r="L179" i="12"/>
  <c r="K179" i="12"/>
  <c r="O178" i="12"/>
  <c r="P178" i="12" s="1"/>
  <c r="L178" i="12"/>
  <c r="K178" i="12"/>
  <c r="O177" i="12"/>
  <c r="P177" i="12" s="1"/>
  <c r="K177" i="12"/>
  <c r="L177" i="12" s="1"/>
  <c r="O176" i="12"/>
  <c r="P176" i="12" s="1"/>
  <c r="K176" i="12"/>
  <c r="L176" i="12" s="1"/>
  <c r="P175" i="12"/>
  <c r="O175" i="12"/>
  <c r="K175" i="12"/>
  <c r="L175" i="12" s="1"/>
  <c r="O174" i="12"/>
  <c r="P174" i="12" s="1"/>
  <c r="K174" i="12"/>
  <c r="L174" i="12" s="1"/>
  <c r="O173" i="12"/>
  <c r="P173" i="12" s="1"/>
  <c r="L173" i="12"/>
  <c r="K173" i="12"/>
  <c r="O172" i="12"/>
  <c r="P172" i="12" s="1"/>
  <c r="L172" i="12"/>
  <c r="K172" i="12"/>
  <c r="O171" i="12"/>
  <c r="P171" i="12" s="1"/>
  <c r="K171" i="12"/>
  <c r="L171" i="12" s="1"/>
  <c r="O170" i="12"/>
  <c r="P170" i="12" s="1"/>
  <c r="K170" i="12"/>
  <c r="L170" i="12" s="1"/>
  <c r="O169" i="12"/>
  <c r="P169" i="12" s="1"/>
  <c r="K169" i="12"/>
  <c r="L169" i="12" s="1"/>
  <c r="O168" i="12"/>
  <c r="P168" i="12" s="1"/>
  <c r="K168" i="12"/>
  <c r="L168" i="12" s="1"/>
  <c r="O167" i="12"/>
  <c r="P167" i="12" s="1"/>
  <c r="K167" i="12"/>
  <c r="L167" i="12" s="1"/>
  <c r="O166" i="12"/>
  <c r="P166" i="12" s="1"/>
  <c r="K166" i="12"/>
  <c r="L166" i="12" s="1"/>
  <c r="P165" i="12"/>
  <c r="O165" i="12"/>
  <c r="K165" i="12"/>
  <c r="L165" i="12" s="1"/>
  <c r="P164" i="12"/>
  <c r="O164" i="12"/>
  <c r="L164" i="12"/>
  <c r="K164" i="12"/>
  <c r="O163" i="12"/>
  <c r="P163" i="12" s="1"/>
  <c r="L163" i="12"/>
  <c r="K163" i="12"/>
  <c r="O162" i="12"/>
  <c r="P162" i="12" s="1"/>
  <c r="K162" i="12"/>
  <c r="L162" i="12" s="1"/>
  <c r="O161" i="12"/>
  <c r="P161" i="12" s="1"/>
  <c r="K161" i="12"/>
  <c r="L161" i="12" s="1"/>
  <c r="P160" i="12"/>
  <c r="O160" i="12"/>
  <c r="L160" i="12"/>
  <c r="K160" i="12"/>
  <c r="O159" i="12"/>
  <c r="P159" i="12" s="1"/>
  <c r="K159" i="12"/>
  <c r="L159" i="12" s="1"/>
  <c r="O158" i="12"/>
  <c r="P158" i="12" s="1"/>
  <c r="K158" i="12"/>
  <c r="L158" i="12" s="1"/>
  <c r="O157" i="12"/>
  <c r="P157" i="12" s="1"/>
  <c r="L157" i="12"/>
  <c r="K157" i="12"/>
  <c r="O156" i="12"/>
  <c r="P156" i="12" s="1"/>
  <c r="K156" i="12"/>
  <c r="L156" i="12" s="1"/>
  <c r="O155" i="12"/>
  <c r="P155" i="12" s="1"/>
  <c r="K155" i="12"/>
  <c r="L155" i="12" s="1"/>
  <c r="O154" i="12"/>
  <c r="P154" i="12" s="1"/>
  <c r="L154" i="12"/>
  <c r="K154" i="12"/>
  <c r="O153" i="12"/>
  <c r="P153" i="12" s="1"/>
  <c r="K153" i="12"/>
  <c r="L153" i="12" s="1"/>
  <c r="O152" i="12"/>
  <c r="P152" i="12" s="1"/>
  <c r="K152" i="12"/>
  <c r="L152" i="12" s="1"/>
  <c r="O151" i="12"/>
  <c r="P151" i="12" s="1"/>
  <c r="L151" i="12"/>
  <c r="K151" i="12"/>
  <c r="P150" i="12"/>
  <c r="O150" i="12"/>
  <c r="K150" i="12"/>
  <c r="L150" i="12" s="1"/>
  <c r="O149" i="12"/>
  <c r="P149" i="12" s="1"/>
  <c r="K149" i="12"/>
  <c r="L149" i="12" s="1"/>
  <c r="O148" i="12"/>
  <c r="P148" i="12" s="1"/>
  <c r="L148" i="12"/>
  <c r="K148" i="12"/>
  <c r="O147" i="12"/>
  <c r="P147" i="12" s="1"/>
  <c r="K147" i="12"/>
  <c r="L147" i="12" s="1"/>
  <c r="O146" i="12"/>
  <c r="P146" i="12" s="1"/>
  <c r="K146" i="12"/>
  <c r="L146" i="12" s="1"/>
  <c r="O145" i="12"/>
  <c r="P145" i="12" s="1"/>
  <c r="L145" i="12"/>
  <c r="K145" i="12"/>
  <c r="O144" i="12"/>
  <c r="P144" i="12" s="1"/>
  <c r="K144" i="12"/>
  <c r="L144" i="12" s="1"/>
  <c r="O143" i="12"/>
  <c r="P143" i="12" s="1"/>
  <c r="K143" i="12"/>
  <c r="L143" i="12" s="1"/>
  <c r="O142" i="12"/>
  <c r="P142" i="12" s="1"/>
  <c r="L142" i="12"/>
  <c r="K142" i="12"/>
  <c r="O141" i="12"/>
  <c r="P141" i="12" s="1"/>
  <c r="K141" i="12"/>
  <c r="L141" i="12" s="1"/>
  <c r="O140" i="12"/>
  <c r="P140" i="12" s="1"/>
  <c r="K140" i="12"/>
  <c r="L140" i="12" s="1"/>
  <c r="O139" i="12"/>
  <c r="P139" i="12" s="1"/>
  <c r="K139" i="12"/>
  <c r="L139" i="12" s="1"/>
  <c r="P138" i="12"/>
  <c r="O138" i="12"/>
  <c r="K138" i="12"/>
  <c r="L138" i="12" s="1"/>
  <c r="O137" i="12"/>
  <c r="P137" i="12" s="1"/>
  <c r="K137" i="12"/>
  <c r="L137" i="12" s="1"/>
  <c r="P136" i="12"/>
  <c r="O136" i="12"/>
  <c r="L136" i="12"/>
  <c r="K136" i="12"/>
  <c r="O135" i="12"/>
  <c r="P135" i="12" s="1"/>
  <c r="K135" i="12"/>
  <c r="L135" i="12" s="1"/>
  <c r="O134" i="12"/>
  <c r="P134" i="12" s="1"/>
  <c r="K134" i="12"/>
  <c r="L134" i="12" s="1"/>
  <c r="P133" i="12"/>
  <c r="O133" i="12"/>
  <c r="K133" i="12"/>
  <c r="L133" i="12" s="1"/>
  <c r="O132" i="12"/>
  <c r="P132" i="12" s="1"/>
  <c r="K132" i="12"/>
  <c r="L132" i="12" s="1"/>
  <c r="P131" i="12"/>
  <c r="O131" i="12"/>
  <c r="K131" i="12"/>
  <c r="L131" i="12" s="1"/>
  <c r="O130" i="12"/>
  <c r="P130" i="12" s="1"/>
  <c r="K130" i="12"/>
  <c r="L130" i="12" s="1"/>
  <c r="O129" i="12"/>
  <c r="P129" i="12" s="1"/>
  <c r="K129" i="12"/>
  <c r="L129" i="12" s="1"/>
  <c r="P128" i="12"/>
  <c r="O128" i="12"/>
  <c r="K128" i="12"/>
  <c r="L128" i="12" s="1"/>
  <c r="O127" i="12"/>
  <c r="P127" i="12" s="1"/>
  <c r="K127" i="12"/>
  <c r="L127" i="12" s="1"/>
  <c r="O126" i="12"/>
  <c r="P126" i="12" s="1"/>
  <c r="K126" i="12"/>
  <c r="L126" i="12" s="1"/>
  <c r="O125" i="12"/>
  <c r="P125" i="12" s="1"/>
  <c r="K125" i="12"/>
  <c r="L125" i="12" s="1"/>
  <c r="O124" i="12"/>
  <c r="P124" i="12" s="1"/>
  <c r="L124" i="12"/>
  <c r="K124" i="12"/>
  <c r="P123" i="12"/>
  <c r="O123" i="12"/>
  <c r="K123" i="12"/>
  <c r="L123" i="12" s="1"/>
  <c r="O122" i="12"/>
  <c r="P122" i="12" s="1"/>
  <c r="L122" i="12"/>
  <c r="K122" i="12"/>
  <c r="O121" i="12"/>
  <c r="P121" i="12" s="1"/>
  <c r="K121" i="12"/>
  <c r="L121" i="12" s="1"/>
  <c r="O120" i="12"/>
  <c r="P120" i="12" s="1"/>
  <c r="K120" i="12"/>
  <c r="L120" i="12" s="1"/>
  <c r="P119" i="12"/>
  <c r="O119" i="12"/>
  <c r="K119" i="12"/>
  <c r="L119" i="12" s="1"/>
  <c r="O118" i="12"/>
  <c r="P118" i="12" s="1"/>
  <c r="K118" i="12"/>
  <c r="L118" i="12" s="1"/>
  <c r="O117" i="12"/>
  <c r="P117" i="12" s="1"/>
  <c r="K117" i="12"/>
  <c r="L117" i="12" s="1"/>
  <c r="O116" i="12"/>
  <c r="P116" i="12" s="1"/>
  <c r="K116" i="12"/>
  <c r="L116" i="12" s="1"/>
  <c r="P115" i="12"/>
  <c r="O115" i="12"/>
  <c r="K115" i="12"/>
  <c r="L115" i="12" s="1"/>
  <c r="O114" i="12"/>
  <c r="P114" i="12" s="1"/>
  <c r="K114" i="12"/>
  <c r="L114" i="12" s="1"/>
  <c r="P113" i="12"/>
  <c r="O113" i="12"/>
  <c r="K113" i="12"/>
  <c r="L113" i="12" s="1"/>
  <c r="O112" i="12"/>
  <c r="P112" i="12" s="1"/>
  <c r="K112" i="12"/>
  <c r="L112" i="12" s="1"/>
  <c r="O111" i="12"/>
  <c r="P111" i="12" s="1"/>
  <c r="K111" i="12"/>
  <c r="L111" i="12" s="1"/>
  <c r="O110" i="12"/>
  <c r="P110" i="12" s="1"/>
  <c r="K110" i="12"/>
  <c r="L110" i="12" s="1"/>
  <c r="O109" i="12"/>
  <c r="P109" i="12" s="1"/>
  <c r="K109" i="12"/>
  <c r="L109" i="12" s="1"/>
  <c r="O108" i="12"/>
  <c r="P108" i="12" s="1"/>
  <c r="K108" i="12"/>
  <c r="L108" i="12" s="1"/>
  <c r="O107" i="12"/>
  <c r="P107" i="12" s="1"/>
  <c r="L107" i="12"/>
  <c r="K107" i="12"/>
  <c r="O106" i="12"/>
  <c r="P106" i="12" s="1"/>
  <c r="K106" i="12"/>
  <c r="L106" i="12" s="1"/>
  <c r="O105" i="12"/>
  <c r="P105" i="12" s="1"/>
  <c r="K105" i="12"/>
  <c r="L105" i="12" s="1"/>
  <c r="O104" i="12"/>
  <c r="P104" i="12" s="1"/>
  <c r="K104" i="12"/>
  <c r="L104" i="12" s="1"/>
  <c r="O103" i="12"/>
  <c r="P103" i="12" s="1"/>
  <c r="K103" i="12"/>
  <c r="L103" i="12" s="1"/>
  <c r="P102" i="12"/>
  <c r="O102" i="12"/>
  <c r="K102" i="12"/>
  <c r="L102" i="12" s="1"/>
  <c r="O101" i="12"/>
  <c r="P101" i="12" s="1"/>
  <c r="K101" i="12"/>
  <c r="L101" i="12" s="1"/>
  <c r="P100" i="12"/>
  <c r="O100" i="12"/>
  <c r="L100" i="12"/>
  <c r="K100" i="12"/>
  <c r="O99" i="12"/>
  <c r="P99" i="12" s="1"/>
  <c r="K99" i="12"/>
  <c r="L99" i="12" s="1"/>
  <c r="O98" i="12"/>
  <c r="P98" i="12" s="1"/>
  <c r="K98" i="12"/>
  <c r="L98" i="12" s="1"/>
  <c r="P97" i="12"/>
  <c r="O97" i="12"/>
  <c r="K97" i="12"/>
  <c r="L97" i="12" s="1"/>
  <c r="O96" i="12"/>
  <c r="P96" i="12" s="1"/>
  <c r="K96" i="12"/>
  <c r="L96" i="12" s="1"/>
  <c r="P95" i="12"/>
  <c r="O95" i="12"/>
  <c r="K95" i="12"/>
  <c r="L95" i="12" s="1"/>
  <c r="O94" i="12"/>
  <c r="P94" i="12" s="1"/>
  <c r="K94" i="12"/>
  <c r="L94" i="12" s="1"/>
  <c r="O93" i="12"/>
  <c r="P93" i="12" s="1"/>
  <c r="K93" i="12"/>
  <c r="L93" i="12" s="1"/>
  <c r="P92" i="12"/>
  <c r="O92" i="12"/>
  <c r="K92" i="12"/>
  <c r="L92" i="12" s="1"/>
  <c r="O91" i="12"/>
  <c r="P91" i="12" s="1"/>
  <c r="L91" i="12"/>
  <c r="K91" i="12"/>
  <c r="O90" i="12"/>
  <c r="P90" i="12" s="1"/>
  <c r="K90" i="12"/>
  <c r="L90" i="12" s="1"/>
  <c r="O89" i="12"/>
  <c r="P89" i="12" s="1"/>
  <c r="K89" i="12"/>
  <c r="L89" i="12" s="1"/>
  <c r="O88" i="12"/>
  <c r="P88" i="12" s="1"/>
  <c r="L88" i="12"/>
  <c r="K88" i="12"/>
  <c r="O87" i="12"/>
  <c r="P87" i="12" s="1"/>
  <c r="K87" i="12"/>
  <c r="L87" i="12" s="1"/>
  <c r="O86" i="12"/>
  <c r="P86" i="12" s="1"/>
  <c r="L86" i="12"/>
  <c r="K86" i="12"/>
  <c r="O85" i="12"/>
  <c r="P85" i="12" s="1"/>
  <c r="K85" i="12"/>
  <c r="L85" i="12" s="1"/>
  <c r="O84" i="12"/>
  <c r="P84" i="12" s="1"/>
  <c r="K84" i="12"/>
  <c r="L84" i="12" s="1"/>
  <c r="O83" i="12"/>
  <c r="P83" i="12" s="1"/>
  <c r="K83" i="12"/>
  <c r="L83" i="12" s="1"/>
  <c r="O82" i="12"/>
  <c r="P82" i="12" s="1"/>
  <c r="K82" i="12"/>
  <c r="L82" i="12" s="1"/>
  <c r="O81" i="12"/>
  <c r="P81" i="12" s="1"/>
  <c r="K81" i="12"/>
  <c r="L81" i="12" s="1"/>
  <c r="O80" i="12"/>
  <c r="P80" i="12" s="1"/>
  <c r="K80" i="12"/>
  <c r="L80" i="12" s="1"/>
  <c r="O79" i="12"/>
  <c r="P79" i="12" s="1"/>
  <c r="L79" i="12"/>
  <c r="K79" i="12"/>
  <c r="O78" i="12"/>
  <c r="P78" i="12" s="1"/>
  <c r="K78" i="12"/>
  <c r="L78" i="12" s="1"/>
  <c r="P77" i="12"/>
  <c r="O77" i="12"/>
  <c r="K77" i="12"/>
  <c r="L77" i="12" s="1"/>
  <c r="O76" i="12"/>
  <c r="P76" i="12" s="1"/>
  <c r="K76" i="12"/>
  <c r="L76" i="12" s="1"/>
  <c r="O75" i="12"/>
  <c r="P75" i="12" s="1"/>
  <c r="K75" i="12"/>
  <c r="L75" i="12" s="1"/>
  <c r="O74" i="12"/>
  <c r="P74" i="12" s="1"/>
  <c r="K74" i="12"/>
  <c r="L74" i="12" s="1"/>
  <c r="O73" i="12"/>
  <c r="P73" i="12" s="1"/>
  <c r="K73" i="12"/>
  <c r="L73" i="12" s="1"/>
  <c r="O72" i="12"/>
  <c r="P72" i="12" s="1"/>
  <c r="K72" i="12"/>
  <c r="L72" i="12" s="1"/>
  <c r="O71" i="12"/>
  <c r="P71" i="12" s="1"/>
  <c r="L71" i="12"/>
  <c r="K71" i="12"/>
  <c r="O70" i="12"/>
  <c r="P70" i="12" s="1"/>
  <c r="K70" i="12"/>
  <c r="L70" i="12" s="1"/>
  <c r="O69" i="12"/>
  <c r="P69" i="12" s="1"/>
  <c r="K69" i="12"/>
  <c r="L69" i="12" s="1"/>
  <c r="O68" i="12"/>
  <c r="P68" i="12" s="1"/>
  <c r="K68" i="12"/>
  <c r="L68" i="12" s="1"/>
  <c r="O67" i="12"/>
  <c r="P67" i="12" s="1"/>
  <c r="L67" i="12"/>
  <c r="K67" i="12"/>
  <c r="P66" i="12"/>
  <c r="O66" i="12"/>
  <c r="K66" i="12"/>
  <c r="L66" i="12" s="1"/>
  <c r="O65" i="12"/>
  <c r="P65" i="12" s="1"/>
  <c r="K65" i="12"/>
  <c r="L65" i="12" s="1"/>
  <c r="P64" i="12"/>
  <c r="O64" i="12"/>
  <c r="K64" i="12"/>
  <c r="L64" i="12" s="1"/>
  <c r="O63" i="12"/>
  <c r="P63" i="12" s="1"/>
  <c r="K63" i="12"/>
  <c r="L63" i="12" s="1"/>
  <c r="O62" i="12"/>
  <c r="P62" i="12" s="1"/>
  <c r="K62" i="12"/>
  <c r="L62" i="12" s="1"/>
  <c r="P61" i="12"/>
  <c r="O61" i="12"/>
  <c r="K61" i="12"/>
  <c r="L61" i="12" s="1"/>
  <c r="O60" i="12"/>
  <c r="P60" i="12" s="1"/>
  <c r="K60" i="12"/>
  <c r="L60" i="12" s="1"/>
  <c r="O59" i="12"/>
  <c r="P59" i="12" s="1"/>
  <c r="K59" i="12"/>
  <c r="L59" i="12" s="1"/>
  <c r="O58" i="12"/>
  <c r="P58" i="12" s="1"/>
  <c r="K58" i="12"/>
  <c r="L58" i="12" s="1"/>
  <c r="O57" i="12"/>
  <c r="P57" i="12" s="1"/>
  <c r="K57" i="12"/>
  <c r="L57" i="12" s="1"/>
  <c r="O56" i="12"/>
  <c r="P56" i="12" s="1"/>
  <c r="K56" i="12"/>
  <c r="L56" i="12" s="1"/>
  <c r="O55" i="12"/>
  <c r="P55" i="12" s="1"/>
  <c r="L55" i="12"/>
  <c r="K55" i="12"/>
  <c r="O54" i="12"/>
  <c r="P54" i="12" s="1"/>
  <c r="K54" i="12"/>
  <c r="L54" i="12" s="1"/>
  <c r="O53" i="12"/>
  <c r="P53" i="12" s="1"/>
  <c r="K53" i="12"/>
  <c r="L53" i="12" s="1"/>
  <c r="O52" i="12"/>
  <c r="P52" i="12" s="1"/>
  <c r="K52" i="12"/>
  <c r="L52" i="12" s="1"/>
  <c r="O51" i="12"/>
  <c r="P51" i="12" s="1"/>
  <c r="K51" i="12"/>
  <c r="L51" i="12" s="1"/>
  <c r="O50" i="12"/>
  <c r="P50" i="12" s="1"/>
  <c r="L50" i="12"/>
  <c r="K50" i="12"/>
  <c r="O49" i="12"/>
  <c r="P49" i="12" s="1"/>
  <c r="K49" i="12"/>
  <c r="L49" i="12" s="1"/>
  <c r="O48" i="12"/>
  <c r="P48" i="12" s="1"/>
  <c r="K48" i="12"/>
  <c r="L48" i="12" s="1"/>
  <c r="O47" i="12"/>
  <c r="P47" i="12" s="1"/>
  <c r="K47" i="12"/>
  <c r="L47" i="12" s="1"/>
  <c r="O46" i="12"/>
  <c r="P46" i="12" s="1"/>
  <c r="K46" i="12"/>
  <c r="L46" i="12" s="1"/>
  <c r="O45" i="12"/>
  <c r="P45" i="12" s="1"/>
  <c r="K45" i="12"/>
  <c r="L45" i="12" s="1"/>
  <c r="O44" i="12"/>
  <c r="P44" i="12" s="1"/>
  <c r="K44" i="12"/>
  <c r="L44" i="12" s="1"/>
  <c r="O43" i="12"/>
  <c r="P43" i="12" s="1"/>
  <c r="L43" i="12"/>
  <c r="K43" i="12"/>
  <c r="O42" i="12"/>
  <c r="P42" i="12" s="1"/>
  <c r="K42" i="12"/>
  <c r="L42" i="12" s="1"/>
  <c r="P41" i="12"/>
  <c r="O41" i="12"/>
  <c r="K41" i="12"/>
  <c r="L41" i="12" s="1"/>
  <c r="O40" i="12"/>
  <c r="P40" i="12" s="1"/>
  <c r="K40" i="12"/>
  <c r="L40" i="12" s="1"/>
  <c r="O39" i="12"/>
  <c r="P39" i="12" s="1"/>
  <c r="K39" i="12"/>
  <c r="L39" i="12" s="1"/>
  <c r="O38" i="12"/>
  <c r="P38" i="12" s="1"/>
  <c r="K38" i="12"/>
  <c r="L38" i="12" s="1"/>
  <c r="O37" i="12"/>
  <c r="P37" i="12" s="1"/>
  <c r="K37" i="12"/>
  <c r="L37" i="12" s="1"/>
  <c r="O36" i="12"/>
  <c r="P36" i="12" s="1"/>
  <c r="K36" i="12"/>
  <c r="L36" i="12" s="1"/>
  <c r="O35" i="12"/>
  <c r="P35" i="12" s="1"/>
  <c r="L35" i="12"/>
  <c r="K35" i="12"/>
  <c r="O34" i="12"/>
  <c r="P34" i="12" s="1"/>
  <c r="K34" i="12"/>
  <c r="L34" i="12" s="1"/>
  <c r="O33" i="12"/>
  <c r="P33" i="12" s="1"/>
  <c r="K33" i="12"/>
  <c r="L33" i="12" s="1"/>
  <c r="O32" i="12"/>
  <c r="P32" i="12" s="1"/>
  <c r="K32" i="12"/>
  <c r="L32" i="12" s="1"/>
  <c r="O31" i="12"/>
  <c r="P31" i="12" s="1"/>
  <c r="L31" i="12"/>
  <c r="K31" i="12"/>
  <c r="P30" i="12"/>
  <c r="O30" i="12"/>
  <c r="K30" i="12"/>
  <c r="L30" i="12" s="1"/>
  <c r="O29" i="12"/>
  <c r="P29" i="12" s="1"/>
  <c r="K29" i="12"/>
  <c r="L29" i="12" s="1"/>
  <c r="O28" i="12"/>
  <c r="P28" i="12" s="1"/>
  <c r="K28" i="12"/>
  <c r="L28" i="12" s="1"/>
  <c r="O27" i="12"/>
  <c r="P27" i="12" s="1"/>
  <c r="K27" i="12"/>
  <c r="L27" i="12" s="1"/>
  <c r="O26" i="12"/>
  <c r="P26" i="12" s="1"/>
  <c r="K26" i="12"/>
  <c r="L26" i="12" s="1"/>
  <c r="P25" i="12"/>
  <c r="O25" i="12"/>
  <c r="K25" i="12"/>
  <c r="L25" i="12" s="1"/>
  <c r="O24" i="12"/>
  <c r="P24" i="12" s="1"/>
  <c r="K24" i="12"/>
  <c r="L24" i="12" s="1"/>
  <c r="O23" i="12"/>
  <c r="P23" i="12" s="1"/>
  <c r="K23" i="12"/>
  <c r="L23" i="12" s="1"/>
  <c r="O22" i="12"/>
  <c r="P22" i="12" s="1"/>
  <c r="K22" i="12"/>
  <c r="L22" i="12" s="1"/>
  <c r="O21" i="12"/>
  <c r="P21" i="12" s="1"/>
  <c r="K21" i="12"/>
  <c r="L21" i="12" s="1"/>
  <c r="O20" i="12"/>
  <c r="P20" i="12" s="1"/>
  <c r="K20" i="12"/>
  <c r="L20" i="12" s="1"/>
  <c r="O19" i="12"/>
  <c r="P19" i="12" s="1"/>
  <c r="L19" i="12"/>
  <c r="K19" i="12"/>
  <c r="O18" i="12"/>
  <c r="P18" i="12" s="1"/>
  <c r="K18" i="12"/>
  <c r="L18" i="12" s="1"/>
  <c r="O17" i="12"/>
  <c r="P17" i="12" s="1"/>
  <c r="K17" i="12"/>
  <c r="L17" i="12" s="1"/>
  <c r="O16" i="12"/>
  <c r="P16" i="12" s="1"/>
  <c r="K16" i="12"/>
  <c r="L16" i="12" s="1"/>
  <c r="O15" i="12"/>
  <c r="P15" i="12" s="1"/>
  <c r="K15" i="12"/>
  <c r="L15" i="12" s="1"/>
  <c r="O14" i="12"/>
  <c r="P14" i="12" s="1"/>
  <c r="L14" i="12"/>
  <c r="K14" i="12"/>
  <c r="O13" i="12"/>
  <c r="P13" i="12" s="1"/>
  <c r="K13" i="12"/>
  <c r="L13" i="12" s="1"/>
  <c r="O12" i="12"/>
  <c r="P12" i="12" s="1"/>
  <c r="K12" i="12"/>
  <c r="L12" i="12" s="1"/>
  <c r="O11" i="12"/>
  <c r="P11" i="12" s="1"/>
  <c r="K11" i="12"/>
  <c r="L11" i="12" s="1"/>
  <c r="O10" i="12"/>
  <c r="P10" i="12" s="1"/>
  <c r="K10" i="12"/>
  <c r="L10" i="12" s="1"/>
  <c r="O9" i="12"/>
  <c r="P9" i="12" s="1"/>
  <c r="K9" i="12"/>
  <c r="L9" i="12" s="1"/>
  <c r="O8" i="12"/>
  <c r="P8" i="12" s="1"/>
  <c r="K8" i="12"/>
  <c r="L8" i="12" s="1"/>
  <c r="O7" i="12"/>
  <c r="P7" i="12" s="1"/>
  <c r="L7" i="12"/>
  <c r="K7" i="12"/>
  <c r="O6" i="12"/>
  <c r="P6" i="12" s="1"/>
  <c r="K6" i="12"/>
  <c r="L6" i="12" s="1"/>
  <c r="O5" i="12"/>
  <c r="P5" i="12" s="1"/>
  <c r="K5" i="12"/>
  <c r="L5" i="12" s="1"/>
  <c r="O4" i="12"/>
  <c r="P4" i="12" s="1"/>
  <c r="K4" i="12"/>
  <c r="L4" i="12" s="1"/>
  <c r="O3" i="12"/>
  <c r="P3" i="12" s="1"/>
  <c r="L3" i="12"/>
  <c r="K3" i="12"/>
  <c r="O2" i="12"/>
  <c r="P2" i="12" s="1"/>
  <c r="K2" i="12"/>
  <c r="L2" i="12" s="1"/>
  <c r="A3" i="10" l="1"/>
  <c r="A4" i="10" s="1"/>
  <c r="A5" i="10" s="1"/>
  <c r="A6" i="10" s="1"/>
  <c r="A7" i="10" s="1"/>
  <c r="A8" i="10" s="1"/>
  <c r="A9" i="10" s="1"/>
  <c r="A10" i="10" s="1"/>
</calcChain>
</file>

<file path=xl/sharedStrings.xml><?xml version="1.0" encoding="utf-8"?>
<sst xmlns="http://schemas.openxmlformats.org/spreadsheetml/2006/main" count="22755" uniqueCount="17684">
  <si>
    <t>PROMOTORES</t>
  </si>
  <si>
    <t>EVA LUNAS</t>
  </si>
  <si>
    <t>CLEIVISON PEREIRA</t>
  </si>
  <si>
    <t>JOSENILTON SOUZA</t>
  </si>
  <si>
    <t>DANILO MENDONÇA</t>
  </si>
  <si>
    <t>CLAUDINEI FERREIRA</t>
  </si>
  <si>
    <t>GABRIEL SANTOS NEVES</t>
  </si>
  <si>
    <t>HIRLAN ALVES</t>
  </si>
  <si>
    <t>JOÃO VITOR FERREIRA</t>
  </si>
  <si>
    <t>PAULO RICARDO</t>
  </si>
  <si>
    <t>SEG</t>
  </si>
  <si>
    <t>TER</t>
  </si>
  <si>
    <t>QUA</t>
  </si>
  <si>
    <t>QUI</t>
  </si>
  <si>
    <t>SEX</t>
  </si>
  <si>
    <t>SÁB</t>
  </si>
  <si>
    <t xml:space="preserve">CLIENTE </t>
  </si>
  <si>
    <t xml:space="preserve">ATIVIDADE </t>
  </si>
  <si>
    <t>Cli Cód</t>
  </si>
  <si>
    <t>Razão Social</t>
  </si>
  <si>
    <t>Fantasia</t>
  </si>
  <si>
    <t>Cidade</t>
  </si>
  <si>
    <t>Endereço</t>
  </si>
  <si>
    <t>Bairro</t>
  </si>
  <si>
    <t>Vd</t>
  </si>
  <si>
    <t>Sv</t>
  </si>
  <si>
    <t>Latitude</t>
  </si>
  <si>
    <t>Longitude</t>
  </si>
  <si>
    <t>LINK LOCALIZAÇÃO</t>
  </si>
  <si>
    <t>LOCALIZAÇÃO GPS</t>
  </si>
  <si>
    <t>TELEFONE</t>
  </si>
  <si>
    <t>NOME VD</t>
  </si>
  <si>
    <t>TELEFONE VD</t>
  </si>
  <si>
    <t>0200-0004</t>
  </si>
  <si>
    <t>ESTENE FREITAS CARMO</t>
  </si>
  <si>
    <t>CHURRASC PONTO CERTO</t>
  </si>
  <si>
    <t>IRECE</t>
  </si>
  <si>
    <t>AV PRIMEIRO DE JANEIRO, 31</t>
  </si>
  <si>
    <t>CENTRO 3</t>
  </si>
  <si>
    <t>-11.302038</t>
  </si>
  <si>
    <t>-41.847767</t>
  </si>
  <si>
    <t>(400) 08821-1349</t>
  </si>
  <si>
    <t>0200-0007</t>
  </si>
  <si>
    <t>JOSE MARIA FERNANDES DE ALMEIDA</t>
  </si>
  <si>
    <t>REST E LANC ZE MARIA</t>
  </si>
  <si>
    <t>RUA JACINTO FIGUEREDO</t>
  </si>
  <si>
    <t>ANGICAL</t>
  </si>
  <si>
    <t>-11.240131</t>
  </si>
  <si>
    <t>-41.755140</t>
  </si>
  <si>
    <t>(074) 99922-6072</t>
  </si>
  <si>
    <t>0200-0019</t>
  </si>
  <si>
    <t>DILTON PEREIRA COSTA</t>
  </si>
  <si>
    <t>CHURRASCARIA SAO FRA</t>
  </si>
  <si>
    <t>ROD BA 52</t>
  </si>
  <si>
    <t>BA 052</t>
  </si>
  <si>
    <t>-11.290277</t>
  </si>
  <si>
    <t>-41.839720</t>
  </si>
  <si>
    <t>(074) 03641-9339</t>
  </si>
  <si>
    <t>0200-0020</t>
  </si>
  <si>
    <t>FRANCISCO AMITERLAN ANDRADE SI</t>
  </si>
  <si>
    <t>REST CHAPEU DE COURO</t>
  </si>
  <si>
    <t>AV SANTOS LOPES, 1660</t>
  </si>
  <si>
    <t>SILVA PEREIRA</t>
  </si>
  <si>
    <t>-11.287683</t>
  </si>
  <si>
    <t>-41.847990</t>
  </si>
  <si>
    <t>(400) 09965-6504</t>
  </si>
  <si>
    <t>0200-0023</t>
  </si>
  <si>
    <t>EDNA MAGNA DA SILVA</t>
  </si>
  <si>
    <t>LANCH CAFE COM LEITE</t>
  </si>
  <si>
    <t>RUA RODOVIA BA 052 KM</t>
  </si>
  <si>
    <t>-11.290862</t>
  </si>
  <si>
    <t>-41.839860</t>
  </si>
  <si>
    <t>(074) 99995-3842</t>
  </si>
  <si>
    <t>0200-0024</t>
  </si>
  <si>
    <t>FRANCISCA SALUSTIANA SANTOS</t>
  </si>
  <si>
    <t>MERCEARIA DA FRANCIS</t>
  </si>
  <si>
    <t>RUA PROF ILDA VASCONCELOS, 13</t>
  </si>
  <si>
    <t>GINASIO DE ESPORTES</t>
  </si>
  <si>
    <t>-11.299548</t>
  </si>
  <si>
    <t>-41.855328</t>
  </si>
  <si>
    <t>(740) 03641-3542</t>
  </si>
  <si>
    <t>0200-0031</t>
  </si>
  <si>
    <t>ZENAIDE BATISTA NOGUEIRA</t>
  </si>
  <si>
    <t>BAR E MERC NOGUEIRA</t>
  </si>
  <si>
    <t>PRC MARCIONILIO ROSA, 93</t>
  </si>
  <si>
    <t>BOA VISTA</t>
  </si>
  <si>
    <t>-11.302778</t>
  </si>
  <si>
    <t>-41.872500</t>
  </si>
  <si>
    <t>(740) 99972-2930</t>
  </si>
  <si>
    <t>0200-0048</t>
  </si>
  <si>
    <t>ELIAS DOURADO RAMOS</t>
  </si>
  <si>
    <t>CHURRASCARIA PALADAR</t>
  </si>
  <si>
    <t>AV ADOLFO MOITINHO, 44</t>
  </si>
  <si>
    <t>CENTRO 1</t>
  </si>
  <si>
    <t>-11.303440</t>
  </si>
  <si>
    <t>-41.854847</t>
  </si>
  <si>
    <t>(740) 99949-7179</t>
  </si>
  <si>
    <t>0200-0049</t>
  </si>
  <si>
    <t>ARISMARIO NOGUEIRA DA SILVA</t>
  </si>
  <si>
    <t>O PONTO DO BADINGA</t>
  </si>
  <si>
    <t>AV ADOLFO MOITINHO, 472</t>
  </si>
  <si>
    <t>-11.302867</t>
  </si>
  <si>
    <t>-41.851612</t>
  </si>
  <si>
    <t>(074) 99995-9820</t>
  </si>
  <si>
    <t>0200-0056</t>
  </si>
  <si>
    <t>EPITACIO ALVES ROCHA</t>
  </si>
  <si>
    <t>RESTAURANTE BOA VIAG</t>
  </si>
  <si>
    <t>AV AV RAIMUNDO BONFIM, 500</t>
  </si>
  <si>
    <t>COOPIRECE</t>
  </si>
  <si>
    <t>-11.309420</t>
  </si>
  <si>
    <t>-41.863262</t>
  </si>
  <si>
    <t>(074) 03641-4433</t>
  </si>
  <si>
    <t>0200-0069</t>
  </si>
  <si>
    <t>FRANCISCO BEZERRA DE ARAUJO</t>
  </si>
  <si>
    <t>MERCADINHO ARAUJO</t>
  </si>
  <si>
    <t>RUA ANTONIO OTAVIANO DOURADO, 475</t>
  </si>
  <si>
    <t>-11.304084</t>
  </si>
  <si>
    <t>-41.849476</t>
  </si>
  <si>
    <t>(074) 99957-8717</t>
  </si>
  <si>
    <t>0200-0070</t>
  </si>
  <si>
    <t>JENALDO SANTANA CARMO</t>
  </si>
  <si>
    <t>KIT LANCHES</t>
  </si>
  <si>
    <t>RUA ANTONIO OTAVIANO DOURADO, 414</t>
  </si>
  <si>
    <t>-11.303965</t>
  </si>
  <si>
    <t>-41.849860</t>
  </si>
  <si>
    <t>(074) 98846-2820</t>
  </si>
  <si>
    <t>0200-0075</t>
  </si>
  <si>
    <t>PACANA RESTAURANTE LTDA</t>
  </si>
  <si>
    <t>RESTAURANTE KICOMIDA</t>
  </si>
  <si>
    <t>RUA AURELIO JOSE MARQUES, 37</t>
  </si>
  <si>
    <t>-11.302699</t>
  </si>
  <si>
    <t>-41.858420</t>
  </si>
  <si>
    <t>(074) 98801-3785</t>
  </si>
  <si>
    <t>0200-0085</t>
  </si>
  <si>
    <t>MARIA IRACEMA DA SILVA COSTA</t>
  </si>
  <si>
    <t>CHURRASCARIA E CIA</t>
  </si>
  <si>
    <t>RUA RUA ROGERIO NUNES DOURADO 48, 48</t>
  </si>
  <si>
    <t>CENTRO</t>
  </si>
  <si>
    <t>-11.305315</t>
  </si>
  <si>
    <t>-41.850822</t>
  </si>
  <si>
    <t>(074) 09978-1674</t>
  </si>
  <si>
    <t>0200-0095</t>
  </si>
  <si>
    <t>PAULO JOSE DE AZEVEDO</t>
  </si>
  <si>
    <t>PONTO DA ESFIHA</t>
  </si>
  <si>
    <t>AV PRIMEIRO DE JANEIRO, 2</t>
  </si>
  <si>
    <t>-11.304167</t>
  </si>
  <si>
    <t>-41.848890</t>
  </si>
  <si>
    <t>(740) 03641-0732</t>
  </si>
  <si>
    <t>0200-0106</t>
  </si>
  <si>
    <t>JUNIOR KTISON ALVES MATOS</t>
  </si>
  <si>
    <t>REST BODE JUNIO</t>
  </si>
  <si>
    <t>RUA R RIO TOCANTINS, 30</t>
  </si>
  <si>
    <t>-11.309582</t>
  </si>
  <si>
    <t>-41.852640</t>
  </si>
  <si>
    <t>(740) 03641-3350</t>
  </si>
  <si>
    <t>0200-0111</t>
  </si>
  <si>
    <t>MARIA SOLANGE GONCALVES DE LIM</t>
  </si>
  <si>
    <t>CHURRASC.RAIO LASER</t>
  </si>
  <si>
    <t>PRC CLERISTON ANDRADE, 66</t>
  </si>
  <si>
    <t>CENTRO 2</t>
  </si>
  <si>
    <t>-11.301733</t>
  </si>
  <si>
    <t>-41.854560</t>
  </si>
  <si>
    <t>(740) 99984-3154</t>
  </si>
  <si>
    <t>0200-0149</t>
  </si>
  <si>
    <t>MARIA APARECIDA DE S PAIXAO</t>
  </si>
  <si>
    <t>RESTAURANTE DANTAS</t>
  </si>
  <si>
    <t>AV PROF JOEL LOPES, 640</t>
  </si>
  <si>
    <t>CENTRO 4</t>
  </si>
  <si>
    <t>-11.303554</t>
  </si>
  <si>
    <t>-41.866455</t>
  </si>
  <si>
    <t>(740) 03641-2894</t>
  </si>
  <si>
    <t>0200-0153</t>
  </si>
  <si>
    <t>EDILTON GOMES DOS SANTOS</t>
  </si>
  <si>
    <t>MERCADINHO GOMES0004</t>
  </si>
  <si>
    <t>AV PROF JOEL LOPES, 754</t>
  </si>
  <si>
    <t>-11.303382</t>
  </si>
  <si>
    <t>-41.867477</t>
  </si>
  <si>
    <t>(740) 00641-1840</t>
  </si>
  <si>
    <t>0200-0154</t>
  </si>
  <si>
    <t>MIGUEL SILVA NUNES</t>
  </si>
  <si>
    <t>SUPERMINI L M</t>
  </si>
  <si>
    <t>RUA AV PROF JOEL LOPES, 1045</t>
  </si>
  <si>
    <t>-11.303427</t>
  </si>
  <si>
    <t>-41.869873</t>
  </si>
  <si>
    <t>0200-0159</t>
  </si>
  <si>
    <t>MILTON TEIXEIRA BORGES</t>
  </si>
  <si>
    <t>MILTON TEIXEIRA BORG</t>
  </si>
  <si>
    <t>RUA JOSE ALVES DE ANDRADE, 516</t>
  </si>
  <si>
    <t>-11.304659</t>
  </si>
  <si>
    <t>-41.853455</t>
  </si>
  <si>
    <t>(740) 08803-2692</t>
  </si>
  <si>
    <t>0200-0161</t>
  </si>
  <si>
    <t>GILBERTO ALVES SANTOS SOBRINHO</t>
  </si>
  <si>
    <t>BONAMASSA PANIFICADO</t>
  </si>
  <si>
    <t>RUA LAFAIETE COUTINHO, 304</t>
  </si>
  <si>
    <t>-11.301513</t>
  </si>
  <si>
    <t>-41.851340</t>
  </si>
  <si>
    <t>(074) 03641-9059</t>
  </si>
  <si>
    <t>0200-0177</t>
  </si>
  <si>
    <t>MARIA MADALENA S BARBOSA</t>
  </si>
  <si>
    <t>BOX 71 01</t>
  </si>
  <si>
    <t>RUA MERCADAO BOX, 81</t>
  </si>
  <si>
    <t>MERCADAO</t>
  </si>
  <si>
    <t>-11.300917</t>
  </si>
  <si>
    <t>-41.861070</t>
  </si>
  <si>
    <t>(074) 99901-8895</t>
  </si>
  <si>
    <t>0200-0180</t>
  </si>
  <si>
    <t>COOP CONS FUNC BB MICROREGIAO</t>
  </si>
  <si>
    <t>COOBRASIL</t>
  </si>
  <si>
    <t>RUA NOEL NUTLES, 300</t>
  </si>
  <si>
    <t>-11.307996</t>
  </si>
  <si>
    <t>-41.854060</t>
  </si>
  <si>
    <t>(074) 03641-4432</t>
  </si>
  <si>
    <t>0200-0184</t>
  </si>
  <si>
    <t>DOURILEIA MARTINS DE JESUS</t>
  </si>
  <si>
    <t>RESTAURANTE AVENID01</t>
  </si>
  <si>
    <t>AV DO 1 DE JANEIRO, 122</t>
  </si>
  <si>
    <t>SAO JOSE</t>
  </si>
  <si>
    <t>-11.299657</t>
  </si>
  <si>
    <t>-41.846250</t>
  </si>
  <si>
    <t>(074) 99932-9060</t>
  </si>
  <si>
    <t>0200-0189</t>
  </si>
  <si>
    <t>ANTONIO CARLOS MENDES DE CARVA</t>
  </si>
  <si>
    <t>BAR DO ARARA</t>
  </si>
  <si>
    <t>PRC TEODORO SAMPAIO, 63</t>
  </si>
  <si>
    <t>-11.305055</t>
  </si>
  <si>
    <t>-41.854940</t>
  </si>
  <si>
    <t>(074) 09991-9343</t>
  </si>
  <si>
    <t>0200-0191</t>
  </si>
  <si>
    <t>NILTON FERREIRA DE BRITO</t>
  </si>
  <si>
    <t>BAR E MERC MAINARA</t>
  </si>
  <si>
    <t>RUA POV MEIA HORA</t>
  </si>
  <si>
    <t>MEIA HORA</t>
  </si>
  <si>
    <t>-11.294723</t>
  </si>
  <si>
    <t>-41.820280</t>
  </si>
  <si>
    <t>(074) 99973-1599</t>
  </si>
  <si>
    <t>0200-0194</t>
  </si>
  <si>
    <t>GENILDA OLIVEIRA FEITOSA</t>
  </si>
  <si>
    <t>BAR BEM BOLADA</t>
  </si>
  <si>
    <t>PRC PRACA TEODORO SAMPAIO, 51</t>
  </si>
  <si>
    <t>-11.305274</t>
  </si>
  <si>
    <t>-41.855206</t>
  </si>
  <si>
    <t>(074) 99972-2754</t>
  </si>
  <si>
    <t>0200-0206</t>
  </si>
  <si>
    <t>MARGARETE PROFETA DOS SANTOS</t>
  </si>
  <si>
    <t>LANCHONETE LIMA   01</t>
  </si>
  <si>
    <t>TML RODOVIARIO BOX TRES, 3</t>
  </si>
  <si>
    <t>-11.302689</t>
  </si>
  <si>
    <t>-41.848410</t>
  </si>
  <si>
    <t>(074) 09984-6414</t>
  </si>
  <si>
    <t>0200-0228</t>
  </si>
  <si>
    <t>EDIVALDO LUIZ FERREIRA</t>
  </si>
  <si>
    <t>PADARIA ZABETE</t>
  </si>
  <si>
    <t>AV PROF JOEL LOPES, 726</t>
  </si>
  <si>
    <t>-11.303522</t>
  </si>
  <si>
    <t>-41.867153</t>
  </si>
  <si>
    <t>(074) 99962-2773</t>
  </si>
  <si>
    <t>0200-0237</t>
  </si>
  <si>
    <t>ARNOLDO GOMES DOS SANTOS</t>
  </si>
  <si>
    <t>NOSSO RESTAURANTE</t>
  </si>
  <si>
    <t>IBITITA</t>
  </si>
  <si>
    <t>RUA RUA LUIZ VIANA FILHO, 19</t>
  </si>
  <si>
    <t>-11.547598</t>
  </si>
  <si>
    <t>-41.978516</t>
  </si>
  <si>
    <t>(074) 99802-1981</t>
  </si>
  <si>
    <t>0200-0239</t>
  </si>
  <si>
    <t>JAIR PIRES DE OLIVEIRA</t>
  </si>
  <si>
    <t>BAR JAIR</t>
  </si>
  <si>
    <t>PRC TEODORO SAMPAIO, 86</t>
  </si>
  <si>
    <t>-11.305210</t>
  </si>
  <si>
    <t>-41.855797</t>
  </si>
  <si>
    <t>(074) 03641-4850</t>
  </si>
  <si>
    <t>0200-0244</t>
  </si>
  <si>
    <t>ANTONIO CARLOS PEREIRA SOUZA</t>
  </si>
  <si>
    <t>MERCANTIL SOUZA</t>
  </si>
  <si>
    <t>AV TERTULIANO CAMBUI, 1097</t>
  </si>
  <si>
    <t>-11.301864</t>
  </si>
  <si>
    <t>-41.869700</t>
  </si>
  <si>
    <t>(074) 98831-0046</t>
  </si>
  <si>
    <t>0200-0248</t>
  </si>
  <si>
    <t>CLEILTON MENDONCA DE QUEIROZ</t>
  </si>
  <si>
    <t>BARRA VENTO BAR</t>
  </si>
  <si>
    <t>AV TERTULIANO CAMBUI, 373</t>
  </si>
  <si>
    <t>-11.302445</t>
  </si>
  <si>
    <t>-41.863000</t>
  </si>
  <si>
    <t>(740) 08108-5206</t>
  </si>
  <si>
    <t>0200-0249</t>
  </si>
  <si>
    <t>R MENAS LIRA REPRESENTACOES LTDA</t>
  </si>
  <si>
    <t>MENAS BAR</t>
  </si>
  <si>
    <t>AV TERTULIANO CAMBUI, 388</t>
  </si>
  <si>
    <t>-11.302267</t>
  </si>
  <si>
    <t>-41.863120</t>
  </si>
  <si>
    <t>(740) 09997-6210</t>
  </si>
  <si>
    <t>0200-0250</t>
  </si>
  <si>
    <t>ELIAS GOMES DOURADO</t>
  </si>
  <si>
    <t>PIZZARIA FORNALHA 02</t>
  </si>
  <si>
    <t>AV TERTULIANO CAMBUI</t>
  </si>
  <si>
    <t>-11.302243</t>
  </si>
  <si>
    <t>-41.865180</t>
  </si>
  <si>
    <t>(074) 99907-8137</t>
  </si>
  <si>
    <t>0200-0251</t>
  </si>
  <si>
    <t>JAILSON J DE AZEVEDO EIRELI</t>
  </si>
  <si>
    <t>MERCADO DONA ZEFA</t>
  </si>
  <si>
    <t>AV TERTULIANO CAMBUI, 837</t>
  </si>
  <si>
    <t>-11.302132</t>
  </si>
  <si>
    <t>-41.867523</t>
  </si>
  <si>
    <t>(740) 99912-0370</t>
  </si>
  <si>
    <t>0200-0267</t>
  </si>
  <si>
    <t>RAIMUNDO EVANGELISTA DA SILVA ME</t>
  </si>
  <si>
    <t>REST. RAIMUNDO BONFI</t>
  </si>
  <si>
    <t>AV RAIMUNDO BONFIM</t>
  </si>
  <si>
    <t>LOTEAMENTO COSTA</t>
  </si>
  <si>
    <t>-11.308333</t>
  </si>
  <si>
    <t>-41.869720</t>
  </si>
  <si>
    <t>(074) 99969-1764</t>
  </si>
  <si>
    <t>0200-0270</t>
  </si>
  <si>
    <t>VIVALDO MACHADO DOS SANTOS</t>
  </si>
  <si>
    <t>CASA DE CARNE</t>
  </si>
  <si>
    <t>RUA RUA DOIS, 159</t>
  </si>
  <si>
    <t>FUNDACAO BRADESCO</t>
  </si>
  <si>
    <t>-11.309359</t>
  </si>
  <si>
    <t>-41.872176</t>
  </si>
  <si>
    <t>(074) 99955-6181</t>
  </si>
  <si>
    <t>0200-0287</t>
  </si>
  <si>
    <t>LEANDRO VIEIRA DA SILVA</t>
  </si>
  <si>
    <t>MERCADINHO RAIMUNDO</t>
  </si>
  <si>
    <t>AV ADOLFO MOITINHO, 1174</t>
  </si>
  <si>
    <t>LAGOA DO TIO</t>
  </si>
  <si>
    <t>-11.301942</t>
  </si>
  <si>
    <t>-41.845100</t>
  </si>
  <si>
    <t>(740) 03641-2893</t>
  </si>
  <si>
    <t>0200-0292</t>
  </si>
  <si>
    <t>NELSON PEDRO DA SILVA</t>
  </si>
  <si>
    <t>MERCADINHO DO NELSON</t>
  </si>
  <si>
    <t>RUA FERREIRA, 15</t>
  </si>
  <si>
    <t>-11.301949</t>
  </si>
  <si>
    <t>-41.842957</t>
  </si>
  <si>
    <t>(074) 99812-5539</t>
  </si>
  <si>
    <t>0200-0299</t>
  </si>
  <si>
    <t>VIRGINIA LEITE FERREIRA</t>
  </si>
  <si>
    <t>VIRGINIA LANCHES</t>
  </si>
  <si>
    <t>RUA RIO TAPAJOS, 106</t>
  </si>
  <si>
    <t>LOTEAMENTO ASA SUL</t>
  </si>
  <si>
    <t>-11.313771</t>
  </si>
  <si>
    <t>-41.853670</t>
  </si>
  <si>
    <t>(074) 99944-5774</t>
  </si>
  <si>
    <t>0200-0311</t>
  </si>
  <si>
    <t>EDIVALSON BATISTA DE OLIVEIRA</t>
  </si>
  <si>
    <t>MERCADO SANED</t>
  </si>
  <si>
    <t>PRC DO P COMERCIO, 1</t>
  </si>
  <si>
    <t>ITAPICURU</t>
  </si>
  <si>
    <t>-11.336389</t>
  </si>
  <si>
    <t>-41.930557</t>
  </si>
  <si>
    <t>(740) 09996-4386</t>
  </si>
  <si>
    <t>0200-0317</t>
  </si>
  <si>
    <t>DAMIAO ANTONIO DA SILVA</t>
  </si>
  <si>
    <t>MERC SILVA 0011</t>
  </si>
  <si>
    <t>RUA DAS ORQUIDEAS, 106</t>
  </si>
  <si>
    <t>LOTEAMENTO FELIX</t>
  </si>
  <si>
    <t>-11.306111</t>
  </si>
  <si>
    <t>-41.874170</t>
  </si>
  <si>
    <t>(074) 99926-7567</t>
  </si>
  <si>
    <t>0200-0328</t>
  </si>
  <si>
    <t>VANUZA AMORIM MORAIS</t>
  </si>
  <si>
    <t>RESTAURANTE AMORIM</t>
  </si>
  <si>
    <t>RUA MERCADAO BOX 47, 47</t>
  </si>
  <si>
    <t>NOVO HORIZONTE</t>
  </si>
  <si>
    <t>-11.300957</t>
  </si>
  <si>
    <t>-41.861126</t>
  </si>
  <si>
    <t>(074) 99814-6509</t>
  </si>
  <si>
    <t>0200-0330</t>
  </si>
  <si>
    <t>ELMAR DE CASTRO LOULA DOURADO</t>
  </si>
  <si>
    <t>CURR PRATO DA CASA</t>
  </si>
  <si>
    <t>RUA MORRO DO CHAPEU, 100</t>
  </si>
  <si>
    <t>BANCARIOS</t>
  </si>
  <si>
    <t>-11.300678</t>
  </si>
  <si>
    <t>-41.856094</t>
  </si>
  <si>
    <t>(740) 09957-9045</t>
  </si>
  <si>
    <t>0200-0332</t>
  </si>
  <si>
    <t>RAIMUNDA BARBOSA DA SILVA</t>
  </si>
  <si>
    <t>MERCADINHO DO RONALD</t>
  </si>
  <si>
    <t>RUA MANDACARU, 81</t>
  </si>
  <si>
    <t>-11.299807</t>
  </si>
  <si>
    <t>-41.864513</t>
  </si>
  <si>
    <t>(740) 03641-0299</t>
  </si>
  <si>
    <t>0200-0340</t>
  </si>
  <si>
    <t>ANTONIO CARLOS SEBASTIAO</t>
  </si>
  <si>
    <t>MERCEARIA SANTO ANTO</t>
  </si>
  <si>
    <t>RUA CAICARA, 141</t>
  </si>
  <si>
    <t>-11.299033</t>
  </si>
  <si>
    <t>-41.866310</t>
  </si>
  <si>
    <t>0200-0355</t>
  </si>
  <si>
    <t>IRANILTON SOUZA VIEIRA</t>
  </si>
  <si>
    <t>PADARIA PARAISO</t>
  </si>
  <si>
    <t>CAM 17 CASA</t>
  </si>
  <si>
    <t>PARAISO</t>
  </si>
  <si>
    <t>-11.311047</t>
  </si>
  <si>
    <t>-41.874380</t>
  </si>
  <si>
    <t>0200-0382</t>
  </si>
  <si>
    <t>MARCIA ROCHA DE OLIVEIRA</t>
  </si>
  <si>
    <t>PORTAL CAFE</t>
  </si>
  <si>
    <t>RUA BENEDITO OLIVEIRA DIAS, 106</t>
  </si>
  <si>
    <t>-11.303946</t>
  </si>
  <si>
    <t>-41.846405</t>
  </si>
  <si>
    <t>(074) 99959-0295</t>
  </si>
  <si>
    <t>0200-0383</t>
  </si>
  <si>
    <t>ROGERIO DE OLIVEIRA LIMA</t>
  </si>
  <si>
    <t>BAR DO ZUQUINHA 01</t>
  </si>
  <si>
    <t>PRC JOAO XXIII, 208</t>
  </si>
  <si>
    <t>-11.304233</t>
  </si>
  <si>
    <t>(740) 09998-6716</t>
  </si>
  <si>
    <t>0200-0384</t>
  </si>
  <si>
    <t>ILDONETE ABADES NUNES</t>
  </si>
  <si>
    <t>MERCADINHO NUNES 02</t>
  </si>
  <si>
    <t>RUA SAO JORGE, 34</t>
  </si>
  <si>
    <t>-11.304170</t>
  </si>
  <si>
    <t>-41.844860</t>
  </si>
  <si>
    <t>(074) 99909-5327</t>
  </si>
  <si>
    <t>0200-0417</t>
  </si>
  <si>
    <t>ALCIONE BARROS MIRANDA SILVA</t>
  </si>
  <si>
    <t>SUPERMERCADO SILVA03</t>
  </si>
  <si>
    <t>AV SANTOS LOPES, 1062 / 02000417</t>
  </si>
  <si>
    <t>FORUM</t>
  </si>
  <si>
    <t>-11.293333</t>
  </si>
  <si>
    <t>-41.851112</t>
  </si>
  <si>
    <t>(074) 99915-4829</t>
  </si>
  <si>
    <t>0200-0422</t>
  </si>
  <si>
    <t>VILTON LUIZ ALVES BARRETO</t>
  </si>
  <si>
    <t>CESTAO DA ECONOMIA02</t>
  </si>
  <si>
    <t>MORRO DO CHAPEU</t>
  </si>
  <si>
    <t>RUA AVENIDA SENHOR DOS PASSOS, 133</t>
  </si>
  <si>
    <t>CAPELINHA</t>
  </si>
  <si>
    <t>-11.547222</t>
  </si>
  <si>
    <t>-41.155556</t>
  </si>
  <si>
    <t>(074) 99807-4936</t>
  </si>
  <si>
    <t>0200-0425</t>
  </si>
  <si>
    <t>ALBERTO GOMES MACHADO</t>
  </si>
  <si>
    <t>COMERCIAL DIA A DIA</t>
  </si>
  <si>
    <t>RUA DR ANGELO DOURADO, 602</t>
  </si>
  <si>
    <t>-11.304628</t>
  </si>
  <si>
    <t>-41.863010</t>
  </si>
  <si>
    <t>(074) 99959-6642 R.:.</t>
  </si>
  <si>
    <t>0200-0436</t>
  </si>
  <si>
    <t>GILMACI DE SOUZA ALMEIDA</t>
  </si>
  <si>
    <t>COMERCIAL BENICIO</t>
  </si>
  <si>
    <t>RUA FERNANDO MACHADO, 396</t>
  </si>
  <si>
    <t>-11.305589</t>
  </si>
  <si>
    <t>-41.866386</t>
  </si>
  <si>
    <t>(074) 03641-6110</t>
  </si>
  <si>
    <t>0200-0440</t>
  </si>
  <si>
    <t>MARIA SILVANA RAMALHO</t>
  </si>
  <si>
    <t>POYNT BAR E RETAURAN</t>
  </si>
  <si>
    <t>AV SANTOS LOPES, 1100</t>
  </si>
  <si>
    <t>-11.292952</t>
  </si>
  <si>
    <t>-41.850983</t>
  </si>
  <si>
    <t>(074) 99973-9623</t>
  </si>
  <si>
    <t>0200-0442</t>
  </si>
  <si>
    <t>NIVALDO CAVALCANTE DE MIRANDA</t>
  </si>
  <si>
    <t>MERCADINHO VISAO 01</t>
  </si>
  <si>
    <t>RUA MALASIA, 86</t>
  </si>
  <si>
    <t>SHAMPOO CHARME</t>
  </si>
  <si>
    <t>-11.296293</t>
  </si>
  <si>
    <t>-41.859300</t>
  </si>
  <si>
    <t>(074) 99965-9587</t>
  </si>
  <si>
    <t>0200-0445</t>
  </si>
  <si>
    <t>ERLANIA MENDES CAMINHA</t>
  </si>
  <si>
    <t>MERCADO LIMA</t>
  </si>
  <si>
    <t>RUA BENEDITO OLIVEIRA DIAS, 171</t>
  </si>
  <si>
    <t>-11.303841</t>
  </si>
  <si>
    <t>-41.846844</t>
  </si>
  <si>
    <t>(740) 03641-4316</t>
  </si>
  <si>
    <t>0200-0462</t>
  </si>
  <si>
    <t>ARIENE BATISTA DOS SANTOS RIBEIRO</t>
  </si>
  <si>
    <t>BOX DE LOZINHA</t>
  </si>
  <si>
    <t>PRC MERCADAO BOX 80</t>
  </si>
  <si>
    <t>-11.300867</t>
  </si>
  <si>
    <t>-41.861095</t>
  </si>
  <si>
    <t>(074) 99971-3703</t>
  </si>
  <si>
    <t>0200-0468</t>
  </si>
  <si>
    <t>ROBERIO SOUZA COSTA</t>
  </si>
  <si>
    <t>MERCAD NOVO HORIZONT</t>
  </si>
  <si>
    <t>RUA PAU BRASIL, 30</t>
  </si>
  <si>
    <t>-11.299672</t>
  </si>
  <si>
    <t>-41.866830</t>
  </si>
  <si>
    <t>(074) 99982-6719</t>
  </si>
  <si>
    <t>0200-0554</t>
  </si>
  <si>
    <t>GILDASIO SOUZA DOS SANTOS</t>
  </si>
  <si>
    <t>SUPERMER BOAVENTURA</t>
  </si>
  <si>
    <t>IRAQUARA</t>
  </si>
  <si>
    <t>RUA SIMPLICIANO LIMA, 932</t>
  </si>
  <si>
    <t>-12.246235</t>
  </si>
  <si>
    <t>-41.615630</t>
  </si>
  <si>
    <t>(075) 99977-0266</t>
  </si>
  <si>
    <t>0200-0582</t>
  </si>
  <si>
    <t>BENEDITA ANACLETA DE MORAES</t>
  </si>
  <si>
    <t>BOX 29</t>
  </si>
  <si>
    <t>PRC DO GINASIO DE ESPORTES, 29</t>
  </si>
  <si>
    <t>-11.298515</t>
  </si>
  <si>
    <t>-41.855000</t>
  </si>
  <si>
    <t>(400) 08824-3561</t>
  </si>
  <si>
    <t>0200-0583</t>
  </si>
  <si>
    <t>ENGENHARIA DO SABOR LTDA-ME</t>
  </si>
  <si>
    <t>ENGENHARIA DO SABOR</t>
  </si>
  <si>
    <t>PRC GOES CALMON, 21</t>
  </si>
  <si>
    <t>-11.303463</t>
  </si>
  <si>
    <t>-41.856766</t>
  </si>
  <si>
    <t>(740) 03641-1580</t>
  </si>
  <si>
    <t>0200-0584</t>
  </si>
  <si>
    <t>REGINALDO ALVES RIBEIRO</t>
  </si>
  <si>
    <t>MERCADO JJ        01</t>
  </si>
  <si>
    <t>RUA JOAO DE BARRO, 170</t>
  </si>
  <si>
    <t>VILA LIBERDADE</t>
  </si>
  <si>
    <t>-11.324623</t>
  </si>
  <si>
    <t>-41.862514</t>
  </si>
  <si>
    <t>(074) 99981-8124</t>
  </si>
  <si>
    <t>0200-0585</t>
  </si>
  <si>
    <t>JURACI MIRANDA DA SILVA</t>
  </si>
  <si>
    <t>MERCADINHO MIRANDA02</t>
  </si>
  <si>
    <t>RUA TEOTONIO OTACILIO MARQUES MIRANDA, 228</t>
  </si>
  <si>
    <t>-11.309261</t>
  </si>
  <si>
    <t>-41.861923</t>
  </si>
  <si>
    <t>(740) 09974-0876</t>
  </si>
  <si>
    <t>0200-0594</t>
  </si>
  <si>
    <t>ELIZETE PEREIRA DE MOURA MOITINHO</t>
  </si>
  <si>
    <t>MERCADINHO MOITINHO</t>
  </si>
  <si>
    <t>RUA TEOTONIO DOURADO FILHO, 134</t>
  </si>
  <si>
    <t>-11.299360</t>
  </si>
  <si>
    <t>-41.855946</t>
  </si>
  <si>
    <t>(074) 99956-2591</t>
  </si>
  <si>
    <t>0200-0599</t>
  </si>
  <si>
    <t>JOSE ADAILTON DUARTE</t>
  </si>
  <si>
    <t>BAR DO GALEGO 01</t>
  </si>
  <si>
    <t>RUA PRES CASTELO BRANCO, 317</t>
  </si>
  <si>
    <t>-11.304027</t>
  </si>
  <si>
    <t>-41.853382</t>
  </si>
  <si>
    <t>(740) 09961-7635</t>
  </si>
  <si>
    <t>0200-0613</t>
  </si>
  <si>
    <t>JANDIR NUNES BARBOSA</t>
  </si>
  <si>
    <t>CASA DO PAO</t>
  </si>
  <si>
    <t>LAPAO</t>
  </si>
  <si>
    <t>PRC PRACA DO COMERCIO, 144</t>
  </si>
  <si>
    <t>AGUADA NOVA</t>
  </si>
  <si>
    <t>-11.455618</t>
  </si>
  <si>
    <t>-41.811115</t>
  </si>
  <si>
    <t>(074) 99968-4475</t>
  </si>
  <si>
    <t>0200-0629</t>
  </si>
  <si>
    <t>JOANE MENDES ROCHA</t>
  </si>
  <si>
    <t>RENASCER SUPERMERCAD</t>
  </si>
  <si>
    <t>PRC DO COMERCIO, 4 / 02000629</t>
  </si>
  <si>
    <t>-11.335000</t>
  </si>
  <si>
    <t>-41.931110</t>
  </si>
  <si>
    <t>(074) 09984-2849</t>
  </si>
  <si>
    <t>0200-0631</t>
  </si>
  <si>
    <t>GETULIO BATISTA BORGES JUNIOR</t>
  </si>
  <si>
    <t>JUNIOR LANCHES</t>
  </si>
  <si>
    <t>AV AV V ADOLFO MOITINHO</t>
  </si>
  <si>
    <t>-11.295795</t>
  </si>
  <si>
    <t>-41.853016</t>
  </si>
  <si>
    <t>(074) 99942-5195</t>
  </si>
  <si>
    <t>0200-0657</t>
  </si>
  <si>
    <t>ALMIRA MARIA DA CONCEICAO SANTOS</t>
  </si>
  <si>
    <t>NOVA VENDA</t>
  </si>
  <si>
    <t>RUA PIRITIBA, 81</t>
  </si>
  <si>
    <t>-11.307777</t>
  </si>
  <si>
    <t>-41.871387</t>
  </si>
  <si>
    <t>(074) 99903-9475</t>
  </si>
  <si>
    <t>0200-0662</t>
  </si>
  <si>
    <t>COSME OLIVEIRA FRAGA</t>
  </si>
  <si>
    <t>CHURRASCAR PAULISTA</t>
  </si>
  <si>
    <t>RUA RUA PARAGOMINAS 2433, 2433</t>
  </si>
  <si>
    <t>FIESTA</t>
  </si>
  <si>
    <t>-11.290326</t>
  </si>
  <si>
    <t>-41.840187</t>
  </si>
  <si>
    <t>(740) 98828-1833</t>
  </si>
  <si>
    <t>0200-0682</t>
  </si>
  <si>
    <t>ROBERTO ALVES DOURADO</t>
  </si>
  <si>
    <t>MO LANCHES</t>
  </si>
  <si>
    <t>AV PRIMEIRO DE JANEIRO, 250</t>
  </si>
  <si>
    <t>-11.305466</t>
  </si>
  <si>
    <t>-41.849780</t>
  </si>
  <si>
    <t>(074) 99929-4950</t>
  </si>
  <si>
    <t>0200-0732</t>
  </si>
  <si>
    <t>IRACEMA INACIA OLIVEIRA</t>
  </si>
  <si>
    <t>MERCADINHO LOPES 01</t>
  </si>
  <si>
    <t>RUA DA GLORIA, 17</t>
  </si>
  <si>
    <t>SAO FRANCISCO</t>
  </si>
  <si>
    <t>-11.298216</t>
  </si>
  <si>
    <t>-41.875160</t>
  </si>
  <si>
    <t>(740) 03641-5379</t>
  </si>
  <si>
    <t>0200-0748</t>
  </si>
  <si>
    <t>GILVAN SOUZA LIMA</t>
  </si>
  <si>
    <t>G L MERCADO</t>
  </si>
  <si>
    <t>RUA GREGORIO DE MATOS, 7</t>
  </si>
  <si>
    <t>-11.291620</t>
  </si>
  <si>
    <t>-41.853260</t>
  </si>
  <si>
    <t>(740) 09981-6932</t>
  </si>
  <si>
    <t>0200-0775</t>
  </si>
  <si>
    <t>DALMO DOURADO E CIA LTDA</t>
  </si>
  <si>
    <t>REST KILOMANIA</t>
  </si>
  <si>
    <t>RUA AURELIO JOSE MARQUES, 96</t>
  </si>
  <si>
    <t>-11.302433</t>
  </si>
  <si>
    <t>-41.858940</t>
  </si>
  <si>
    <t>0200-0791</t>
  </si>
  <si>
    <t>ELIANA COSTA DE JESUS SANTOS</t>
  </si>
  <si>
    <t>BOX 75 01</t>
  </si>
  <si>
    <t>PRC MERCADAO BOX DA ELIANA</t>
  </si>
  <si>
    <t>-11.301168</t>
  </si>
  <si>
    <t>-41.861485</t>
  </si>
  <si>
    <t>(074) 99819-6777</t>
  </si>
  <si>
    <t>0200-0809</t>
  </si>
  <si>
    <t>GENIVAL PEREIRA DA SILVA</t>
  </si>
  <si>
    <t>COMERCIAL VG</t>
  </si>
  <si>
    <t>PRESIDENTE DUTRA</t>
  </si>
  <si>
    <t>RUA PRACA LUIZ ALVES, 135</t>
  </si>
  <si>
    <t>-11.294059</t>
  </si>
  <si>
    <t>-41.990448</t>
  </si>
  <si>
    <t>(740) 08827-0912</t>
  </si>
  <si>
    <t>0200-0822</t>
  </si>
  <si>
    <t>GEOVANA ARAUJO DOS SANTOS</t>
  </si>
  <si>
    <t>BOX 68</t>
  </si>
  <si>
    <t>PRC MERCADAO BOX 68</t>
  </si>
  <si>
    <t>-11.300899</t>
  </si>
  <si>
    <t>-41.861090</t>
  </si>
  <si>
    <t>0200-0823</t>
  </si>
  <si>
    <t>JOELMA BATISTA FREIRE</t>
  </si>
  <si>
    <t>BOX 66</t>
  </si>
  <si>
    <t>PRC MERCADAO BOX 66</t>
  </si>
  <si>
    <t>-11.300972</t>
  </si>
  <si>
    <t>-41.861088</t>
  </si>
  <si>
    <t>0200-0843</t>
  </si>
  <si>
    <t>EVANIO PEREIRA DA GAMA</t>
  </si>
  <si>
    <t>MERCEARIA HORT FRUT</t>
  </si>
  <si>
    <t>RUA JUAZ DE CASTRO DOURADO, 149</t>
  </si>
  <si>
    <t>LOTEAMENTO FERNANDES</t>
  </si>
  <si>
    <t>-11.299697</t>
  </si>
  <si>
    <t>-41.842865</t>
  </si>
  <si>
    <t>(740) 09974-9939</t>
  </si>
  <si>
    <t>0200-0844</t>
  </si>
  <si>
    <t>ELOISIO MARTINS DE ANDRADE</t>
  </si>
  <si>
    <t>MERCADINHO SAO JOS05</t>
  </si>
  <si>
    <t>RUA JOAO VITOR, 91</t>
  </si>
  <si>
    <t>-11.295928</t>
  </si>
  <si>
    <t>-41.859684</t>
  </si>
  <si>
    <t>(400) 03641-7421</t>
  </si>
  <si>
    <t>0200-0856</t>
  </si>
  <si>
    <t>EUCLEBSON CELESTINO DOS SANTOS</t>
  </si>
  <si>
    <t>CHURR ESPETO DE OURO</t>
  </si>
  <si>
    <t>PRC CLERISTON ANDRADE, 67</t>
  </si>
  <si>
    <t>-11.301729</t>
  </si>
  <si>
    <t>-41.854450</t>
  </si>
  <si>
    <t>(074) 99942-7467</t>
  </si>
  <si>
    <t>0200-0884</t>
  </si>
  <si>
    <t>OSIAS JOSE RODRIGUES</t>
  </si>
  <si>
    <t>PANIF PAO A LENHA</t>
  </si>
  <si>
    <t>RUA LAFAIETE COUTINHO, 481</t>
  </si>
  <si>
    <t>-11.302155</t>
  </si>
  <si>
    <t>-41.848816</t>
  </si>
  <si>
    <t>0200-0892</t>
  </si>
  <si>
    <t>MARIA SOLANGE SOUZA NETA</t>
  </si>
  <si>
    <t>CASA DA FEIJOADA</t>
  </si>
  <si>
    <t>PRC JOAO XXIII</t>
  </si>
  <si>
    <t>-11.304332</t>
  </si>
  <si>
    <t>(740) 09920-7769</t>
  </si>
  <si>
    <t>0200-0898</t>
  </si>
  <si>
    <t>MOISES DANTAS HERCULANO</t>
  </si>
  <si>
    <t>CASA DE CARNES POPUL</t>
  </si>
  <si>
    <t>AV PROF JOEL LOPES, 528</t>
  </si>
  <si>
    <t>-11.303611</t>
  </si>
  <si>
    <t>-41.865555</t>
  </si>
  <si>
    <t>(074) 99911-6418</t>
  </si>
  <si>
    <t>0200-0933</t>
  </si>
  <si>
    <t>HILDEVAN DA SILVA LIMA</t>
  </si>
  <si>
    <t>LANCHONETE MX</t>
  </si>
  <si>
    <t>RUA JUAZEIRO, 25</t>
  </si>
  <si>
    <t>LAGOA NOVA</t>
  </si>
  <si>
    <t>-11.340930</t>
  </si>
  <si>
    <t>-41.745102</t>
  </si>
  <si>
    <t>(074) 99910-0760</t>
  </si>
  <si>
    <t>0200-1002</t>
  </si>
  <si>
    <t>ELIZEU JOSE DE AZEVEDO</t>
  </si>
  <si>
    <t>PONTO DA ESFIHA 02</t>
  </si>
  <si>
    <t>AV ADOLFO MOITINHO, 153</t>
  </si>
  <si>
    <t>-11.303301</t>
  </si>
  <si>
    <t>-41.854492</t>
  </si>
  <si>
    <t>(074) 99906-3923</t>
  </si>
  <si>
    <t>0200-1035</t>
  </si>
  <si>
    <t>ANTONIO CARDOSO FILHO</t>
  </si>
  <si>
    <t>POSTO CONTERRANEO 01</t>
  </si>
  <si>
    <t>CENTRAL</t>
  </si>
  <si>
    <t>AV AVENIDA TANCREDO NEVES, 1382</t>
  </si>
  <si>
    <t>-11.133200</t>
  </si>
  <si>
    <t>-42.096012</t>
  </si>
  <si>
    <t>(074) 99971-1005</t>
  </si>
  <si>
    <t>0200-1045</t>
  </si>
  <si>
    <t>JOSE LUIZ DOS SANTOS</t>
  </si>
  <si>
    <t>ACOUGUE ZE PEZAO</t>
  </si>
  <si>
    <t>RUA JUSSARA, 58</t>
  </si>
  <si>
    <t>-11.308293</t>
  </si>
  <si>
    <t>-41.871130</t>
  </si>
  <si>
    <t>8805-5751</t>
  </si>
  <si>
    <t>0200-1064</t>
  </si>
  <si>
    <t>IRLANDIA DE SOUZA SILVA</t>
  </si>
  <si>
    <t>PANIFICADORA SOUZA</t>
  </si>
  <si>
    <t>RUA OURIVAL LOPES SOARES, 68</t>
  </si>
  <si>
    <t>-11.305818</t>
  </si>
  <si>
    <t>-41.845940</t>
  </si>
  <si>
    <t>(074) 99999-4531</t>
  </si>
  <si>
    <t>0200-1076</t>
  </si>
  <si>
    <t>JOSE FRANCISCO DA SILVA</t>
  </si>
  <si>
    <t>RESTAURANT DO PEIXE</t>
  </si>
  <si>
    <t>PRC AIRTON SENA, 158</t>
  </si>
  <si>
    <t>-11.303139</t>
  </si>
  <si>
    <t>-41.865807</t>
  </si>
  <si>
    <t>0200-1181</t>
  </si>
  <si>
    <t>TAIS SOUZA SANTOS</t>
  </si>
  <si>
    <t>REST LUCIA BOX64MERC</t>
  </si>
  <si>
    <t>AV AV JULIO PEREIRA NUNES, 208</t>
  </si>
  <si>
    <t>-11.301568</t>
  </si>
  <si>
    <t>-41.861065</t>
  </si>
  <si>
    <t>(074) 99981-0503</t>
  </si>
  <si>
    <t>0200-1185</t>
  </si>
  <si>
    <t>COMERCIAL DE ALIMENTOS UNIAO LTDA</t>
  </si>
  <si>
    <t>MERC FRUT UNIAO 02</t>
  </si>
  <si>
    <t>RUA RUA FERNANDO MACHADO, 250</t>
  </si>
  <si>
    <t>ARNOBIO BATISTA</t>
  </si>
  <si>
    <t>-11.304310</t>
  </si>
  <si>
    <t>-41.865770</t>
  </si>
  <si>
    <t>(074) 99998-3128</t>
  </si>
  <si>
    <t>0200-1245</t>
  </si>
  <si>
    <t>JULIO CARDOSO DE MATOS</t>
  </si>
  <si>
    <t>REST JONATAS</t>
  </si>
  <si>
    <t>RUA ANTONIO FARIAS SN</t>
  </si>
  <si>
    <t>-11.240111</t>
  </si>
  <si>
    <t>-41.755154</t>
  </si>
  <si>
    <t>(400) 09959-2265</t>
  </si>
  <si>
    <t>0200-1248</t>
  </si>
  <si>
    <t>ANTONIO DA COSTA FERREIRA ME</t>
  </si>
  <si>
    <t>LANCHONETE DO TOINHO</t>
  </si>
  <si>
    <t>RUA GOIS CALMON, 26</t>
  </si>
  <si>
    <t>-11.303224</t>
  </si>
  <si>
    <t>-41.857340</t>
  </si>
  <si>
    <t>(740) 98119-1569</t>
  </si>
  <si>
    <t>0200-1253</t>
  </si>
  <si>
    <t>LAUDICEIA ALVES VAZ</t>
  </si>
  <si>
    <t>QUALITY HAMBURGUERIA</t>
  </si>
  <si>
    <t>ROD BA 148 KM, 181</t>
  </si>
  <si>
    <t>-11.313052</t>
  </si>
  <si>
    <t>-41.857136</t>
  </si>
  <si>
    <t>(074) 99965-9001</t>
  </si>
  <si>
    <t>0200-1282</t>
  </si>
  <si>
    <t>GRACIETE LOPES DE OLIVEIRA</t>
  </si>
  <si>
    <t>HIPER MERCADO DANI01</t>
  </si>
  <si>
    <t>RUA RUA SAO MARCOSS, 97</t>
  </si>
  <si>
    <t>-11.304562</t>
  </si>
  <si>
    <t>-41.843500</t>
  </si>
  <si>
    <t>(074) 99956-6635</t>
  </si>
  <si>
    <t>0200-1284</t>
  </si>
  <si>
    <t>MARIA IRENE FERNANDES DA ALMEIDA</t>
  </si>
  <si>
    <t>RESTAURANTE Q SABOR</t>
  </si>
  <si>
    <t>RUA JEFERSON MIRANDA SILVA, 154 / 02001284</t>
  </si>
  <si>
    <t>-11.315493</t>
  </si>
  <si>
    <t>-41.862547</t>
  </si>
  <si>
    <t>(074) 99971-0344</t>
  </si>
  <si>
    <t>0200-1291</t>
  </si>
  <si>
    <t>MAXWELL SANTANA DO CARMO SOUZA</t>
  </si>
  <si>
    <t>PANIF MAIKI PAN</t>
  </si>
  <si>
    <t>RUA JOSE ALVES DE ANDRADE, 170</t>
  </si>
  <si>
    <t>-11.304577</t>
  </si>
  <si>
    <t>-41.856583</t>
  </si>
  <si>
    <t>(400) 09973-9905</t>
  </si>
  <si>
    <t>0200-1296</t>
  </si>
  <si>
    <t>FRANCISCO MOREIRA DA SILVEIRA</t>
  </si>
  <si>
    <t>MERCADINHO MOREIRA01</t>
  </si>
  <si>
    <t>AV RAIMUNDO BOMFIM, 411</t>
  </si>
  <si>
    <t>COOPEIRECE</t>
  </si>
  <si>
    <t>-11.310145</t>
  </si>
  <si>
    <t>-41.860313</t>
  </si>
  <si>
    <t>(074) 99973-9624</t>
  </si>
  <si>
    <t>0200-1302</t>
  </si>
  <si>
    <t>POSTO O MESTRE E FILHOS LTDA ME</t>
  </si>
  <si>
    <t>POSTO CARLINHO FITA</t>
  </si>
  <si>
    <t>RUA PRIMEIRO DE JANEIRO</t>
  </si>
  <si>
    <t>-11.305546</t>
  </si>
  <si>
    <t>-41.850178</t>
  </si>
  <si>
    <t>(740) 03642-2039</t>
  </si>
  <si>
    <t>0200-1313</t>
  </si>
  <si>
    <t>FRANSUEUDES FERREIRA DA SILVA ME</t>
  </si>
  <si>
    <t>PAO E CIA</t>
  </si>
  <si>
    <t>RUA HUMAITA, 9</t>
  </si>
  <si>
    <t>-11.301300</t>
  </si>
  <si>
    <t>-41.845802</t>
  </si>
  <si>
    <t>(740) 09998-3798</t>
  </si>
  <si>
    <t>0200-1366</t>
  </si>
  <si>
    <t>JULIANA PEREIRA DE CARVALHO</t>
  </si>
  <si>
    <t>BAR JULIANA</t>
  </si>
  <si>
    <t>RUA IBIPEBA, 41</t>
  </si>
  <si>
    <t>-11.306907</t>
  </si>
  <si>
    <t>-41.870853</t>
  </si>
  <si>
    <t>(074) 99995-0759</t>
  </si>
  <si>
    <t>0200-1389</t>
  </si>
  <si>
    <t>FRANCISCO HERCULES N COTINHO</t>
  </si>
  <si>
    <t>BODE DE JUSSARA</t>
  </si>
  <si>
    <t>AV PRIMEIRO DE JANEIRO, 1014</t>
  </si>
  <si>
    <t>-11.304686</t>
  </si>
  <si>
    <t>-41.849186</t>
  </si>
  <si>
    <t>(074) 99932-1563</t>
  </si>
  <si>
    <t>0200-1411</t>
  </si>
  <si>
    <t>IVAN GONCALVES DE CARVALHO</t>
  </si>
  <si>
    <t>MERCADO GONSALVES</t>
  </si>
  <si>
    <t>AV AVENIDA ADOLFO MOITINHO, 1173</t>
  </si>
  <si>
    <t>-11.301786</t>
  </si>
  <si>
    <t>-41.844997</t>
  </si>
  <si>
    <t>0200-1412</t>
  </si>
  <si>
    <t>JERONIMO FERREIRA CAVALCANTE</t>
  </si>
  <si>
    <t>CONVENIENCIA OBA OBA</t>
  </si>
  <si>
    <t>RUA RUA ROSA LOPES SOARES, 461</t>
  </si>
  <si>
    <t>-11.306764</t>
  </si>
  <si>
    <t>-41.845910</t>
  </si>
  <si>
    <t>(074) 98819-9614</t>
  </si>
  <si>
    <t>0200-1439</t>
  </si>
  <si>
    <t>ALANO BATISTA SAMPAIO</t>
  </si>
  <si>
    <t>BOBI LANCHES</t>
  </si>
  <si>
    <t>AV SANTOS LOPES, 325</t>
  </si>
  <si>
    <t>-11.298590</t>
  </si>
  <si>
    <t>-41.854090</t>
  </si>
  <si>
    <t>9981-4572</t>
  </si>
  <si>
    <t>0200-1484</t>
  </si>
  <si>
    <t>JOSE DE JESUS BONFIM</t>
  </si>
  <si>
    <t>ESPETINHO ZE DO TRIO</t>
  </si>
  <si>
    <t>RUA RUA JOSE DE SOUZA CAMBUI, 236</t>
  </si>
  <si>
    <t>IEDA 1 NOVO HORIZONT</t>
  </si>
  <si>
    <t>-11.298126</t>
  </si>
  <si>
    <t>-41.864380</t>
  </si>
  <si>
    <t>(074) 99956-1810</t>
  </si>
  <si>
    <t>0200-1485</t>
  </si>
  <si>
    <t>EDIELMA NASCIMENTO RIBEIRO</t>
  </si>
  <si>
    <t>MERCADO LUIZA</t>
  </si>
  <si>
    <t>RUA RUA DA IGREJA, 14 / 02001485</t>
  </si>
  <si>
    <t>UMBUZEIRO</t>
  </si>
  <si>
    <t>-11.320000</t>
  </si>
  <si>
    <t>-41.921390</t>
  </si>
  <si>
    <t>(074) 99952-2378</t>
  </si>
  <si>
    <t>0200-1513</t>
  </si>
  <si>
    <t>JOAO ROCHA NETO</t>
  </si>
  <si>
    <t>COMERCIAL SUPER GIR1</t>
  </si>
  <si>
    <t>PRC PRACA DO COMERCIO 166, 166</t>
  </si>
  <si>
    <t>-11.295930</t>
  </si>
  <si>
    <t>-41.987087</t>
  </si>
  <si>
    <t>(074) 98834-6201</t>
  </si>
  <si>
    <t>0200-1516</t>
  </si>
  <si>
    <t>EMERSON SOUZA BASTOS - ME</t>
  </si>
  <si>
    <t>MERC PE DE SERRA</t>
  </si>
  <si>
    <t>RUA RUA RIO CAPIBERIBE</t>
  </si>
  <si>
    <t>RECANTO DAS ARVORES</t>
  </si>
  <si>
    <t>-11.307995</t>
  </si>
  <si>
    <t>-41.848392</t>
  </si>
  <si>
    <t>(074) 99959-4751</t>
  </si>
  <si>
    <t>0200-1537</t>
  </si>
  <si>
    <t>ANTONIO MARCOS ALVES DO SANTOS</t>
  </si>
  <si>
    <t>BAHIA ORIENTAL</t>
  </si>
  <si>
    <t>RUA RUA MARIA QUITERIA, 40</t>
  </si>
  <si>
    <t>-11.303335</t>
  </si>
  <si>
    <t>-41.851585</t>
  </si>
  <si>
    <t>(074) 99958-8818</t>
  </si>
  <si>
    <t>0200-1546</t>
  </si>
  <si>
    <t>LOMANTO DAVID RODRIGUES</t>
  </si>
  <si>
    <t>COMERCIAL DUBOM</t>
  </si>
  <si>
    <t>AV AVENIDA ROSA LOPES SOARES, 396</t>
  </si>
  <si>
    <t>-11.306858</t>
  </si>
  <si>
    <t>-41.846466</t>
  </si>
  <si>
    <t>(740) 99940-8504</t>
  </si>
  <si>
    <t>0200-1593</t>
  </si>
  <si>
    <t>FAUSTINIANO JONAS CARDOSO LOPES - ME</t>
  </si>
  <si>
    <t>SUPERMERCADO EXTRA B</t>
  </si>
  <si>
    <t>AV AVENIDA JULIO PEREIRA NUNES, 208 / GALPAO</t>
  </si>
  <si>
    <t>-11.300649</t>
  </si>
  <si>
    <t>-41.860977</t>
  </si>
  <si>
    <t>(074) 03641-3146</t>
  </si>
  <si>
    <t>0200-1603</t>
  </si>
  <si>
    <t>IVANILTON RIACHAO OLIVEIRA</t>
  </si>
  <si>
    <t>PASTEL DO JAIRO   01</t>
  </si>
  <si>
    <t>AV AV CARAIBAS, 638</t>
  </si>
  <si>
    <t>-11.302490</t>
  </si>
  <si>
    <t>-41.854120</t>
  </si>
  <si>
    <t>(074) 99930-6136</t>
  </si>
  <si>
    <t>0200-1606</t>
  </si>
  <si>
    <t>BRUNO DA SILVA VIEIRA</t>
  </si>
  <si>
    <t>COMERCIAL SEVERO</t>
  </si>
  <si>
    <t>RUA RUA ARISTIDES LEITE, 106</t>
  </si>
  <si>
    <t>IEDA</t>
  </si>
  <si>
    <t>-11.296603</t>
  </si>
  <si>
    <t>-41.865025</t>
  </si>
  <si>
    <t>(074) 99981-4127</t>
  </si>
  <si>
    <t>0200-1632</t>
  </si>
  <si>
    <t>RITA DE CASSIA SOUZA FIGUEREDO</t>
  </si>
  <si>
    <t>COMERCIAL FERREIRA01</t>
  </si>
  <si>
    <t>AV JAGUACY, 60</t>
  </si>
  <si>
    <t>-11.237532</t>
  </si>
  <si>
    <t>-41.754154</t>
  </si>
  <si>
    <t>(740) 09944-8872</t>
  </si>
  <si>
    <t>0200-1634</t>
  </si>
  <si>
    <t>PASTEL DO BOB</t>
  </si>
  <si>
    <t>RUA RUA AURELIO JOSE MARQUES, 169</t>
  </si>
  <si>
    <t>-11.303114</t>
  </si>
  <si>
    <t>-41.857445</t>
  </si>
  <si>
    <t>(740) 09976-4348</t>
  </si>
  <si>
    <t>0200-1648</t>
  </si>
  <si>
    <t>PAULO OTAVIO MENDES CORREA</t>
  </si>
  <si>
    <t>PASTEL CIA</t>
  </si>
  <si>
    <t>RUA FERNANDO MACHADO, 95</t>
  </si>
  <si>
    <t>-11.302989</t>
  </si>
  <si>
    <t>-41.865211</t>
  </si>
  <si>
    <t>(074) 99957-6743</t>
  </si>
  <si>
    <t>0200-1663</t>
  </si>
  <si>
    <t>RESTAURANTE DO PORTUGA COMERCIO E SERVIC</t>
  </si>
  <si>
    <t>SOCIEDADE EMPRESARIA</t>
  </si>
  <si>
    <t>RUA RUA LAFAITE COUTINHO, 327</t>
  </si>
  <si>
    <t>-11.305993</t>
  </si>
  <si>
    <t>-41.848778</t>
  </si>
  <si>
    <t>(074) 09941-4143</t>
  </si>
  <si>
    <t>0200-1678</t>
  </si>
  <si>
    <t>PABLO BARRETO CAMBUI</t>
  </si>
  <si>
    <t>CIA DO CHURRASCO  01</t>
  </si>
  <si>
    <t>AV PRIMEIRO DE JANEIRO, 580</t>
  </si>
  <si>
    <t>-11.308276</t>
  </si>
  <si>
    <t>-41.853233</t>
  </si>
  <si>
    <t>(074) 99920-8989</t>
  </si>
  <si>
    <t>0200-1700</t>
  </si>
  <si>
    <t>PAULO GILVAN DE SOUZA GOIS</t>
  </si>
  <si>
    <t>PONTO DA ESFIRA</t>
  </si>
  <si>
    <t>RUA R FEBRONIO BARRETO, 118</t>
  </si>
  <si>
    <t>-11.303578</t>
  </si>
  <si>
    <t>-41.860634</t>
  </si>
  <si>
    <t>(074) 99937-7576</t>
  </si>
  <si>
    <t>0200-1729</t>
  </si>
  <si>
    <t>EMPREENDIMENTOS PAGUE MENOS S/A</t>
  </si>
  <si>
    <t>FARM PAGUE MENOS</t>
  </si>
  <si>
    <t>AV AV ADOLFO MOITINHOO</t>
  </si>
  <si>
    <t>-11.303201</t>
  </si>
  <si>
    <t>-41.853523</t>
  </si>
  <si>
    <t>(074) 03642-2948</t>
  </si>
  <si>
    <t>0200-1742</t>
  </si>
  <si>
    <t>JACIRA ARAUJO DE BRITO ME</t>
  </si>
  <si>
    <t>ML CONVENIENCIA</t>
  </si>
  <si>
    <t>AV AVEN ADOLFO MOITINHO, 236</t>
  </si>
  <si>
    <t>-11.303326</t>
  </si>
  <si>
    <t>-41.853660</t>
  </si>
  <si>
    <t>(074) 99998-2922</t>
  </si>
  <si>
    <t>0200-1743</t>
  </si>
  <si>
    <t>LEILA DA COSTA</t>
  </si>
  <si>
    <t>MERCADINHO DA LEILA</t>
  </si>
  <si>
    <t>RUA DA BANHA, 242</t>
  </si>
  <si>
    <t>-11.300278</t>
  </si>
  <si>
    <t>-41.864720</t>
  </si>
  <si>
    <t>(074) 99969-3366</t>
  </si>
  <si>
    <t>0200-1764</t>
  </si>
  <si>
    <t>GIRLEIDE SANTANA CARMO</t>
  </si>
  <si>
    <t>LEIDE LANCHE</t>
  </si>
  <si>
    <t>RUA RUA PROFESSORA MARIA NEIDE PALHA SOUZA, 29</t>
  </si>
  <si>
    <t>LOT PAULO FREIRE</t>
  </si>
  <si>
    <t>-11.295834</t>
  </si>
  <si>
    <t>-41.852500</t>
  </si>
  <si>
    <t>(074) 99996-2206</t>
  </si>
  <si>
    <t>0200-1770</t>
  </si>
  <si>
    <t>MANOEL BARRETO DE ARAUJO</t>
  </si>
  <si>
    <t>ESPETINHO DO LELECO</t>
  </si>
  <si>
    <t>PRA CHICO MENDES, 82</t>
  </si>
  <si>
    <t>-11.297735</t>
  </si>
  <si>
    <t>-41.851597</t>
  </si>
  <si>
    <t>(074) 99919-7910</t>
  </si>
  <si>
    <t>0200-1780</t>
  </si>
  <si>
    <t>MARCOS VINICIUS OLIVEIRA CARNEIRO</t>
  </si>
  <si>
    <t>BANANA CAFE       01</t>
  </si>
  <si>
    <t>RUA RUA REGIO EMILIA, 195</t>
  </si>
  <si>
    <t>-11.305453</t>
  </si>
  <si>
    <t>-41.856243</t>
  </si>
  <si>
    <t>(074) 99963-0034</t>
  </si>
  <si>
    <t>0200-1784</t>
  </si>
  <si>
    <t>RENATO OLIVEIRA RIBEIRO JUNIOR</t>
  </si>
  <si>
    <t>ACOUGUE DO RENATO</t>
  </si>
  <si>
    <t>RUA R JULIO PEREIRA NUNES</t>
  </si>
  <si>
    <t>-11.300647</t>
  </si>
  <si>
    <t>-41.860905</t>
  </si>
  <si>
    <t>(074) 99923-9986</t>
  </si>
  <si>
    <t>0200-1786</t>
  </si>
  <si>
    <t>CINTIA DE MACEDO RODRIGUES</t>
  </si>
  <si>
    <t>MERCADO RODRIGUES</t>
  </si>
  <si>
    <t>RUA R GUARARAPES, 270</t>
  </si>
  <si>
    <t>BAIXAO DE SINESIA</t>
  </si>
  <si>
    <t>-11.305094</t>
  </si>
  <si>
    <t>-41.836163</t>
  </si>
  <si>
    <t>(074) 99932-9216</t>
  </si>
  <si>
    <t>0200-1787</t>
  </si>
  <si>
    <t>MARIA JOSE M M SARAIVA</t>
  </si>
  <si>
    <t>HOTEL COPA 70</t>
  </si>
  <si>
    <t>ROD BA 052 RURAL, 1</t>
  </si>
  <si>
    <t>-11.287911</t>
  </si>
  <si>
    <t>-41.845905</t>
  </si>
  <si>
    <t>(074) 99984-7442</t>
  </si>
  <si>
    <t>0200-1797</t>
  </si>
  <si>
    <t>JOSEFA JOSEENE NUNES ME</t>
  </si>
  <si>
    <t>MERCADINHO SAO JOS01</t>
  </si>
  <si>
    <t>RUA CARLINDO MARQUES MOITINHO, 144</t>
  </si>
  <si>
    <t>-41.845207</t>
  </si>
  <si>
    <t>(074) 03641-2833</t>
  </si>
  <si>
    <t>0200-1800</t>
  </si>
  <si>
    <t>COMERCIAL DE CARNES BUIATI LTDA-ME</t>
  </si>
  <si>
    <t>VITRINE DAS CARNES01</t>
  </si>
  <si>
    <t>AV AV ADOLFO MOITINHO, 676</t>
  </si>
  <si>
    <t>-11.302549</t>
  </si>
  <si>
    <t>-41.849453</t>
  </si>
  <si>
    <t>(074) 99937-1487</t>
  </si>
  <si>
    <t>0200-1809</t>
  </si>
  <si>
    <t>FRANCISCO MARCOLINO SOBRINHO</t>
  </si>
  <si>
    <t>MERCADO MARCOLINO</t>
  </si>
  <si>
    <t>RUA R ANGELO P NUNES, 334</t>
  </si>
  <si>
    <t>-11.304081</t>
  </si>
  <si>
    <t>-41.866280</t>
  </si>
  <si>
    <t>(074) 99987-5183</t>
  </si>
  <si>
    <t>0200-1822</t>
  </si>
  <si>
    <t>BEATRIZ SOUSA DE ASSIS</t>
  </si>
  <si>
    <t>MERCADINHO VITORIA04</t>
  </si>
  <si>
    <t>RUA R JUSSARA, 98</t>
  </si>
  <si>
    <t>-11.309393</t>
  </si>
  <si>
    <t>-41.873447</t>
  </si>
  <si>
    <t>(074) 99975-4197</t>
  </si>
  <si>
    <t>0200-1824</t>
  </si>
  <si>
    <t>JOSE IRAM ALMEIDA BARRETO</t>
  </si>
  <si>
    <t>ADEGA DO IRAM</t>
  </si>
  <si>
    <t>AV GUARARAPES, 441</t>
  </si>
  <si>
    <t>-11.302747</t>
  </si>
  <si>
    <t>-41.844592</t>
  </si>
  <si>
    <t>0200-1831</t>
  </si>
  <si>
    <t>JAILSON DA COSTA SILVA</t>
  </si>
  <si>
    <t>MERCADO VIDA BELA</t>
  </si>
  <si>
    <t>RUA RUA K RES VIDA BELA, 125</t>
  </si>
  <si>
    <t>-11.325697</t>
  </si>
  <si>
    <t>-41.870377</t>
  </si>
  <si>
    <t>(074) 99958-7177</t>
  </si>
  <si>
    <t>0200-1836</t>
  </si>
  <si>
    <t>ESTELITA RAMOS PONTES SANTOS</t>
  </si>
  <si>
    <t>MERCEARIA DA ESTER</t>
  </si>
  <si>
    <t>RUA R JOQUIM MARIA, 296</t>
  </si>
  <si>
    <t>-11.299091</t>
  </si>
  <si>
    <t>-41.842620</t>
  </si>
  <si>
    <t>(074) 99924-9639</t>
  </si>
  <si>
    <t>0200-1838</t>
  </si>
  <si>
    <t>GLEIVIA RIOS GOMES</t>
  </si>
  <si>
    <t>PASTEL DO JAIRO   02</t>
  </si>
  <si>
    <t>AV AVENIDA ADOLFO MOITINHO, 613</t>
  </si>
  <si>
    <t>-11.302667</t>
  </si>
  <si>
    <t>-41.850082</t>
  </si>
  <si>
    <t>(074) 99117-5606</t>
  </si>
  <si>
    <t>0200-1842</t>
  </si>
  <si>
    <t>JVR DOS SANTOS</t>
  </si>
  <si>
    <t>MERCADO RIBEIRO 02</t>
  </si>
  <si>
    <t>RUA RUA A, 15</t>
  </si>
  <si>
    <t>-11.312925</t>
  </si>
  <si>
    <t>-41.876083</t>
  </si>
  <si>
    <t>(074) 99978-4384</t>
  </si>
  <si>
    <t>0200-1843</t>
  </si>
  <si>
    <t>COMERCIAL UNIAO DE ALIME E CONVE LTDA-ME</t>
  </si>
  <si>
    <t>BARBOSA CONVENIENCIA</t>
  </si>
  <si>
    <t>AV AV TERTULIANO CAMBUI, 164</t>
  </si>
  <si>
    <t>-11.304350</t>
  </si>
  <si>
    <t>-41.865834</t>
  </si>
  <si>
    <t>(740) 99976-0702</t>
  </si>
  <si>
    <t>0200-1855</t>
  </si>
  <si>
    <t>SUB IRECE ALIMENTOS LTDA ME</t>
  </si>
  <si>
    <t>SUBWAY 01</t>
  </si>
  <si>
    <t>AV AVENIDA ADOLFO MOITINHO, 230</t>
  </si>
  <si>
    <t>-11.303490</t>
  </si>
  <si>
    <t>-41.853626</t>
  </si>
  <si>
    <t>(074) 99804-6362</t>
  </si>
  <si>
    <t>0200-1856</t>
  </si>
  <si>
    <t>ADAO ANUNCIACAO DE OLIVEIRA</t>
  </si>
  <si>
    <t>SALGADOS DA FAMILIA</t>
  </si>
  <si>
    <t>AV DRR ANGELO DOURADO, 17</t>
  </si>
  <si>
    <t>-11.304930</t>
  </si>
  <si>
    <t>-41.858566</t>
  </si>
  <si>
    <t>(074) 09973-1372</t>
  </si>
  <si>
    <t>0200-1871</t>
  </si>
  <si>
    <t>PAULO CALEBE AZEVEDO GOIS</t>
  </si>
  <si>
    <t>PONTO DA ESFIRRA</t>
  </si>
  <si>
    <t>RUA JOSE ALVESS DE ANDRADE</t>
  </si>
  <si>
    <t>-11.303005</t>
  </si>
  <si>
    <t>-41.857480</t>
  </si>
  <si>
    <t>(074) 99936-1544</t>
  </si>
  <si>
    <t>0200-1882</t>
  </si>
  <si>
    <t>UELBER CAVALCANTE DE FIGUEREDO</t>
  </si>
  <si>
    <t>BAR DO UELBER</t>
  </si>
  <si>
    <t>RUA JOAQUIM AURELIANO FIGUEREDO, 15</t>
  </si>
  <si>
    <t>MOCOZEIRO 2</t>
  </si>
  <si>
    <t>-11.266464</t>
  </si>
  <si>
    <t>-41.789024</t>
  </si>
  <si>
    <t>(074) 99989-1205</t>
  </si>
  <si>
    <t>0200-1887</t>
  </si>
  <si>
    <t>VINICIUS FERNANDES CERQUEIRA</t>
  </si>
  <si>
    <t>MERCADO AVENIDA   01</t>
  </si>
  <si>
    <t>RUA MEIA HORA, 1</t>
  </si>
  <si>
    <t>-11.294766</t>
  </si>
  <si>
    <t>-41.819805</t>
  </si>
  <si>
    <t>(075) 99150-3997</t>
  </si>
  <si>
    <t>0200-1934</t>
  </si>
  <si>
    <t>JACIRLEIDE CANA VERDE DE ARAUJO</t>
  </si>
  <si>
    <t>LANCH KI DELICIA 02</t>
  </si>
  <si>
    <t>AV PRIMEIRO DE JANEIROO, 509</t>
  </si>
  <si>
    <t>-11.297634</t>
  </si>
  <si>
    <t>-41.845116</t>
  </si>
  <si>
    <t>(074) 99818-7779</t>
  </si>
  <si>
    <t>0200-1935</t>
  </si>
  <si>
    <t>JACIONE FERREIRA SANTOS RODRIGUES</t>
  </si>
  <si>
    <t>MERCADINH DA JACIONE</t>
  </si>
  <si>
    <t>RUA RUA RIO TAPAJOS, 116</t>
  </si>
  <si>
    <t>-11.313781</t>
  </si>
  <si>
    <t>-41.853577</t>
  </si>
  <si>
    <t>(074) 99933-6137</t>
  </si>
  <si>
    <t>0200-1945</t>
  </si>
  <si>
    <t>EDNETE SOUZA MOREIRA</t>
  </si>
  <si>
    <t>MERCADO DA EDNA</t>
  </si>
  <si>
    <t>RUA JOAQUIM MARIA, 379</t>
  </si>
  <si>
    <t>-11.299000</t>
  </si>
  <si>
    <t>-41.842655</t>
  </si>
  <si>
    <t>(074) 09999-0650</t>
  </si>
  <si>
    <t>0200-1972</t>
  </si>
  <si>
    <t>GLAUCIA ALVES DO NASCIMENTO SANTOS</t>
  </si>
  <si>
    <t>MERCEARIA CLARA</t>
  </si>
  <si>
    <t>RUA RUA CENTRAL, 27</t>
  </si>
  <si>
    <t>-11.306022</t>
  </si>
  <si>
    <t>-41.870472</t>
  </si>
  <si>
    <t>(074) 98836-7197</t>
  </si>
  <si>
    <t>0200-2014</t>
  </si>
  <si>
    <t>MARIA DO SOCORRO BARBOSA DA SILVA</t>
  </si>
  <si>
    <t>MERCADO JMWA</t>
  </si>
  <si>
    <t>RUA RUA F, 332</t>
  </si>
  <si>
    <t>-11.326045</t>
  </si>
  <si>
    <t>-41.868713</t>
  </si>
  <si>
    <t>(074) 99945-5662</t>
  </si>
  <si>
    <t>0200-2024</t>
  </si>
  <si>
    <t>ADELSON LEAL LIBORIO</t>
  </si>
  <si>
    <t>SERTAO FRANGO</t>
  </si>
  <si>
    <t>AV AVENIDA TERTULIANO CAMBUI, 12</t>
  </si>
  <si>
    <t>-11.302665</t>
  </si>
  <si>
    <t>-41.860146</t>
  </si>
  <si>
    <t>(074) 99962-1567</t>
  </si>
  <si>
    <t>0200-2031</t>
  </si>
  <si>
    <t>ATACADAO HORTIFRUTI LTDA</t>
  </si>
  <si>
    <t>ATACADAO HORTIFRUTI</t>
  </si>
  <si>
    <t>AV AVENIDA ADOLFO MOITINHO, 551</t>
  </si>
  <si>
    <t>-11.302672</t>
  </si>
  <si>
    <t>-41.850840</t>
  </si>
  <si>
    <t>(074) 99969-9275</t>
  </si>
  <si>
    <t>0200-2048</t>
  </si>
  <si>
    <t>ARTUR FELIPE LEAL DE OLIVEIRA</t>
  </si>
  <si>
    <t>SUPER ADEGA 01</t>
  </si>
  <si>
    <t>RUA RUA ADOLFO MOITINHO</t>
  </si>
  <si>
    <t>-11.295859</t>
  </si>
  <si>
    <t>-41.852943</t>
  </si>
  <si>
    <t>(074) 99971-6333</t>
  </si>
  <si>
    <t>0200-2050</t>
  </si>
  <si>
    <t>RAIMUNDO DE SOUSA LIMA</t>
  </si>
  <si>
    <t>MERCADINHO SOUSA</t>
  </si>
  <si>
    <t>RUA RUA GUARACY, 31</t>
  </si>
  <si>
    <t>-11.237268</t>
  </si>
  <si>
    <t>-41.754135</t>
  </si>
  <si>
    <t>(074) 99996-5656</t>
  </si>
  <si>
    <t>0200-2053</t>
  </si>
  <si>
    <t>SELMA OLIVEIRA MATOS</t>
  </si>
  <si>
    <t>JUNIOR LANCHES 02</t>
  </si>
  <si>
    <t>RUA RUA JULIO PEREIRA NUNES, 250</t>
  </si>
  <si>
    <t>-11.300384</t>
  </si>
  <si>
    <t>-41.861040</t>
  </si>
  <si>
    <t>(074) 99941-4047</t>
  </si>
  <si>
    <t>0200-2067</t>
  </si>
  <si>
    <t>DAVID DOS SANTOS</t>
  </si>
  <si>
    <t>MERCEARIA DO TITIO</t>
  </si>
  <si>
    <t>RUA RUA ROSITA SOARES LEAO, 28</t>
  </si>
  <si>
    <t>-11.300928</t>
  </si>
  <si>
    <t>-41.861855</t>
  </si>
  <si>
    <t>(074) 99957-2184</t>
  </si>
  <si>
    <t>0200-2068</t>
  </si>
  <si>
    <t>ATANAEL FERREIRA DE ALCANTARA</t>
  </si>
  <si>
    <t>DIVINO ACARAJE</t>
  </si>
  <si>
    <t>RUA RUA RIO CORUMBA, 417</t>
  </si>
  <si>
    <t>-11.311426</t>
  </si>
  <si>
    <t>-41.851257</t>
  </si>
  <si>
    <t>(074) 99943-5728</t>
  </si>
  <si>
    <t>0200-2084</t>
  </si>
  <si>
    <t>MARCIA DELUCIA FIGUEIREDO LOPES FERREIRA</t>
  </si>
  <si>
    <t>CHURR BODE E CIA</t>
  </si>
  <si>
    <t>PRC PRACA CLERISTON ANDRADE, 20</t>
  </si>
  <si>
    <t>-11.301723</t>
  </si>
  <si>
    <t>-41.854187</t>
  </si>
  <si>
    <t>(074) 99999-8820</t>
  </si>
  <si>
    <t>0200-2085</t>
  </si>
  <si>
    <t>GENIVALDO GOTARDO DA SILVA</t>
  </si>
  <si>
    <t>LANCHES E CIA</t>
  </si>
  <si>
    <t>RUA RUA CORONEL TERENCIO DOURADO, 208</t>
  </si>
  <si>
    <t>-11.305427</t>
  </si>
  <si>
    <t>-41.858074</t>
  </si>
  <si>
    <t>(077) 99941-9467</t>
  </si>
  <si>
    <t>0200-2086</t>
  </si>
  <si>
    <t>GINALDO DOS SANTOS PEREIRA</t>
  </si>
  <si>
    <t>GDS BEBIDAS DOCE</t>
  </si>
  <si>
    <t>RUA R ANTONIO OTAVIANO DOURADO, 401</t>
  </si>
  <si>
    <t>-11.303869</t>
  </si>
  <si>
    <t>-41.850002</t>
  </si>
  <si>
    <t>(074) 99808-2665</t>
  </si>
  <si>
    <t>0200-2087</t>
  </si>
  <si>
    <t>LORENNA SILVA MOITINHO</t>
  </si>
  <si>
    <t>MERCADINHO LM 02</t>
  </si>
  <si>
    <t>RUA R BARROS REIS, 186</t>
  </si>
  <si>
    <t>ALTO DO MOURA</t>
  </si>
  <si>
    <t>-11.299362</t>
  </si>
  <si>
    <t>-41.847473</t>
  </si>
  <si>
    <t>(074) 99928-4802</t>
  </si>
  <si>
    <t>0200-2089</t>
  </si>
  <si>
    <t>ERIVAN ARAUJO DANTAS</t>
  </si>
  <si>
    <t>UNIVERSO DOS SALGADO</t>
  </si>
  <si>
    <t>RUA RUA AURELIO JOSE MARQUES, 13</t>
  </si>
  <si>
    <t>-11.302530</t>
  </si>
  <si>
    <t>(011) 99937-1007</t>
  </si>
  <si>
    <t>0200-2091</t>
  </si>
  <si>
    <t>JACQUELINE LEITE DA SILVA</t>
  </si>
  <si>
    <t>MERCADINHO NASCIMENT</t>
  </si>
  <si>
    <t>RUA RUA SENHOR DO BOMFIM, 235</t>
  </si>
  <si>
    <t>-11.291882</t>
  </si>
  <si>
    <t>-41.852860</t>
  </si>
  <si>
    <t>(074) 99952-3543</t>
  </si>
  <si>
    <t>0200-2099</t>
  </si>
  <si>
    <t>ERLANIA BATISTA NUNES</t>
  </si>
  <si>
    <t>NUNES SALGADOS</t>
  </si>
  <si>
    <t>RUA RUA PROFESSOR JOEL LOPES, 414</t>
  </si>
  <si>
    <t>-11.303557</t>
  </si>
  <si>
    <t>-41.864420</t>
  </si>
  <si>
    <t>(074) 99926-6738</t>
  </si>
  <si>
    <t>0200-2100</t>
  </si>
  <si>
    <t>ITANAI SANTANA SILVA</t>
  </si>
  <si>
    <t>MERCADINHO IDEAL 03</t>
  </si>
  <si>
    <t>AV AVENIDA RAIMUNDO BOMFIMM, 364</t>
  </si>
  <si>
    <t>-11.309658</t>
  </si>
  <si>
    <t>-41.862106</t>
  </si>
  <si>
    <t>(074) 99956-4913</t>
  </si>
  <si>
    <t>0200-2103</t>
  </si>
  <si>
    <t>RAFAEL BATISTA DE ALMEIDA</t>
  </si>
  <si>
    <t>MERCADINHO ALMEIDA05</t>
  </si>
  <si>
    <t>AV AVENIDA PROFESSOR JOAEL AMERICANO LOPES, 743</t>
  </si>
  <si>
    <t>-11.303489</t>
  </si>
  <si>
    <t>-41.867200</t>
  </si>
  <si>
    <t>(074) 99998-9706</t>
  </si>
  <si>
    <t>0200-2105</t>
  </si>
  <si>
    <t>MARCELO MARTINS DE OLIVEIRA</t>
  </si>
  <si>
    <t>GRACA LANCHES 01</t>
  </si>
  <si>
    <t>RUA RUA HERCULANO DOURADO, 48</t>
  </si>
  <si>
    <t>-11.303309</t>
  </si>
  <si>
    <t>-41.857773</t>
  </si>
  <si>
    <t>(074) 03641-1745</t>
  </si>
  <si>
    <t>0200-2132</t>
  </si>
  <si>
    <t>GISLEIDE DE SOUZA</t>
  </si>
  <si>
    <t>MEIC DA GISLANE</t>
  </si>
  <si>
    <t>RUA RUA NOVA CANAA, 386</t>
  </si>
  <si>
    <t>-11.303773</t>
  </si>
  <si>
    <t>-41.845387</t>
  </si>
  <si>
    <t>(074) 99975-6365</t>
  </si>
  <si>
    <t>0200-2134</t>
  </si>
  <si>
    <t>PABLO PEDRO TEIXEIRA</t>
  </si>
  <si>
    <t>LANCHONETE TEXEIRA</t>
  </si>
  <si>
    <t>RUA RUA RIO PARNAIBA, 237</t>
  </si>
  <si>
    <t>-11.309456</t>
  </si>
  <si>
    <t>-41.848053</t>
  </si>
  <si>
    <t>(074) 98865-2590</t>
  </si>
  <si>
    <t>0200-2135</t>
  </si>
  <si>
    <t>DERMIVALDO NUNES FERNANDES</t>
  </si>
  <si>
    <t>MERCADO FERNANDES 01</t>
  </si>
  <si>
    <t>PRC PRACA DO COMERCIO POV ANGICAL, 9</t>
  </si>
  <si>
    <t>-11.238346</t>
  </si>
  <si>
    <t>-41.754470</t>
  </si>
  <si>
    <t>(074) 99931-5099</t>
  </si>
  <si>
    <t>0200-2145</t>
  </si>
  <si>
    <t>SILVA E MARTINS COM DE ALIMENTOS LTDA</t>
  </si>
  <si>
    <t>OFERTAO SUPERMERCADO</t>
  </si>
  <si>
    <t>AV AVENIDA CENTRAL BRAULIO CARDOSO VIANA, 113</t>
  </si>
  <si>
    <t>-11.382493</t>
  </si>
  <si>
    <t>-41.833344</t>
  </si>
  <si>
    <t>(074) 03641-1645</t>
  </si>
  <si>
    <t>0200-2152</t>
  </si>
  <si>
    <t>CARLOS ALBERTO ALVES DO NASCIMENTO JR</t>
  </si>
  <si>
    <t>BRAVO PIZZARIA</t>
  </si>
  <si>
    <t>AV AVENIDA RAIMUNDO BONFIM, 502</t>
  </si>
  <si>
    <t>-11.309496</t>
  </si>
  <si>
    <t>-41.863270</t>
  </si>
  <si>
    <t>(074) 99971-2258</t>
  </si>
  <si>
    <t>0200-2164</t>
  </si>
  <si>
    <t>JOSE GOMES DA SILVA</t>
  </si>
  <si>
    <t>CASA DO REQUIJAO</t>
  </si>
  <si>
    <t>RUA RUA ROSA LOPES SOARES, 22</t>
  </si>
  <si>
    <t>-11.304898</t>
  </si>
  <si>
    <t>-41.849140</t>
  </si>
  <si>
    <t>(074) 99971-3833</t>
  </si>
  <si>
    <t>0200-2172</t>
  </si>
  <si>
    <t>DANILO EVANGELISTA DE FIGUEREDO</t>
  </si>
  <si>
    <t>LIDER MERCADO</t>
  </si>
  <si>
    <t>RUA RUA F IEDA 3, 277</t>
  </si>
  <si>
    <t>-11.294780</t>
  </si>
  <si>
    <t>-41.864197</t>
  </si>
  <si>
    <t>(074) 99943-9904</t>
  </si>
  <si>
    <t>0200-2174</t>
  </si>
  <si>
    <t>GEAN EVANGELISTA DE FIGUEREDO</t>
  </si>
  <si>
    <t>MERCADINHO EVARISTO</t>
  </si>
  <si>
    <t>RUA RUA G LOT IEDA 3, 58</t>
  </si>
  <si>
    <t>-11.294910</t>
  </si>
  <si>
    <t>-41.862260</t>
  </si>
  <si>
    <t>(074) 99966-8221</t>
  </si>
  <si>
    <t>0200-2178</t>
  </si>
  <si>
    <t>MARIA ELIENE MELO SANTOS ALVES</t>
  </si>
  <si>
    <t>REST CH MELHOR SABOR</t>
  </si>
  <si>
    <t>RUA RUA ARISTIDES MOITINHO, 135</t>
  </si>
  <si>
    <t>-11.303867</t>
  </si>
  <si>
    <t>-41.858120</t>
  </si>
  <si>
    <t>(074) 98841-6499</t>
  </si>
  <si>
    <t>0200-2192</t>
  </si>
  <si>
    <t>ROBSON FELIX BASILIO</t>
  </si>
  <si>
    <t>MEGA BOLO</t>
  </si>
  <si>
    <t>AV AVENIDA ADOLFO MOITINHO, 363</t>
  </si>
  <si>
    <t>-11.303090</t>
  </si>
  <si>
    <t>-41.852670</t>
  </si>
  <si>
    <t>(074) 99188-7784</t>
  </si>
  <si>
    <t>0200-2207</t>
  </si>
  <si>
    <t>HIPER MERCADO CORACAO LTDA</t>
  </si>
  <si>
    <t>HIPERMERC DO CORACAO</t>
  </si>
  <si>
    <t>AV PRIMEIRO DE JANEIRO, 394</t>
  </si>
  <si>
    <t>-11.307793</t>
  </si>
  <si>
    <t>-41.851456</t>
  </si>
  <si>
    <t>(074) 99934-5109</t>
  </si>
  <si>
    <t>0200-2209</t>
  </si>
  <si>
    <t>MARCELO RIBEIRO DE ARAUJO</t>
  </si>
  <si>
    <t>BARCELO BEBIDAS</t>
  </si>
  <si>
    <t>AV AVENIDA PRIMEIRO DE JANEIRO, 535</t>
  </si>
  <si>
    <t>-11.307919</t>
  </si>
  <si>
    <t>-41.852240</t>
  </si>
  <si>
    <t>(074) 99981-9284</t>
  </si>
  <si>
    <t>0200-2216</t>
  </si>
  <si>
    <t>JILEADE RAMOS PEREIRA</t>
  </si>
  <si>
    <t>JA MERCADINHO</t>
  </si>
  <si>
    <t>RUA RUA A</t>
  </si>
  <si>
    <t>SAO JOSE 3</t>
  </si>
  <si>
    <t>-11.305346</t>
  </si>
  <si>
    <t>-41.843636</t>
  </si>
  <si>
    <t>(074) 99994-7934</t>
  </si>
  <si>
    <t>0200-2232</t>
  </si>
  <si>
    <t>ALINE NUNES MORAIS DOURADO</t>
  </si>
  <si>
    <t>FORNERIA PIZZA GOUR</t>
  </si>
  <si>
    <t>ROD ROD BA 052 KM 354</t>
  </si>
  <si>
    <t>RODOVIA</t>
  </si>
  <si>
    <t>-11.287810</t>
  </si>
  <si>
    <t>-41.846096</t>
  </si>
  <si>
    <t>(074) 99924-2998</t>
  </si>
  <si>
    <t>0200-2235</t>
  </si>
  <si>
    <t>DANIELA DE SOUZA DINO</t>
  </si>
  <si>
    <t>SALAO DANY DINO</t>
  </si>
  <si>
    <t>AV AVENIDA RAIMUNDO BOMFIM, 450</t>
  </si>
  <si>
    <t>-11.309665</t>
  </si>
  <si>
    <t>-41.863258</t>
  </si>
  <si>
    <t>(074) 99931-6383</t>
  </si>
  <si>
    <t>0200-2257</t>
  </si>
  <si>
    <t>REINIVALDO SATIRO MONZINI JUNIOR</t>
  </si>
  <si>
    <t>MERCADO MORAIS</t>
  </si>
  <si>
    <t>TRV TRAVESSA 2 DA RUA LAGEDO, 21</t>
  </si>
  <si>
    <t>-11.297421</t>
  </si>
  <si>
    <t>-41.855526</t>
  </si>
  <si>
    <t>(074) 99999-4139</t>
  </si>
  <si>
    <t>0200-2273</t>
  </si>
  <si>
    <t>LUANA BENICIO DE MATOS</t>
  </si>
  <si>
    <t>POINT DA COMIDA CASE</t>
  </si>
  <si>
    <t>RUA PROFESSORA ZENALIA DOURADO LOPES, 38</t>
  </si>
  <si>
    <t>-11.303257</t>
  </si>
  <si>
    <t>-41.851089</t>
  </si>
  <si>
    <t>(074) 99986-8731</t>
  </si>
  <si>
    <t>0200-2276</t>
  </si>
  <si>
    <t>FRANCISCO ELISIO SOBRINHO</t>
  </si>
  <si>
    <t>PADAR CAFE DA MANHA</t>
  </si>
  <si>
    <t>RUA RUA IBIPEBA, 21</t>
  </si>
  <si>
    <t>-11.306945</t>
  </si>
  <si>
    <t>-41.870556</t>
  </si>
  <si>
    <t>(074) 99930-8449</t>
  </si>
  <si>
    <t>0200-2277</t>
  </si>
  <si>
    <t>CHEILE DOS SANTOS GOMES</t>
  </si>
  <si>
    <t>LANCHONETE GUARARAPE</t>
  </si>
  <si>
    <t>RUA RUA JOAO DOURADO, 15</t>
  </si>
  <si>
    <t>-11.302220</t>
  </si>
  <si>
    <t>-41.855186</t>
  </si>
  <si>
    <t>(074) 99950-6577</t>
  </si>
  <si>
    <t>0200-2279</t>
  </si>
  <si>
    <t>CLAUDIANA LOPES DOS SANTOS</t>
  </si>
  <si>
    <t>UNIVERSO DOS SALG 3</t>
  </si>
  <si>
    <t>RUA RUA ARISTIDES MOITINHO, 13</t>
  </si>
  <si>
    <t>-11.303708</t>
  </si>
  <si>
    <t>-41.856440</t>
  </si>
  <si>
    <t>(074) 99939-8327</t>
  </si>
  <si>
    <t>0200-2293</t>
  </si>
  <si>
    <t>MISAEL BARBOSA DOS REIS</t>
  </si>
  <si>
    <t>MERCADO SANTA LUZIA</t>
  </si>
  <si>
    <t>RUA ROSITA S LEAO, 645</t>
  </si>
  <si>
    <t>-11.301259</t>
  </si>
  <si>
    <t>-41.862915</t>
  </si>
  <si>
    <t>0200-2301</t>
  </si>
  <si>
    <t>MARIA OLIVIA SEIXAS DOURADO</t>
  </si>
  <si>
    <t>REST BOM GOSTO</t>
  </si>
  <si>
    <t>RUA LAURO BARRETO, 59</t>
  </si>
  <si>
    <t>-11.303056</t>
  </si>
  <si>
    <t>-41.854720</t>
  </si>
  <si>
    <t>(074) 99130-2806</t>
  </si>
  <si>
    <t>0200-2302</t>
  </si>
  <si>
    <t>DAMIAO SOUZA DOS SANTOS</t>
  </si>
  <si>
    <t>MERCADINHO SOUZA 08</t>
  </si>
  <si>
    <t>RUA RUA DOIS, 28</t>
  </si>
  <si>
    <t>-11.313333</t>
  </si>
  <si>
    <t>-41.874720</t>
  </si>
  <si>
    <t>(074) 99997-7662</t>
  </si>
  <si>
    <t>0200-2304</t>
  </si>
  <si>
    <t>ELIEZER NUNES VIEIRA</t>
  </si>
  <si>
    <t>ZEZINHO CASA DE CARN</t>
  </si>
  <si>
    <t>PRC PRACA DO COMERCIO, 35</t>
  </si>
  <si>
    <t>-11.335556</t>
  </si>
  <si>
    <t>(074) 99961-3494</t>
  </si>
  <si>
    <t>0200-2311</t>
  </si>
  <si>
    <t>KIMAIR BARRETO DE CARVALHO</t>
  </si>
  <si>
    <t>DISTRIBUIDORA KIMAIR</t>
  </si>
  <si>
    <t>AV AVENIDA 1 DE JANEIRO, 145</t>
  </si>
  <si>
    <t>-11.305560</t>
  </si>
  <si>
    <t>-41.849880</t>
  </si>
  <si>
    <t>(074) 98843-5365</t>
  </si>
  <si>
    <t>0200-2323</t>
  </si>
  <si>
    <t>RENATA FRANCISCA DOS SANTOS</t>
  </si>
  <si>
    <t>HIPER MERCADO FILHO</t>
  </si>
  <si>
    <t>SAO GABRIEL</t>
  </si>
  <si>
    <t>RUA JACINTO R LEITE, 3</t>
  </si>
  <si>
    <t>NOVA BRASILIA</t>
  </si>
  <si>
    <t>-11.229337</t>
  </si>
  <si>
    <t>-41.873320</t>
  </si>
  <si>
    <t>(074) 99909-2370</t>
  </si>
  <si>
    <t>0200-2332</t>
  </si>
  <si>
    <t>BL HAMBURGUERIA LTDA</t>
  </si>
  <si>
    <t>BOBS IRECE</t>
  </si>
  <si>
    <t>AV PRIMEIRO DE JANEIRO, 600</t>
  </si>
  <si>
    <t>-11.308081</t>
  </si>
  <si>
    <t>-41.853092</t>
  </si>
  <si>
    <t>(071) 99611-6000</t>
  </si>
  <si>
    <t>0200-2335</t>
  </si>
  <si>
    <t>JOSE CARLOS DOS SANTOS DAVID</t>
  </si>
  <si>
    <t>SUSHI JAPA</t>
  </si>
  <si>
    <t>AV PRIMEIRO DE JANEIROO, 9</t>
  </si>
  <si>
    <t>-11.307499</t>
  </si>
  <si>
    <t>-41.851933</t>
  </si>
  <si>
    <t>(074) 99917-5690</t>
  </si>
  <si>
    <t>0200-2359</t>
  </si>
  <si>
    <t>ICARO GEOVANE FERNANDES LEITE</t>
  </si>
  <si>
    <t>ICARO FUCIONARIO</t>
  </si>
  <si>
    <t>RUA JOSE TIBURCIO, 219</t>
  </si>
  <si>
    <t>-11.306130</t>
  </si>
  <si>
    <t>(077) 99944-5443</t>
  </si>
  <si>
    <t>0200-2386</t>
  </si>
  <si>
    <t>BENIVAL JOSE GOMES</t>
  </si>
  <si>
    <t>MERCADO JOSE</t>
  </si>
  <si>
    <t>RUA RUA DA BANHA, 425</t>
  </si>
  <si>
    <t>-11.300276</t>
  </si>
  <si>
    <t>-41.864784</t>
  </si>
  <si>
    <t>(074) 99802-2980</t>
  </si>
  <si>
    <t>0200-2393</t>
  </si>
  <si>
    <t>GISELLE MIRANDA DOS SANTOS</t>
  </si>
  <si>
    <t>MERCADINHO ROCHA 06</t>
  </si>
  <si>
    <t>RUA RUA ANTONIO DOURADO, 94</t>
  </si>
  <si>
    <t>-41.860832</t>
  </si>
  <si>
    <t>(074) 99905-9351</t>
  </si>
  <si>
    <t>0200-2398</t>
  </si>
  <si>
    <t>TEREZINHA DA SILVA SOUZA</t>
  </si>
  <si>
    <t>ESKINA NORDESTINA</t>
  </si>
  <si>
    <t>BOX BOX 62 MERCADAO</t>
  </si>
  <si>
    <t>-11.301036</t>
  </si>
  <si>
    <t>-41.861410</t>
  </si>
  <si>
    <t>(074) 99938-6665</t>
  </si>
  <si>
    <t>0200-2409</t>
  </si>
  <si>
    <t>RAISSA RIBEIRO MELO</t>
  </si>
  <si>
    <t>ADEGA LENGO TENGO</t>
  </si>
  <si>
    <t>AV AVENIDA 01 DE JANEIRO, 136</t>
  </si>
  <si>
    <t>-11.305202</t>
  </si>
  <si>
    <t>-41.849498</t>
  </si>
  <si>
    <t>(074) 99942-9340</t>
  </si>
  <si>
    <t>0200-2412</t>
  </si>
  <si>
    <t>JUCILEIDE PIRES DOS SANTOS</t>
  </si>
  <si>
    <t>KITANDA DA JU</t>
  </si>
  <si>
    <t>RUA RUA NICOLAU COPER, 85</t>
  </si>
  <si>
    <t>VILA FELIX</t>
  </si>
  <si>
    <t>-11.307500</t>
  </si>
  <si>
    <t>-41.873055</t>
  </si>
  <si>
    <t>(074) 99807-9906</t>
  </si>
  <si>
    <t>0200-2413</t>
  </si>
  <si>
    <t>MARIA HELENA RODRIGUES DE SANTANA</t>
  </si>
  <si>
    <t>BAR DA HELENA</t>
  </si>
  <si>
    <t>RUA RUA MEIA HORA, 9999</t>
  </si>
  <si>
    <t>-41.817223</t>
  </si>
  <si>
    <t>(074) 99998-1936</t>
  </si>
  <si>
    <t>0200-2431</t>
  </si>
  <si>
    <t>EDER SOUSA COSTA</t>
  </si>
  <si>
    <t>SALVADOR MOQUECAS</t>
  </si>
  <si>
    <t>RUA RUA FRANKLIN OLIVEIRA, 35</t>
  </si>
  <si>
    <t>-11.304710</t>
  </si>
  <si>
    <t>-41.849480</t>
  </si>
  <si>
    <t>(071) 99997-4652</t>
  </si>
  <si>
    <t>0200-2447</t>
  </si>
  <si>
    <t>OSEIAS BARBOSA NASCIMENTO</t>
  </si>
  <si>
    <t>MERCADO MUNDIAL   01</t>
  </si>
  <si>
    <t>RUA RUA CENTRAL FUNDACAO BRADESCO, 61</t>
  </si>
  <si>
    <t>-11.307532</t>
  </si>
  <si>
    <t>-41.870320</t>
  </si>
  <si>
    <t>(074) 99985-9916</t>
  </si>
  <si>
    <t>0200-2463</t>
  </si>
  <si>
    <t>TONI RAMOS FERREIRA SERAFIM</t>
  </si>
  <si>
    <t>REST SERTAO CAIPIR01</t>
  </si>
  <si>
    <t>RUA RUA H LOTEAMENTO BOM SUCESSO, 128</t>
  </si>
  <si>
    <t>-11.307295</t>
  </si>
  <si>
    <t>-41.876780</t>
  </si>
  <si>
    <t>(074) 99919-1588</t>
  </si>
  <si>
    <t>0200-2492</t>
  </si>
  <si>
    <t>R DA SILVA BRISIO COMERCIAL DE ALIMENTOS</t>
  </si>
  <si>
    <t>MERCADO ROCHA II</t>
  </si>
  <si>
    <t>RUA RUA 02, 630</t>
  </si>
  <si>
    <t>-11.311705</t>
  </si>
  <si>
    <t>-41.873833</t>
  </si>
  <si>
    <t>(074) 98801-5503</t>
  </si>
  <si>
    <t>0200-2497</t>
  </si>
  <si>
    <t>JOSE MILTON CORDEIRO BARRETO</t>
  </si>
  <si>
    <t>REST SABOR REGIONAL</t>
  </si>
  <si>
    <t>AV AVENIDA ADOLFO MOITINHO, 421</t>
  </si>
  <si>
    <t>-11.303862</t>
  </si>
  <si>
    <t>-41.851540</t>
  </si>
  <si>
    <t>(074) 99801-4321</t>
  </si>
  <si>
    <t>0200-2500</t>
  </si>
  <si>
    <t>TIAGO OLIVEIRA DOS SANTOS</t>
  </si>
  <si>
    <t>OLIVEIRA FRIOS</t>
  </si>
  <si>
    <t>RUA RUA 2, 335</t>
  </si>
  <si>
    <t>-11.311007</t>
  </si>
  <si>
    <t>-41.873238</t>
  </si>
  <si>
    <t>(074) 99900-1929</t>
  </si>
  <si>
    <t>0200-2506</t>
  </si>
  <si>
    <t>JALDEMARIO MARQUES DOURADO</t>
  </si>
  <si>
    <t>MAC JONAS         01</t>
  </si>
  <si>
    <t>RUA RUA HERCULANO DOURADO, 69</t>
  </si>
  <si>
    <t>-11.304301</t>
  </si>
  <si>
    <t>-41.857130</t>
  </si>
  <si>
    <t>(074) 99910-5179</t>
  </si>
  <si>
    <t>0200-2508</t>
  </si>
  <si>
    <t>ALBERTINA NUNES MAGALHAES SILVA</t>
  </si>
  <si>
    <t>MERCA E DISTRI NUNES</t>
  </si>
  <si>
    <t>AV AVENIDA GUARARAPES, 271</t>
  </si>
  <si>
    <t>FORTALEZA</t>
  </si>
  <si>
    <t>-11.304112</t>
  </si>
  <si>
    <t>-41.840640</t>
  </si>
  <si>
    <t>(074) 99939-1842</t>
  </si>
  <si>
    <t>0200-2511</t>
  </si>
  <si>
    <t>MARCOS MESSIAS DE SOUZA SILVA</t>
  </si>
  <si>
    <t>PIZZARIA RENASCER 02</t>
  </si>
  <si>
    <t>RUA FERNANDO MACHADO, 688</t>
  </si>
  <si>
    <t>-11.309525</t>
  </si>
  <si>
    <t>-41.864357</t>
  </si>
  <si>
    <t>(074) 99984-7539</t>
  </si>
  <si>
    <t>0200-2514</t>
  </si>
  <si>
    <t>CLEBER BARRETO GONSALVES</t>
  </si>
  <si>
    <t>YOSHI RESTAURANTE</t>
  </si>
  <si>
    <t>PRC PRACA JOAO XXIII, 68</t>
  </si>
  <si>
    <t>-11.304349</t>
  </si>
  <si>
    <t>-41.856155</t>
  </si>
  <si>
    <t>(074) 99937-4341</t>
  </si>
  <si>
    <t>0200-2525</t>
  </si>
  <si>
    <t>GONZALEZ 2 GASTRONOMIA</t>
  </si>
  <si>
    <t>ALECRIM GONZALEZ</t>
  </si>
  <si>
    <t>RUA RUA RIO SAO FRANCISCO, 385</t>
  </si>
  <si>
    <t>-11.311204</t>
  </si>
  <si>
    <t>-41.849037</t>
  </si>
  <si>
    <t>(071) 98799-4995</t>
  </si>
  <si>
    <t>0200-2526</t>
  </si>
  <si>
    <t>LEILANE SOUZA DE ANDRADE</t>
  </si>
  <si>
    <t>POSTO LAVAGEM N GR01</t>
  </si>
  <si>
    <t>RUA RUA RIO CORUMBA, 155</t>
  </si>
  <si>
    <t>-11.309906</t>
  </si>
  <si>
    <t>-41.852406</t>
  </si>
  <si>
    <t>(074) 99978-9902</t>
  </si>
  <si>
    <t>0200-2542</t>
  </si>
  <si>
    <t>VALMIR LEITE BARBOSA</t>
  </si>
  <si>
    <t>PREMIUM ALIM E BEBID</t>
  </si>
  <si>
    <t>AV AVENIDA SANTOS LOPES 1656, 1656</t>
  </si>
  <si>
    <t>-11.288943</t>
  </si>
  <si>
    <t>-41.848960</t>
  </si>
  <si>
    <t>(074) 99973-7550</t>
  </si>
  <si>
    <t>0200-2546</t>
  </si>
  <si>
    <t>ISAENE SOARES DE OLIVEIRA MIRANDA</t>
  </si>
  <si>
    <t>ESPETIN VELHO CHICO</t>
  </si>
  <si>
    <t>AV PRIMEIRO DE JANEIRO, 235</t>
  </si>
  <si>
    <t>-11.305221</t>
  </si>
  <si>
    <t>-41.849613</t>
  </si>
  <si>
    <t>(074) 99952-7574</t>
  </si>
  <si>
    <t>0200-2553</t>
  </si>
  <si>
    <t>ROMULO MIRON DOURADO</t>
  </si>
  <si>
    <t>BOTECO DO NENZAO</t>
  </si>
  <si>
    <t>RUA JARDIM EUROPA, 87</t>
  </si>
  <si>
    <t>JARDIM EUROPA</t>
  </si>
  <si>
    <t>-11.309346</t>
  </si>
  <si>
    <t>-41.843326</t>
  </si>
  <si>
    <t>(074) 99971-0830</t>
  </si>
  <si>
    <t>0200-2557</t>
  </si>
  <si>
    <t>MANA POUSADA E COMERCIO DE ALIMENTOS</t>
  </si>
  <si>
    <t>MANA POUSADA E PIZZA</t>
  </si>
  <si>
    <t>AV AVENIDA ADOLFO MOITINHO, 745</t>
  </si>
  <si>
    <t>-11.302139</t>
  </si>
  <si>
    <t>-41.848137</t>
  </si>
  <si>
    <t>(083) 99921-5792</t>
  </si>
  <si>
    <t>0200-2563</t>
  </si>
  <si>
    <t>MYRLLA RACHEL CANDIDO FLORENCIO</t>
  </si>
  <si>
    <t>MERCADO POPULAR   01</t>
  </si>
  <si>
    <t>RUA RUA RIO TAPAJOS 205 A, 205</t>
  </si>
  <si>
    <t>-11.313516</t>
  </si>
  <si>
    <t>-41.852512</t>
  </si>
  <si>
    <t>(074) 99998-3798</t>
  </si>
  <si>
    <t>0200-2565</t>
  </si>
  <si>
    <t>PAULO KATAIAN OLIVEIRA DE MORAES</t>
  </si>
  <si>
    <t>MERCADINHO VIVENDA01</t>
  </si>
  <si>
    <t>CAM CAMINHO 1, 12</t>
  </si>
  <si>
    <t>VIVENDAS</t>
  </si>
  <si>
    <t>-11.308820</t>
  </si>
  <si>
    <t>-41.845695</t>
  </si>
  <si>
    <t>(074) 99988-3003</t>
  </si>
  <si>
    <t>0200-2567</t>
  </si>
  <si>
    <t>RONALDO MIRON DOURADO</t>
  </si>
  <si>
    <t>SERTAO FIRE</t>
  </si>
  <si>
    <t>AV AVENIDA PRIMEIRO DE JANEIRO, 594</t>
  </si>
  <si>
    <t>-11.307665</t>
  </si>
  <si>
    <t>-41.852314</t>
  </si>
  <si>
    <t>(074) 99979-1313</t>
  </si>
  <si>
    <t>0200-2579</t>
  </si>
  <si>
    <t>LANCHONETE BOM SALGADO LTDA</t>
  </si>
  <si>
    <t>BOM SALGADO</t>
  </si>
  <si>
    <t>RUA RUA AURELIO JOSE MARQUES, 87</t>
  </si>
  <si>
    <t>-11.302464</t>
  </si>
  <si>
    <t>-41.859150</t>
  </si>
  <si>
    <t>(074) 99931-9846</t>
  </si>
  <si>
    <t>0200-2580</t>
  </si>
  <si>
    <t>BL GELADOS E SORVETES LTDA</t>
  </si>
  <si>
    <t>BL GELADOS E SORVETE</t>
  </si>
  <si>
    <t>PRC PRACA DO CALCADAO, 1</t>
  </si>
  <si>
    <t>-11.303096</t>
  </si>
  <si>
    <t>-41.858746</t>
  </si>
  <si>
    <t>0200-2585</t>
  </si>
  <si>
    <t>SUPERMERCADO DULAR LTDA</t>
  </si>
  <si>
    <t>SUPERMERCADO DULAR01</t>
  </si>
  <si>
    <t>RUA RUA JUSSARA, 150</t>
  </si>
  <si>
    <t>COSTA</t>
  </si>
  <si>
    <t>-11.308609</t>
  </si>
  <si>
    <t>-41.869656</t>
  </si>
  <si>
    <t>(074) 99989-3847</t>
  </si>
  <si>
    <t>0200-2593</t>
  </si>
  <si>
    <t>ROMERO DA SILVA VENANCIO</t>
  </si>
  <si>
    <t>CONVENIENCIA R E</t>
  </si>
  <si>
    <t>RUA JURITI, 11</t>
  </si>
  <si>
    <t>-11.323203</t>
  </si>
  <si>
    <t>(074) 99975-6450</t>
  </si>
  <si>
    <t>0200-2595</t>
  </si>
  <si>
    <t>CLEMES SANTOS DA SILVA</t>
  </si>
  <si>
    <t>ADEGA BEER        01</t>
  </si>
  <si>
    <t>DIS DISTRITO RUA JACINTO FIGUEREDO</t>
  </si>
  <si>
    <t>-11.240711</t>
  </si>
  <si>
    <t>-41.755500</t>
  </si>
  <si>
    <t>(074) 99985-2305</t>
  </si>
  <si>
    <t>0200-2603</t>
  </si>
  <si>
    <t>LEONARDO CARDOSO DE OLIVEIRA</t>
  </si>
  <si>
    <t>ADEGA REFUGIO BEER</t>
  </si>
  <si>
    <t>ROD RODOVIA BA 148, 1190</t>
  </si>
  <si>
    <t>VILA ESPERANCA</t>
  </si>
  <si>
    <t>-11.325731</t>
  </si>
  <si>
    <t>-41.862530</t>
  </si>
  <si>
    <t>(074) 99962-2251</t>
  </si>
  <si>
    <t>0200-2604</t>
  </si>
  <si>
    <t>ORMITO LOPES DA SILVA</t>
  </si>
  <si>
    <t>DELICIAS NORDESTINA</t>
  </si>
  <si>
    <t>RUA RUA ROSITA SOARES LEAO, 131</t>
  </si>
  <si>
    <t>-11.301360</t>
  </si>
  <si>
    <t>-41.862186</t>
  </si>
  <si>
    <t>(077) 99802-9678</t>
  </si>
  <si>
    <t>0200-2607</t>
  </si>
  <si>
    <t>TALITA RODRIGUES CONFEITARIA LTDA</t>
  </si>
  <si>
    <t>LA BOLERIA 1987</t>
  </si>
  <si>
    <t>AV PRIMEIRO DE JANEIRO, 350</t>
  </si>
  <si>
    <t>-11.307017</t>
  </si>
  <si>
    <t>-41.851190</t>
  </si>
  <si>
    <t>(074) 99928-2800</t>
  </si>
  <si>
    <t>0200-2618</t>
  </si>
  <si>
    <t>KEDMA DA SILVA DOURADO SOUZA</t>
  </si>
  <si>
    <t>BEIJU DA TIA KELL</t>
  </si>
  <si>
    <t>AV AVENIDA 1 DE JANEIRO 230, 230</t>
  </si>
  <si>
    <t>-11.305265</t>
  </si>
  <si>
    <t>-41.849506</t>
  </si>
  <si>
    <t>(074) 98859-3941</t>
  </si>
  <si>
    <t>0200-2622</t>
  </si>
  <si>
    <t>MARGARIDA TELES DE SOUZA</t>
  </si>
  <si>
    <t>REST SABOR REGIONA01</t>
  </si>
  <si>
    <t>AV AVENIDA CORONEL TERENCIO DOURADO, 176</t>
  </si>
  <si>
    <t>-11.304664</t>
  </si>
  <si>
    <t>-41.857548</t>
  </si>
  <si>
    <t>0200-2627</t>
  </si>
  <si>
    <t>POLINE GONCALVES LEITE LTDA</t>
  </si>
  <si>
    <t>CAFETERIA DK IRECE</t>
  </si>
  <si>
    <t>AV PRIMEIRO DE JANEIROO</t>
  </si>
  <si>
    <t>-11.308018</t>
  </si>
  <si>
    <t>-41.852610</t>
  </si>
  <si>
    <t>(074) 99950-5011</t>
  </si>
  <si>
    <t>0200-2630</t>
  </si>
  <si>
    <t>CASA DE CARNES BOA VISTA LTDA</t>
  </si>
  <si>
    <t>CASA DE CARNES BOA V</t>
  </si>
  <si>
    <t>RUA RUA PROFESSOR JOEL AMERICANO LOPES, 1125</t>
  </si>
  <si>
    <t>-11.303253</t>
  </si>
  <si>
    <t>-41.872555</t>
  </si>
  <si>
    <t>(074) 99936-8500</t>
  </si>
  <si>
    <t>0200-2634</t>
  </si>
  <si>
    <t>JESSICA SANTOS SOUZA</t>
  </si>
  <si>
    <t>PANIFIC TUPINAMBA</t>
  </si>
  <si>
    <t>RUA RUA ANTONIO OTAVIANO DOURADO, 78</t>
  </si>
  <si>
    <t>-11.303383</t>
  </si>
  <si>
    <t>-41.852783</t>
  </si>
  <si>
    <t>(074) 98822-9048</t>
  </si>
  <si>
    <t>0200-2639</t>
  </si>
  <si>
    <t>SUZANA ARAUJO CARDOSO ARANHA EIRELI</t>
  </si>
  <si>
    <t>AMO TUDO ISSO</t>
  </si>
  <si>
    <t>RUA RUA FREBONIO BARRETO, 93</t>
  </si>
  <si>
    <t>-11.303432</t>
  </si>
  <si>
    <t>-41.860516</t>
  </si>
  <si>
    <t>(074) 99953-7566</t>
  </si>
  <si>
    <t>0200-2641</t>
  </si>
  <si>
    <t>VIVIANE BATISTA DE SANTANA</t>
  </si>
  <si>
    <t>SALGADOS SANTANA</t>
  </si>
  <si>
    <t>RUA RUA DR ANGELO DOURADO 26, 26</t>
  </si>
  <si>
    <t>-11.304892</t>
  </si>
  <si>
    <t>-41.858513</t>
  </si>
  <si>
    <t>(074) 99942-1466</t>
  </si>
  <si>
    <t>0200-2645</t>
  </si>
  <si>
    <t>CENTRO DE DISTRIBUIC</t>
  </si>
  <si>
    <t>RUA RUA CAETANO MOREIRA, 95</t>
  </si>
  <si>
    <t>-11.299903</t>
  </si>
  <si>
    <t>-41.856007</t>
  </si>
  <si>
    <t>(074) 99913-4495</t>
  </si>
  <si>
    <t>0200-2650</t>
  </si>
  <si>
    <t>COISA DE CINEMA BAR BISTRO EIRELI</t>
  </si>
  <si>
    <t>PLAY BAR</t>
  </si>
  <si>
    <t>RUA RUA DEMETRIO DA SILVA DOURADO</t>
  </si>
  <si>
    <t>-11.313705</t>
  </si>
  <si>
    <t>-41.857890</t>
  </si>
  <si>
    <t>(074) 98101-8551</t>
  </si>
  <si>
    <t>0200-2654</t>
  </si>
  <si>
    <t>IGOR MAIA DA SILVA</t>
  </si>
  <si>
    <t>ACARAJE MAIA      01</t>
  </si>
  <si>
    <t>RUA PRIMEIRO DE JANEIRO, 105</t>
  </si>
  <si>
    <t>-11.300676</t>
  </si>
  <si>
    <t>-41.846798</t>
  </si>
  <si>
    <t>(074) 99910-1144</t>
  </si>
  <si>
    <t>0200-2656</t>
  </si>
  <si>
    <t>JANAINA MARQUES DA SILVA</t>
  </si>
  <si>
    <t>DISK TUDO SILVA</t>
  </si>
  <si>
    <t>RUA RUA LUIZ VIANA FILHO, 528</t>
  </si>
  <si>
    <t>-11.299628</t>
  </si>
  <si>
    <t>-41.860085</t>
  </si>
  <si>
    <t>(074) 99941-6776</t>
  </si>
  <si>
    <t>0200-2666</t>
  </si>
  <si>
    <t>GUILHERME BASTOS DE OLIVEIRA</t>
  </si>
  <si>
    <t>SUPER CHAPADINHA</t>
  </si>
  <si>
    <t>PRC PRACA K W LUIZ, 168</t>
  </si>
  <si>
    <t>-11.315639</t>
  </si>
  <si>
    <t>-41.862190</t>
  </si>
  <si>
    <t>(074) 99957-2816</t>
  </si>
  <si>
    <t>0200-2671</t>
  </si>
  <si>
    <t>DIEGO TASSIO DE MOURA</t>
  </si>
  <si>
    <t>MERCADO MOITINHO</t>
  </si>
  <si>
    <t>PRC GINASIO DE ESPORTES, 32</t>
  </si>
  <si>
    <t>-11.299118</t>
  </si>
  <si>
    <t>-41.855412</t>
  </si>
  <si>
    <t>0200-2684</t>
  </si>
  <si>
    <t>MARIA DE LOURDES FERREIRA SANTANA</t>
  </si>
  <si>
    <t>SUPERMERCADO SUPER G</t>
  </si>
  <si>
    <t>AV AVENIDA ADOLFO MOITINHO, 601</t>
  </si>
  <si>
    <t>-11.302587</t>
  </si>
  <si>
    <t>-41.850533</t>
  </si>
  <si>
    <t>(074) 99975-3565</t>
  </si>
  <si>
    <t>0200-2691</t>
  </si>
  <si>
    <t>MARIA DA GLORIA DANTAS DOURADO</t>
  </si>
  <si>
    <t>FACULDADE AGES</t>
  </si>
  <si>
    <t>RUA RUA G, 9997</t>
  </si>
  <si>
    <t>NOVA IRECE</t>
  </si>
  <si>
    <t>-11.279352</t>
  </si>
  <si>
    <t>-41.844418</t>
  </si>
  <si>
    <t>(074) 99980-2813</t>
  </si>
  <si>
    <t>0200-2692</t>
  </si>
  <si>
    <t>MARCOS VINICIUS DE JESUS</t>
  </si>
  <si>
    <t>MERCADINHO RODRIGU04</t>
  </si>
  <si>
    <t>RUA RUA IBOTIRAMA, 112</t>
  </si>
  <si>
    <t>-11.308817</t>
  </si>
  <si>
    <t>-41.868610</t>
  </si>
  <si>
    <t>(074) 99908-0815</t>
  </si>
  <si>
    <t>0200-2695</t>
  </si>
  <si>
    <t>ROSIMARIA PEREIRA DE SOUZA</t>
  </si>
  <si>
    <t>OXENTE BURGUER    01</t>
  </si>
  <si>
    <t>AV PRIMEIRO DE JANEIRO, 60</t>
  </si>
  <si>
    <t>-11.304568</t>
  </si>
  <si>
    <t>-41.849308</t>
  </si>
  <si>
    <t>(074) 98114-3690</t>
  </si>
  <si>
    <t>0200-2710</t>
  </si>
  <si>
    <t>ADELICIO SOUZA DE CARVALHO</t>
  </si>
  <si>
    <t>PONTO DA FEIJOADA</t>
  </si>
  <si>
    <t>RUA SANTO ANTONIO, 480</t>
  </si>
  <si>
    <t>-11.302976</t>
  </si>
  <si>
    <t>-41.844097</t>
  </si>
  <si>
    <t>(074) 99942-7982</t>
  </si>
  <si>
    <t>0200-2711</t>
  </si>
  <si>
    <t>A N M DOURADO</t>
  </si>
  <si>
    <t>MANJERICAO CANTINA</t>
  </si>
  <si>
    <t>ROD RODVIA BA 052 KM 354</t>
  </si>
  <si>
    <t>-11.288012</t>
  </si>
  <si>
    <t>-41.846020</t>
  </si>
  <si>
    <t>(074) 99950-1872</t>
  </si>
  <si>
    <t>0200-2714</t>
  </si>
  <si>
    <t>FCG COMERCIO DE ALIMENTOS LTDA</t>
  </si>
  <si>
    <t>GAROFANI ALIMENTOS E</t>
  </si>
  <si>
    <t>RUA RUA LAFAIETE COUTINHO 216, 216</t>
  </si>
  <si>
    <t>-41.852207</t>
  </si>
  <si>
    <t>(074) 99957-2364</t>
  </si>
  <si>
    <t>0200-2719</t>
  </si>
  <si>
    <t>AGILDO MIGUEL DE SOUZA</t>
  </si>
  <si>
    <t>MERCADO CLIMAX</t>
  </si>
  <si>
    <t>TRV TRAVESSA 4 RUA SINESIA, 5</t>
  </si>
  <si>
    <t>-11.301978</t>
  </si>
  <si>
    <t>-41.835728</t>
  </si>
  <si>
    <t>(074) 99991-2048</t>
  </si>
  <si>
    <t>0200-2722</t>
  </si>
  <si>
    <t>JOSAFA FERNANDES DE SOUZA</t>
  </si>
  <si>
    <t>LAN KI SABOR FLAVOS</t>
  </si>
  <si>
    <t>RUA RUA FUNDACAO BRADESCO, 210</t>
  </si>
  <si>
    <t>-11.305553</t>
  </si>
  <si>
    <t>-41.868570</t>
  </si>
  <si>
    <t>(074) 99816-0614</t>
  </si>
  <si>
    <t>0200-2726</t>
  </si>
  <si>
    <t>ANTONIO CARLOS PEREIRA DE SOUZA</t>
  </si>
  <si>
    <t>MERCANTIL SOUZA II01</t>
  </si>
  <si>
    <t>RUA RUA ROSA LOPES SOARESS, 230</t>
  </si>
  <si>
    <t>-11.305735</t>
  </si>
  <si>
    <t>-41.847360</t>
  </si>
  <si>
    <t>(074) 99959-4640</t>
  </si>
  <si>
    <t>0200-2731</t>
  </si>
  <si>
    <t>IRENE RAMOS VIEIRA</t>
  </si>
  <si>
    <t>RESTAURANTE VIEIRA01</t>
  </si>
  <si>
    <t>RUA RUA JOEL A LOPES, 442</t>
  </si>
  <si>
    <t>-11.303561</t>
  </si>
  <si>
    <t>-41.864670</t>
  </si>
  <si>
    <t>(074) 99972-5537</t>
  </si>
  <si>
    <t>0200-2740</t>
  </si>
  <si>
    <t>JOSE ROQUE OLIVEIRA DO NASCIMENTO</t>
  </si>
  <si>
    <t>PONTO DO CUSCUZ</t>
  </si>
  <si>
    <t>RUA RUA ESTACIONAMENTO DO MERCADAO, 17</t>
  </si>
  <si>
    <t>-11.300878</t>
  </si>
  <si>
    <t>-41.861160</t>
  </si>
  <si>
    <t>(074) 98120-5893</t>
  </si>
  <si>
    <t>0200-2742</t>
  </si>
  <si>
    <t>BALBINA LOPES DA SILVA</t>
  </si>
  <si>
    <t>MERCADINHO LETICIA03</t>
  </si>
  <si>
    <t>RUA RUA PRESIDENTE KENNEDY, 31</t>
  </si>
  <si>
    <t>-11.295802</t>
  </si>
  <si>
    <t>-41.876820</t>
  </si>
  <si>
    <t>(074) 99931-4922</t>
  </si>
  <si>
    <t>0200-2744</t>
  </si>
  <si>
    <t>LEONEL DOURADO PEREIRA</t>
  </si>
  <si>
    <t>BROKA BURGER</t>
  </si>
  <si>
    <t>RUA RUA RIO CORUMBAR, 3</t>
  </si>
  <si>
    <t>-11.308488</t>
  </si>
  <si>
    <t>-41.853172</t>
  </si>
  <si>
    <t>(071) 99985-7232</t>
  </si>
  <si>
    <t>0200-2745</t>
  </si>
  <si>
    <t>RICARDO AURELIO OLIVEIRA DE FIGUEIREDO</t>
  </si>
  <si>
    <t>ACADEMIA RA1</t>
  </si>
  <si>
    <t>RUA RUA BELO HORIZONTE, 131</t>
  </si>
  <si>
    <t>-11.297724</t>
  </si>
  <si>
    <t>-41.850956</t>
  </si>
  <si>
    <t>(074) 99994-6074</t>
  </si>
  <si>
    <t>0200-2749</t>
  </si>
  <si>
    <t>TIAGO MARQUES DE FIGUEIREDO</t>
  </si>
  <si>
    <t>CONVEN POSTO COPA70</t>
  </si>
  <si>
    <t>ROD RODOVIA BA 052, 1622</t>
  </si>
  <si>
    <t>-11.287891</t>
  </si>
  <si>
    <t>-41.846127</t>
  </si>
  <si>
    <t>(074) 99914-0496</t>
  </si>
  <si>
    <t>0200-2750</t>
  </si>
  <si>
    <t>50126902 LTDA</t>
  </si>
  <si>
    <t>CASA DA VERDURA</t>
  </si>
  <si>
    <t>RUA RUA PRESIDENTE CASTELO BRANCO, 567</t>
  </si>
  <si>
    <t>-11.304069</t>
  </si>
  <si>
    <t>-41.851246</t>
  </si>
  <si>
    <t>(074) 99909-6542</t>
  </si>
  <si>
    <t>0200-2758</t>
  </si>
  <si>
    <t>CHURRASCARIA E CONVENIENCIA BOM BEEF</t>
  </si>
  <si>
    <t>BOM BEEF          01</t>
  </si>
  <si>
    <t>ROD RODOVIA BA 148 KM 180</t>
  </si>
  <si>
    <t>-11.328812</t>
  </si>
  <si>
    <t>-41.863220</t>
  </si>
  <si>
    <t>(074) 99947-7907</t>
  </si>
  <si>
    <t>0200-2763</t>
  </si>
  <si>
    <t>HERNANDO OLIVEIRA RODRIGUES</t>
  </si>
  <si>
    <t>HOTEL E CHUR PONTO 4</t>
  </si>
  <si>
    <t>ROD RODOVIA BA 052 10, 10</t>
  </si>
  <si>
    <t>RURAL</t>
  </si>
  <si>
    <t>-11.294596</t>
  </si>
  <si>
    <t>-41.836050</t>
  </si>
  <si>
    <t>(074) 99932-7051</t>
  </si>
  <si>
    <t>0200-2766</t>
  </si>
  <si>
    <t>IRACEMA NEIVA ALENCAR ALVES</t>
  </si>
  <si>
    <t>MERCADO DO HUGO   01</t>
  </si>
  <si>
    <t>AV AVENIDA COSTA E SILVA, 20</t>
  </si>
  <si>
    <t>-11.304336</t>
  </si>
  <si>
    <t>-41.869590</t>
  </si>
  <si>
    <t>(074) 99997-8542</t>
  </si>
  <si>
    <t>0200-2768</t>
  </si>
  <si>
    <t>GILDA JESUS DA CUNHA</t>
  </si>
  <si>
    <t>FLOR DE PIMENTA BOX</t>
  </si>
  <si>
    <t>RUA RUA LUIZ CARLOS PRESTES, 99999</t>
  </si>
  <si>
    <t>-11.301144</t>
  </si>
  <si>
    <t>-41.861200</t>
  </si>
  <si>
    <t>(074) 99999-3023</t>
  </si>
  <si>
    <t>0200-2769</t>
  </si>
  <si>
    <t>MATEUS D. LESSA LELIS LTDA</t>
  </si>
  <si>
    <t>BRASERO B. STEAKHOUS</t>
  </si>
  <si>
    <t>RUA SAO MARCOS, 63</t>
  </si>
  <si>
    <t>-11.304146</t>
  </si>
  <si>
    <t>-41.843426</t>
  </si>
  <si>
    <t>(074) 99801-6095</t>
  </si>
  <si>
    <t>0200-2770</t>
  </si>
  <si>
    <t>MARGARIDA LELES DE SOUZA</t>
  </si>
  <si>
    <t>RESTAURANTE SABOR RE</t>
  </si>
  <si>
    <t>AV AVENIDA TERTULIANO CAMBUI, 161</t>
  </si>
  <si>
    <t>-11.302742</t>
  </si>
  <si>
    <t>-41.860863</t>
  </si>
  <si>
    <t>0200-2771</t>
  </si>
  <si>
    <t>ADEGA DECANTER IRECE LTDA</t>
  </si>
  <si>
    <t>ADEGA DECANTER IRECE</t>
  </si>
  <si>
    <t>AV PRIMEIRO DE JANEIRO, 1142</t>
  </si>
  <si>
    <t>-11.310483</t>
  </si>
  <si>
    <t>(074) 99966-5264</t>
  </si>
  <si>
    <t>0200-2773</t>
  </si>
  <si>
    <t>MAGNO JOSE FERNANDES OLIVEIRA</t>
  </si>
  <si>
    <t>CROC CROC LANCHES</t>
  </si>
  <si>
    <t>RUA AUGUSTO PEREIRA NUNES, 50</t>
  </si>
  <si>
    <t>-11.303408</t>
  </si>
  <si>
    <t>-41.859267</t>
  </si>
  <si>
    <t>(074) 09951-9391</t>
  </si>
  <si>
    <t>0200-2777</t>
  </si>
  <si>
    <t>CARLOS ORLEI DOS SANTOS</t>
  </si>
  <si>
    <t>MERCADO SANTOS    03</t>
  </si>
  <si>
    <t>TRV TRAVESSA DANIEL MOREIRA, 80</t>
  </si>
  <si>
    <t>-11.305016</t>
  </si>
  <si>
    <t>-41.873130</t>
  </si>
  <si>
    <t>(074) 99972-1268</t>
  </si>
  <si>
    <t>0200-2778</t>
  </si>
  <si>
    <t>ITANA SANTANA DE ANDRADE</t>
  </si>
  <si>
    <t>ADEGA MEDEIROS</t>
  </si>
  <si>
    <t>AV AVENIDA ADOLFO MOITINHOO, 999</t>
  </si>
  <si>
    <t>-11.302073</t>
  </si>
  <si>
    <t>-41.846570</t>
  </si>
  <si>
    <t>(074) 99919-6636</t>
  </si>
  <si>
    <t>0200-2783</t>
  </si>
  <si>
    <t>VALQUIRIA VERBENHA COSTA DE SOUZA</t>
  </si>
  <si>
    <t>PADARIA ESPERANCA 01</t>
  </si>
  <si>
    <t>RUA RUA B LOT VIDA BELA, 477</t>
  </si>
  <si>
    <t>-11.325906</t>
  </si>
  <si>
    <t>-41.866436</t>
  </si>
  <si>
    <t>(074) 99913-3550</t>
  </si>
  <si>
    <t>0200-2784</t>
  </si>
  <si>
    <t>JOSE PEREIRA BARBOSA</t>
  </si>
  <si>
    <t>MERCADO E PADARIA PE</t>
  </si>
  <si>
    <t>TRV TRAVESSA FIRMINO NUNES, 41</t>
  </si>
  <si>
    <t>-11.337713</t>
  </si>
  <si>
    <t>-41.933300</t>
  </si>
  <si>
    <t>(074) 99815-8368</t>
  </si>
  <si>
    <t>0200-2787</t>
  </si>
  <si>
    <t>DROGARIA ATENDMAIS LTDA</t>
  </si>
  <si>
    <t>DROGARIA ATENDMAIS</t>
  </si>
  <si>
    <t>AV AVENIDA RAIMUNDO BONFIM, 549 / A</t>
  </si>
  <si>
    <t>-11.309999</t>
  </si>
  <si>
    <t>-41.862100</t>
  </si>
  <si>
    <t>(074) 99984-2541</t>
  </si>
  <si>
    <t>0200-2789</t>
  </si>
  <si>
    <t>SILVANO JOSE DOS SANTOS</t>
  </si>
  <si>
    <t>ADEGA YANG</t>
  </si>
  <si>
    <t>RUA RUA DR ANGELO DOURADO, 20</t>
  </si>
  <si>
    <t>-11.304902</t>
  </si>
  <si>
    <t>-41.858490</t>
  </si>
  <si>
    <t>(074) 99911-2266</t>
  </si>
  <si>
    <t>0200-2790</t>
  </si>
  <si>
    <t>ULISSES ROCHA DA SILVA NETO</t>
  </si>
  <si>
    <t>BAHIA ORIENTAL 2</t>
  </si>
  <si>
    <t>RUA RUA ANGELA QUEIROS NUNES, 281</t>
  </si>
  <si>
    <t>-11.305851</t>
  </si>
  <si>
    <t>-41.849876</t>
  </si>
  <si>
    <t>(074) 99910-7948</t>
  </si>
  <si>
    <t>0200-2795</t>
  </si>
  <si>
    <t>FRANSUEUDES FERREIRA DA SILVA</t>
  </si>
  <si>
    <t>MERCADINHO FLOR</t>
  </si>
  <si>
    <t>RUA RUA SAO CIPRIANO, 192</t>
  </si>
  <si>
    <t>-11.301151</t>
  </si>
  <si>
    <t>-41.843160</t>
  </si>
  <si>
    <t>0200-2798</t>
  </si>
  <si>
    <t>WEFREM MARTINS DA SILVA</t>
  </si>
  <si>
    <t>ADEGA ICEBBER</t>
  </si>
  <si>
    <t>AV AVENIDA ADOLFO MOITINHO, 1271 / A</t>
  </si>
  <si>
    <t>-11.301415</t>
  </si>
  <si>
    <t>-41.842125</t>
  </si>
  <si>
    <t>(074) 99900-8992</t>
  </si>
  <si>
    <t>0200-2800</t>
  </si>
  <si>
    <t>EUNO MACHADO DE OLIVEIRA</t>
  </si>
  <si>
    <t>ESPETINHO DO ELVIS</t>
  </si>
  <si>
    <t>AV PRIMEIRO DE JANEIRO, 1050</t>
  </si>
  <si>
    <t>-41.848667</t>
  </si>
  <si>
    <t>(074) 99943-5551</t>
  </si>
  <si>
    <t>0200-2801</t>
  </si>
  <si>
    <t>SONIA MARIA MIRANDA DE SANTANA</t>
  </si>
  <si>
    <t>LANCHONETE LUGGOS 01</t>
  </si>
  <si>
    <t>AV AVENIDA CARAIBA AP 201, 560</t>
  </si>
  <si>
    <t>-11.302297</t>
  </si>
  <si>
    <t>-41.857060</t>
  </si>
  <si>
    <t>(074) 99980-2312</t>
  </si>
  <si>
    <t>0200-2802</t>
  </si>
  <si>
    <t>CAMILA ISABEL SOUSA SANTOS</t>
  </si>
  <si>
    <t>MERCADINHO COMPRE BE</t>
  </si>
  <si>
    <t>RUA RUA BARRO ALTO, 118</t>
  </si>
  <si>
    <t>-11.305102</t>
  </si>
  <si>
    <t>-41.871845</t>
  </si>
  <si>
    <t>(074) 99996-4839</t>
  </si>
  <si>
    <t>0200-2803</t>
  </si>
  <si>
    <t>MERCADO ABS LTDA</t>
  </si>
  <si>
    <t>MERCADO ABS       02</t>
  </si>
  <si>
    <t>RUA RUA G, 165</t>
  </si>
  <si>
    <t>-11.294700</t>
  </si>
  <si>
    <t>-41.862680</t>
  </si>
  <si>
    <t>(074) 98836-2931</t>
  </si>
  <si>
    <t>0200-2806</t>
  </si>
  <si>
    <t>ROGERIO SPOSITO DA SILVA</t>
  </si>
  <si>
    <t>SPOSITO BISTRO</t>
  </si>
  <si>
    <t>RUA AVENIDA CARAIBAS, 183</t>
  </si>
  <si>
    <t>-11.310104</t>
  </si>
  <si>
    <t>-41.855175</t>
  </si>
  <si>
    <t>(071) 99628-8400</t>
  </si>
  <si>
    <t>0200-2811</t>
  </si>
  <si>
    <t>LUCIANE ANDRADE DA CRUZ</t>
  </si>
  <si>
    <t>RESTAURANTE COMIDA C</t>
  </si>
  <si>
    <t>RUA RUA 7 DE SETEMBRO 377, 377</t>
  </si>
  <si>
    <t>-11.304924</t>
  </si>
  <si>
    <t>-41.854240</t>
  </si>
  <si>
    <t>(074) 99998-4896</t>
  </si>
  <si>
    <t>0200-2814</t>
  </si>
  <si>
    <t>EUDETES BATISTA DE ARAUJO</t>
  </si>
  <si>
    <t>RESTAURANTE RECANTO</t>
  </si>
  <si>
    <t>RUA RUA RIO PARAIBA 60, 60</t>
  </si>
  <si>
    <t>-11.308133</t>
  </si>
  <si>
    <t>-41.849550</t>
  </si>
  <si>
    <t>(074) 99999-9001</t>
  </si>
  <si>
    <t>0200-2815</t>
  </si>
  <si>
    <t>RAYSSA FERREIRA SANTOS</t>
  </si>
  <si>
    <t>ACOUGUE FORTALEZA</t>
  </si>
  <si>
    <t>AV AVENIDA GUARARPES</t>
  </si>
  <si>
    <t>-11.304127</t>
  </si>
  <si>
    <t>-41.840317</t>
  </si>
  <si>
    <t>(074) 99912-3109</t>
  </si>
  <si>
    <t>0200-2819</t>
  </si>
  <si>
    <t>ALCIONE BARROS DE MIRANDA SILVA</t>
  </si>
  <si>
    <t>SUPERMERCADO SILVA05</t>
  </si>
  <si>
    <t>AV SANTOS LOPES, 1042</t>
  </si>
  <si>
    <t>-11.293367</t>
  </si>
  <si>
    <t>-41.851147</t>
  </si>
  <si>
    <t>0200-2822</t>
  </si>
  <si>
    <t>MERCADO CASTELO LTDA</t>
  </si>
  <si>
    <t>MERC CASTELO BRANCO</t>
  </si>
  <si>
    <t>RUA R PRESIDENTE CASTELO BRANCO, 305</t>
  </si>
  <si>
    <t>-11.304183</t>
  </si>
  <si>
    <t>(074) 99998-9335</t>
  </si>
  <si>
    <t>0200-2823</t>
  </si>
  <si>
    <t>ELIANE GOMES DE OLIVEIRA</t>
  </si>
  <si>
    <t>RESTAURANTE DONA SAL</t>
  </si>
  <si>
    <t>RUA RUA ANGELO P NUNES, 544 / A</t>
  </si>
  <si>
    <t>-11.304750</t>
  </si>
  <si>
    <t>-41.866520</t>
  </si>
  <si>
    <t>(074) 99980-8315</t>
  </si>
  <si>
    <t>0200-2824</t>
  </si>
  <si>
    <t>ELIENE ROSA BISPO</t>
  </si>
  <si>
    <t>DELIVERY AQUELE SABO</t>
  </si>
  <si>
    <t>RUA RUA SENHOR DO BONFIM, 229</t>
  </si>
  <si>
    <t>-11.292154</t>
  </si>
  <si>
    <t>-41.852135</t>
  </si>
  <si>
    <t>(074) 98864-1340</t>
  </si>
  <si>
    <t>0200-2825</t>
  </si>
  <si>
    <t>JOZILENE MARIANO DA SILVA</t>
  </si>
  <si>
    <t>REST DONA PIKENA</t>
  </si>
  <si>
    <t>AV AVENIDA CARAIBAS, 281</t>
  </si>
  <si>
    <t>-11.301828</t>
  </si>
  <si>
    <t>-41.858036</t>
  </si>
  <si>
    <t>(074) 99977-9264</t>
  </si>
  <si>
    <t>0200-2828</t>
  </si>
  <si>
    <t>JEFERSON DE SOUZA</t>
  </si>
  <si>
    <t>JEFFINO S</t>
  </si>
  <si>
    <t>RUA RUA BELAMINO C DOURADO, 122</t>
  </si>
  <si>
    <t>-11.303204</t>
  </si>
  <si>
    <t>-41.859230</t>
  </si>
  <si>
    <t>(074) 99961-1331</t>
  </si>
  <si>
    <t>0200-2842</t>
  </si>
  <si>
    <t>MERCADINHO GOIANO</t>
  </si>
  <si>
    <t>MERCADINHO GOIANO LT</t>
  </si>
  <si>
    <t>RUA RUA DOMICIO MARQUES DOURADO 346, 346</t>
  </si>
  <si>
    <t>-11.314657</t>
  </si>
  <si>
    <t>-41.854380</t>
  </si>
  <si>
    <t>(074) 99908-5309</t>
  </si>
  <si>
    <t>0200-2843</t>
  </si>
  <si>
    <t>G MORAIS FARMACIA IRECE LTDA</t>
  </si>
  <si>
    <t>FARMA FABIO</t>
  </si>
  <si>
    <t>RUA RUA AURELIO JOSE MARQUES, 46</t>
  </si>
  <si>
    <t>-11.303451</t>
  </si>
  <si>
    <t>-41.856213</t>
  </si>
  <si>
    <t>(074) 99985-0249</t>
  </si>
  <si>
    <t>0200-2845</t>
  </si>
  <si>
    <t>EDSON DA SILVA ALVES</t>
  </si>
  <si>
    <t>BANANA CAFE 2</t>
  </si>
  <si>
    <t>RUA RUA ESTRADA DO RECANTO, 56</t>
  </si>
  <si>
    <t>-11.309022</t>
  </si>
  <si>
    <t>(074) 99991-4872</t>
  </si>
  <si>
    <t>0200-2850</t>
  </si>
  <si>
    <t>STEAKHOUSE CHURRASCARIA E CHOPERIA LTDA</t>
  </si>
  <si>
    <t>STEAKHOUSE CHURRASCA</t>
  </si>
  <si>
    <t>AV AVENIDA SANTOS LOPES, 133</t>
  </si>
  <si>
    <t>-11.300888</t>
  </si>
  <si>
    <t>(074) 98102-3482</t>
  </si>
  <si>
    <t>0200-2856</t>
  </si>
  <si>
    <t>DEBORA ALVES TEIXEIRA</t>
  </si>
  <si>
    <t>MERCADO SAO JOSE  01</t>
  </si>
  <si>
    <t>RUA RUA DAS FLORES, 131</t>
  </si>
  <si>
    <t>BAIXAO DE ZE PRETO/I</t>
  </si>
  <si>
    <t>-11.270071</t>
  </si>
  <si>
    <t>-41.919780</t>
  </si>
  <si>
    <t>(074) 99919-5519</t>
  </si>
  <si>
    <t>0200-2858</t>
  </si>
  <si>
    <t>OSILEIDE FERREIRA DOS SANTOS</t>
  </si>
  <si>
    <t>CASA DE CARNE FRICHA</t>
  </si>
  <si>
    <t>RUA CORONEL TERENCIO DOURADO, 323</t>
  </si>
  <si>
    <t>-11.308929</t>
  </si>
  <si>
    <t>-41.856618</t>
  </si>
  <si>
    <t>(073) 98245-9010</t>
  </si>
  <si>
    <t>0200-2862</t>
  </si>
  <si>
    <t>CARMEM MARIA MARQUES DOURADO</t>
  </si>
  <si>
    <t>DIPRESSA MERCEARIA01</t>
  </si>
  <si>
    <t>RUA RUA PROF MARIA DA CONCEICAO L NUNES, 26</t>
  </si>
  <si>
    <t>-11.300535</t>
  </si>
  <si>
    <t>-41.859250</t>
  </si>
  <si>
    <t>(074) 99959-4998</t>
  </si>
  <si>
    <t>0200-2866</t>
  </si>
  <si>
    <t>UILQUE PEDRO DE NOLACIO</t>
  </si>
  <si>
    <t>BAR DO ESQUILO    01</t>
  </si>
  <si>
    <t>RUA RUA PROJETADA, 58</t>
  </si>
  <si>
    <t>SAO FRANCISCO DE ASS</t>
  </si>
  <si>
    <t>-11.296685</t>
  </si>
  <si>
    <t>-41.876713</t>
  </si>
  <si>
    <t>0200-2867</t>
  </si>
  <si>
    <t>EDINALDO GOMES DOS SANTOS</t>
  </si>
  <si>
    <t>ADEGA REST CANT FAFA</t>
  </si>
  <si>
    <t>AV AVENIDA ADOLFO MOITINHO, 1414</t>
  </si>
  <si>
    <t>-11.301436</t>
  </si>
  <si>
    <t>-41.841965</t>
  </si>
  <si>
    <t>(074) 99998-3904</t>
  </si>
  <si>
    <t>0200-2869</t>
  </si>
  <si>
    <t>E. S. PEREIRA ALVES SODRE LTDA</t>
  </si>
  <si>
    <t>HARUSAME          01</t>
  </si>
  <si>
    <t>RUA RUA ROGERIO NUNES DOURADO, 48</t>
  </si>
  <si>
    <t>-11.304780</t>
  </si>
  <si>
    <t>-41.849157</t>
  </si>
  <si>
    <t>(074) 99922-7200</t>
  </si>
  <si>
    <t>0200-2874</t>
  </si>
  <si>
    <t>MARILEIDE ALVES DE OLIVEIRA SILVA</t>
  </si>
  <si>
    <t>MERC E HORT FRUT MDA</t>
  </si>
  <si>
    <t>RUA RUA BARROS REIS, 408</t>
  </si>
  <si>
    <t>-11.298922</t>
  </si>
  <si>
    <t>-41.847170</t>
  </si>
  <si>
    <t>(074) 98836-9277</t>
  </si>
  <si>
    <t>0200-2875</t>
  </si>
  <si>
    <t>EVANDIA PEREIRA TEIXEIRA</t>
  </si>
  <si>
    <t>BOX 65</t>
  </si>
  <si>
    <t>AV AVENIDA JULIO PEREIRA NUNES 250 B, 250</t>
  </si>
  <si>
    <t>-11.301004</t>
  </si>
  <si>
    <t>-41.861168</t>
  </si>
  <si>
    <t>(074) 99806-5674</t>
  </si>
  <si>
    <t>0200-2876</t>
  </si>
  <si>
    <t>DERMIVAL DA SILVA RODRIGUES</t>
  </si>
  <si>
    <t>ACOUGUE DO DERMI</t>
  </si>
  <si>
    <t>PRC PRACA DO COMERCIO, 171</t>
  </si>
  <si>
    <t>-11.340495</t>
  </si>
  <si>
    <t>-41.744560</t>
  </si>
  <si>
    <t>(074) 99991-5479</t>
  </si>
  <si>
    <t>0200-2885</t>
  </si>
  <si>
    <t>WERLEI ALVES SOUZA</t>
  </si>
  <si>
    <t>STOP BEER         01</t>
  </si>
  <si>
    <t>AV AVENIDA ADOLFO MOITINHOO, 719</t>
  </si>
  <si>
    <t>-41.849346</t>
  </si>
  <si>
    <t>(074) 99945-5095</t>
  </si>
  <si>
    <t>0200-2886</t>
  </si>
  <si>
    <t>BAR E RESTAURANTE DA LITA LTDA</t>
  </si>
  <si>
    <t>RESTAURANTE DA LITA</t>
  </si>
  <si>
    <t>PRC PRACA CHICO MENDES, 92</t>
  </si>
  <si>
    <t>-11.297111</t>
  </si>
  <si>
    <t>-41.850980</t>
  </si>
  <si>
    <t>(074) 99927-3307</t>
  </si>
  <si>
    <t>0200-2889</t>
  </si>
  <si>
    <t>LUCAS SANTOS SOUZA</t>
  </si>
  <si>
    <t>MERCADO DESTAK    03</t>
  </si>
  <si>
    <t>AV AVENIDA GUARARAPESS, 92 / A</t>
  </si>
  <si>
    <t>-11.303825</t>
  </si>
  <si>
    <t>-41.841957</t>
  </si>
  <si>
    <t>(074) 99973-2513</t>
  </si>
  <si>
    <t>0200-2894</t>
  </si>
  <si>
    <t>TEMPERO ARRETADO  01</t>
  </si>
  <si>
    <t>RUA JOAO D DELAVOR, 130</t>
  </si>
  <si>
    <t>-11.302584</t>
  </si>
  <si>
    <t>-41.851143</t>
  </si>
  <si>
    <t>0200-2896</t>
  </si>
  <si>
    <t>EEDI - EMPREENDIMENTOS EDUCACIONAIS DINA</t>
  </si>
  <si>
    <t>EEDI EMPREENDIMENTOS</t>
  </si>
  <si>
    <t>RUA RUA MARIA DA CONCEICAO L NUNES, 87</t>
  </si>
  <si>
    <t>-11.299799</t>
  </si>
  <si>
    <t>-41.858463</t>
  </si>
  <si>
    <t>(074) 99954-3715</t>
  </si>
  <si>
    <t>0200-2899</t>
  </si>
  <si>
    <t>KELMA CAMILA DOURADO PEREIRA</t>
  </si>
  <si>
    <t>SANTA FEJUCA</t>
  </si>
  <si>
    <t>PRC PRACA CHICO MENDES, 72</t>
  </si>
  <si>
    <t>-11.298014</t>
  </si>
  <si>
    <t>-41.851476</t>
  </si>
  <si>
    <t>(077) 09817-3366</t>
  </si>
  <si>
    <t>0200-2901</t>
  </si>
  <si>
    <t>PIPOCA E DIVERSAO LTDA</t>
  </si>
  <si>
    <t>PIPOCA E DIVERSAO</t>
  </si>
  <si>
    <t>RUA RUA DEMETRIO DA SILVA DOURADO S N</t>
  </si>
  <si>
    <t>-11.313467</t>
  </si>
  <si>
    <t>-41.857620</t>
  </si>
  <si>
    <t>(071) 99988-4264</t>
  </si>
  <si>
    <t>0200-2908</t>
  </si>
  <si>
    <t>JOSE VICENTE SOBRINHO</t>
  </si>
  <si>
    <t>MERCADO ALEGRIA</t>
  </si>
  <si>
    <t>RUA RUA EPTACIO PESSOA, 9</t>
  </si>
  <si>
    <t>-11.304877</t>
  </si>
  <si>
    <t>-41.867420</t>
  </si>
  <si>
    <t>(074) 98806-3782</t>
  </si>
  <si>
    <t>0200-2912</t>
  </si>
  <si>
    <t>FOCCO DISTRIBUIDORA LTDA</t>
  </si>
  <si>
    <t>HIPERMIX</t>
  </si>
  <si>
    <t>RUA ROGERIO DOURADO, 126 / COMERCIO</t>
  </si>
  <si>
    <t>-11.301267</t>
  </si>
  <si>
    <t>-41.860570</t>
  </si>
  <si>
    <t>(074) 99950-1807</t>
  </si>
  <si>
    <t>0200-2913</t>
  </si>
  <si>
    <t>PABLO DA SILVA RIBEIRO</t>
  </si>
  <si>
    <t>MERCADO DO CIGANO</t>
  </si>
  <si>
    <t>RUA CURIO, 45</t>
  </si>
  <si>
    <t>-11.324883</t>
  </si>
  <si>
    <t>-41.863625</t>
  </si>
  <si>
    <t>(749) 99914-3921</t>
  </si>
  <si>
    <t>0200-2915</t>
  </si>
  <si>
    <t>LUCIANO AMORIM FIGUEREDO</t>
  </si>
  <si>
    <t>BAR DO CABECA</t>
  </si>
  <si>
    <t>RUA BARROS REIS, 320</t>
  </si>
  <si>
    <t>-11.299368</t>
  </si>
  <si>
    <t>-41.847446</t>
  </si>
  <si>
    <t>(074) 99984-3726</t>
  </si>
  <si>
    <t>0200-2917</t>
  </si>
  <si>
    <t>VALDERINO PEREIRA DE ARAUJO FILHO</t>
  </si>
  <si>
    <t>PONTO DA GALINNHA CA</t>
  </si>
  <si>
    <t>RUA DA TORRE, 104</t>
  </si>
  <si>
    <t>ACHADO</t>
  </si>
  <si>
    <t>-11.332261</t>
  </si>
  <si>
    <t>-41.777370</t>
  </si>
  <si>
    <t>(074) 99810-1444</t>
  </si>
  <si>
    <t>0200-2919</t>
  </si>
  <si>
    <t>TAIANE SILVA CABRAL</t>
  </si>
  <si>
    <t>COMERCIAL ECONOMIC01</t>
  </si>
  <si>
    <t>RUA ANTONIO OTAVIANO DOURADO 421, 421</t>
  </si>
  <si>
    <t>-11.305614</t>
  </si>
  <si>
    <t>-41.845047</t>
  </si>
  <si>
    <t>(074) 99935-8630</t>
  </si>
  <si>
    <t>0200-2920</t>
  </si>
  <si>
    <t>HOSTEL VILA BELA IRECE LTDA</t>
  </si>
  <si>
    <t>RESTAURANTE VILA BEL</t>
  </si>
  <si>
    <t>PRA GOES CALMON, 27</t>
  </si>
  <si>
    <t>-11.303584</t>
  </si>
  <si>
    <t>-41.856950</t>
  </si>
  <si>
    <t>(074) 99970-0867</t>
  </si>
  <si>
    <t>0200-2921</t>
  </si>
  <si>
    <t>REI DO CHURRASCO IRECE LTDA</t>
  </si>
  <si>
    <t>REI DO CHURRASCO  01</t>
  </si>
  <si>
    <t>AV CORONEL TERENCIO DOURADO, 324</t>
  </si>
  <si>
    <t>-11.308732</t>
  </si>
  <si>
    <t>-41.856716</t>
  </si>
  <si>
    <t>(074) 09806-8604</t>
  </si>
  <si>
    <t>0200-2924</t>
  </si>
  <si>
    <t>NILDO DE JESUS BASTOS MEDEIROS</t>
  </si>
  <si>
    <t>GARAGEM DOS ANTIGO01</t>
  </si>
  <si>
    <t>RUA PRESIDENTE DUTRA, 140</t>
  </si>
  <si>
    <t>-11.303177</t>
  </si>
  <si>
    <t>-41.865646</t>
  </si>
  <si>
    <t>(074) 99969-4726</t>
  </si>
  <si>
    <t>0200-2925</t>
  </si>
  <si>
    <t>CHURRASCARIA ESPETO DE PRATA LTDA</t>
  </si>
  <si>
    <t>CHURRASCARIA ESPETO</t>
  </si>
  <si>
    <t>RUA ANTONIO OTAVIANO DOURAD, 323</t>
  </si>
  <si>
    <t>-11.303710</t>
  </si>
  <si>
    <t>-41.850540</t>
  </si>
  <si>
    <t>(074) 99806-7465</t>
  </si>
  <si>
    <t>0200-2926</t>
  </si>
  <si>
    <t>VLJF IRECE RESTAURANTE E HAMBURGUERIA</t>
  </si>
  <si>
    <t>VLJF IRECE REST HMBU</t>
  </si>
  <si>
    <t>RUA RIO CORUMBA 322, 322</t>
  </si>
  <si>
    <t>-11.311097</t>
  </si>
  <si>
    <t>-41.851505</t>
  </si>
  <si>
    <t>(074) 09910-2188</t>
  </si>
  <si>
    <t>0200-2932</t>
  </si>
  <si>
    <t>JEFFERSON ALVES OLIVEIRA</t>
  </si>
  <si>
    <t>PADARIA ALVES     01</t>
  </si>
  <si>
    <t>RUA PRESIDENTE CASTELO BRANCO</t>
  </si>
  <si>
    <t>-11.304155</t>
  </si>
  <si>
    <t>-41.853218</t>
  </si>
  <si>
    <t>(074) 99966-0244</t>
  </si>
  <si>
    <t>0200-2935</t>
  </si>
  <si>
    <t>LUIZ MANOEL DA SILVA</t>
  </si>
  <si>
    <t>MERCEARIA DO GAL</t>
  </si>
  <si>
    <t>RUA 2 CASA, 18</t>
  </si>
  <si>
    <t>-11.311822</t>
  </si>
  <si>
    <t>-41.873783</t>
  </si>
  <si>
    <t>(074) 99903-1239</t>
  </si>
  <si>
    <t>0200-2936</t>
  </si>
  <si>
    <t>SEABRA HOTEL LTDA</t>
  </si>
  <si>
    <t>SEABRA HOTEL</t>
  </si>
  <si>
    <t>ROD RODOVIA BA 052 KM 356</t>
  </si>
  <si>
    <t>RODOVIA / IRECE</t>
  </si>
  <si>
    <t>-11.266299</t>
  </si>
  <si>
    <t>-41.880962</t>
  </si>
  <si>
    <t>(075) 99908-6080</t>
  </si>
  <si>
    <t>0200-2937</t>
  </si>
  <si>
    <t>LEANDRO JOSE DOS REIS</t>
  </si>
  <si>
    <t>MERCADIN E PADA REIS</t>
  </si>
  <si>
    <t>RUA FUNDACAO BRADECO, 44</t>
  </si>
  <si>
    <t>-11.305464</t>
  </si>
  <si>
    <t>-41.867786</t>
  </si>
  <si>
    <t>(074) 98856-5758</t>
  </si>
  <si>
    <t>0200-2939</t>
  </si>
  <si>
    <t>BLACK BULL STEAK HOUSE IRECE</t>
  </si>
  <si>
    <t>BLACK BULL STEAK HOU</t>
  </si>
  <si>
    <t>AV ATACADAO NOVO IRECE</t>
  </si>
  <si>
    <t>-11.278374</t>
  </si>
  <si>
    <t>-41.844162</t>
  </si>
  <si>
    <t>(074) 99931-3101</t>
  </si>
  <si>
    <t>0200-2943</t>
  </si>
  <si>
    <t>RAFAEL LIMA DE ARAUJO</t>
  </si>
  <si>
    <t>ADEGA D GUSTO</t>
  </si>
  <si>
    <t>AV NOSSO SENHOR DOS PASSOS, 20</t>
  </si>
  <si>
    <t>-11.298404</t>
  </si>
  <si>
    <t>-41.854590</t>
  </si>
  <si>
    <t>(074) 99986-2473</t>
  </si>
  <si>
    <t>0200-2944</t>
  </si>
  <si>
    <t>SHIRLEI LOPES DOS SANTOS</t>
  </si>
  <si>
    <t>DISTRIBUIDORA AGUI03</t>
  </si>
  <si>
    <t>AV 1 DE JANEIRO, 9991</t>
  </si>
  <si>
    <t>-11.307937</t>
  </si>
  <si>
    <t>-41.852776</t>
  </si>
  <si>
    <t>(074) 99961-2727</t>
  </si>
  <si>
    <t>0200-2945</t>
  </si>
  <si>
    <t>SENA COMERCIAL DE ALIMENTOS LTDA</t>
  </si>
  <si>
    <t>MERCADINHO SENA   02</t>
  </si>
  <si>
    <t>RUA 13 DE MAIO</t>
  </si>
  <si>
    <t>QUEIMADA DOS FLORIAN</t>
  </si>
  <si>
    <t>-11.274544</t>
  </si>
  <si>
    <t>-41.759922</t>
  </si>
  <si>
    <t>(074) 99807-6877</t>
  </si>
  <si>
    <t>0200-2947</t>
  </si>
  <si>
    <t>REDE ACAIZEIROS LTDA</t>
  </si>
  <si>
    <t>REDE ACAIZEIROS</t>
  </si>
  <si>
    <t>AV ADOLFO MOITINHO, 163</t>
  </si>
  <si>
    <t>-11.303448</t>
  </si>
  <si>
    <t>-41.854553</t>
  </si>
  <si>
    <t>0200-2948</t>
  </si>
  <si>
    <t>RANA CAROLINA LINO QUEIROZ</t>
  </si>
  <si>
    <t>COLEGIO CEII      01</t>
  </si>
  <si>
    <t>PRC ARNOBIO BATISTA, 20</t>
  </si>
  <si>
    <t>-11.305093</t>
  </si>
  <si>
    <t>-41.864540</t>
  </si>
  <si>
    <t>(074) 99982-8050</t>
  </si>
  <si>
    <t>0200-2950</t>
  </si>
  <si>
    <t>VINICIUS FRANCELINO DOS SANTOS</t>
  </si>
  <si>
    <t>LA MIGLIORE PIZZARA</t>
  </si>
  <si>
    <t>RUA ANTONIO CASTRO DOURADO, 34</t>
  </si>
  <si>
    <t>-11.307896</t>
  </si>
  <si>
    <t>-41.859726</t>
  </si>
  <si>
    <t>(074) 99810-0028</t>
  </si>
  <si>
    <t>0200-2956</t>
  </si>
  <si>
    <t>ISAAC DAS MERCES FILOCRE RODRIGUES</t>
  </si>
  <si>
    <t>MERCADINHO DA LUZI01</t>
  </si>
  <si>
    <t>RUA RUA SEBASTIAO DOURADO, 49</t>
  </si>
  <si>
    <t>-11.294316</t>
  </si>
  <si>
    <t>-41.819210</t>
  </si>
  <si>
    <t>(074) 99980-7201</t>
  </si>
  <si>
    <t>0200-2957</t>
  </si>
  <si>
    <t>MARINHO NARDES ROCHA</t>
  </si>
  <si>
    <t>MEGA SHAKE        01</t>
  </si>
  <si>
    <t>AV AVENIDA ADOLFO MOITINHO 77, 77</t>
  </si>
  <si>
    <t>-11.303519</t>
  </si>
  <si>
    <t>-41.855343</t>
  </si>
  <si>
    <t>(074) 99965-4182</t>
  </si>
  <si>
    <t>0200-2961</t>
  </si>
  <si>
    <t>ERLEILTON MANOEL SANTANA</t>
  </si>
  <si>
    <t>K E K FRIOS</t>
  </si>
  <si>
    <t>RUA RUA PROFESSOR JOEL A LOPES 249</t>
  </si>
  <si>
    <t>-11.303555</t>
  </si>
  <si>
    <t>-41.863026</t>
  </si>
  <si>
    <t>(074) 09996-9899</t>
  </si>
  <si>
    <t>0200-2962</t>
  </si>
  <si>
    <t>HERCULES LEANDRO DA SILVA ROCHA BARRETO</t>
  </si>
  <si>
    <t>BRUTOS BLEND</t>
  </si>
  <si>
    <t>RUA RUA 01 DE JANEIRO, 625</t>
  </si>
  <si>
    <t>-11.308383</t>
  </si>
  <si>
    <t>-41.852997</t>
  </si>
  <si>
    <t>(074) 99969-0458</t>
  </si>
  <si>
    <t>0200-2966</t>
  </si>
  <si>
    <t>LUCICLEIA DA SILVA ROSA DINO</t>
  </si>
  <si>
    <t>PIZZARIA VILELA   01</t>
  </si>
  <si>
    <t>RUA RIO SAO FRANCISCO, 145</t>
  </si>
  <si>
    <t>-11.309360</t>
  </si>
  <si>
    <t>-41.850117</t>
  </si>
  <si>
    <t>(074) 09942-9539</t>
  </si>
  <si>
    <t>0200-2967</t>
  </si>
  <si>
    <t>ALISSON DA SILVA BARRETO CABRAL</t>
  </si>
  <si>
    <t>LANCHONETE SEABRA 01</t>
  </si>
  <si>
    <t>RUA B, 15565</t>
  </si>
  <si>
    <t>-11.317467</t>
  </si>
  <si>
    <t>-41.858093</t>
  </si>
  <si>
    <t>(074) 99972-2483</t>
  </si>
  <si>
    <t>0200-2968</t>
  </si>
  <si>
    <t>OSCAR REIS DE SOUZA</t>
  </si>
  <si>
    <t>PASTEL DO BOB     01</t>
  </si>
  <si>
    <t>AV 1 DE JANEIRO, 736</t>
  </si>
  <si>
    <t>-11.302443</t>
  </si>
  <si>
    <t>-41.847680</t>
  </si>
  <si>
    <t>(074) 99984-7223</t>
  </si>
  <si>
    <t>0200-2974</t>
  </si>
  <si>
    <t>KPE EMPREENDIMENTOS LTDA</t>
  </si>
  <si>
    <t>PITAGORAS IRECE</t>
  </si>
  <si>
    <t>RUA CLAUDIO ABILIO ARAGAO 03, 88</t>
  </si>
  <si>
    <t>MORADA DO SOL</t>
  </si>
  <si>
    <t>-11.312344</t>
  </si>
  <si>
    <t>-41.850470</t>
  </si>
  <si>
    <t>(074) 09921-6595</t>
  </si>
  <si>
    <t>0200-2976</t>
  </si>
  <si>
    <t>RITE MENDES DOS SANTOS</t>
  </si>
  <si>
    <t>MERCADO MENDES RD</t>
  </si>
  <si>
    <t>RUA MARIA LIMA DE SILVA, 76</t>
  </si>
  <si>
    <t>-11.300836</t>
  </si>
  <si>
    <t>-41.842360</t>
  </si>
  <si>
    <t>(074) 99915-8459</t>
  </si>
  <si>
    <t>0200-2978</t>
  </si>
  <si>
    <t>IVANILTON ROSA DA SILVA</t>
  </si>
  <si>
    <t>BAR LILA LANCHES</t>
  </si>
  <si>
    <t>RUA BOA ESPERANCA, 138</t>
  </si>
  <si>
    <t>-11.304093</t>
  </si>
  <si>
    <t>-41.838436</t>
  </si>
  <si>
    <t>(074) 99939-7797</t>
  </si>
  <si>
    <t>0200-2979</t>
  </si>
  <si>
    <t>FIRMINO RIBEIRO DA SILVA NETO</t>
  </si>
  <si>
    <t>PASTELARIA AQUARIOS</t>
  </si>
  <si>
    <t>RUA TIRADENTES, 18</t>
  </si>
  <si>
    <t>-11.305986</t>
  </si>
  <si>
    <t>-41.865800</t>
  </si>
  <si>
    <t>(074) 99192-0540</t>
  </si>
  <si>
    <t>0200-2982</t>
  </si>
  <si>
    <t>DOMINGOS BELO DE GOES</t>
  </si>
  <si>
    <t>TEMPERO DO DIA</t>
  </si>
  <si>
    <t>RUA ANTONIO OTAVIANO DOURADO, 91</t>
  </si>
  <si>
    <t>-11.303303</t>
  </si>
  <si>
    <t>-41.852367</t>
  </si>
  <si>
    <t>(075) 99932-6734</t>
  </si>
  <si>
    <t>0200-2988</t>
  </si>
  <si>
    <t>ARTUR FELIPE LEAL DE OLIVEIRA LTDA</t>
  </si>
  <si>
    <t>SUPER ADEGA CONVEN01</t>
  </si>
  <si>
    <t>AV AVENIDA PRIMEIRO DE JANEIRO, 433</t>
  </si>
  <si>
    <t>-11.305622</t>
  </si>
  <si>
    <t>-41.850967</t>
  </si>
  <si>
    <t>(074) 99995-2855</t>
  </si>
  <si>
    <t>0200-2991</t>
  </si>
  <si>
    <t>VALDIRIA DE SOUSA BARRETO LTDA</t>
  </si>
  <si>
    <t>CASA DA FEIJOADA  01</t>
  </si>
  <si>
    <t>PRC PRACA CLERISTON ANDRADE, 154</t>
  </si>
  <si>
    <t>-11.301167</t>
  </si>
  <si>
    <t>-41.854115</t>
  </si>
  <si>
    <t>(074) 99900-1571</t>
  </si>
  <si>
    <t>0200-2992</t>
  </si>
  <si>
    <t>JACIARA A DOS SANTOS</t>
  </si>
  <si>
    <t>RESTAURANTE SABOR DO</t>
  </si>
  <si>
    <t>AV AVENIDA ADOLFO MOITINHO, 830</t>
  </si>
  <si>
    <t>-11.302208</t>
  </si>
  <si>
    <t>-41.848560</t>
  </si>
  <si>
    <t>(074) 99963-1531</t>
  </si>
  <si>
    <t>0200-2993</t>
  </si>
  <si>
    <t>ZELIA MENDES DA SILVA</t>
  </si>
  <si>
    <t>MERCADO E MATERIAL D</t>
  </si>
  <si>
    <t>RUA RUA SANTOS, 35</t>
  </si>
  <si>
    <t>LOT. BOM SUCESSO</t>
  </si>
  <si>
    <t>-11.308308</t>
  </si>
  <si>
    <t>-41.878986</t>
  </si>
  <si>
    <t>(074) 99903-2815</t>
  </si>
  <si>
    <t>0200-2995</t>
  </si>
  <si>
    <t>DELFANTE COMERCIO DE PRODUTOS FARMA LTDA</t>
  </si>
  <si>
    <t>FARMACIA MODELO</t>
  </si>
  <si>
    <t>AV RAIMUNDO BONFIM A, 275</t>
  </si>
  <si>
    <t>-11.310373</t>
  </si>
  <si>
    <t>-41.858326</t>
  </si>
  <si>
    <t>(074) 99927-1510</t>
  </si>
  <si>
    <t>0200-2998</t>
  </si>
  <si>
    <t>FRANCINALDO VIDAL DE SOUSA</t>
  </si>
  <si>
    <t>ADEGA VIDAL</t>
  </si>
  <si>
    <t>AV AVENIDA COSTA E SILVA</t>
  </si>
  <si>
    <t>-11.304463</t>
  </si>
  <si>
    <t>-41.874912</t>
  </si>
  <si>
    <t>(074) 99956-3379</t>
  </si>
  <si>
    <t>0200-3002</t>
  </si>
  <si>
    <t>EDGLEIDE DA SILVA DO NASCIMENTO</t>
  </si>
  <si>
    <t>PONTO DO MOCOTO   02</t>
  </si>
  <si>
    <t>AV RAIMUNDO BOMFIM, 813</t>
  </si>
  <si>
    <t>-11.309648</t>
  </si>
  <si>
    <t>-41.864300</t>
  </si>
  <si>
    <t>(074) 99977-9369</t>
  </si>
  <si>
    <t>0200-3003</t>
  </si>
  <si>
    <t>DEBULL ALIMENTOS LTDA</t>
  </si>
  <si>
    <t>DEBULL ALIMENTOS LTD</t>
  </si>
  <si>
    <t>RUA RUA RIO AMAZONAS 275, 275</t>
  </si>
  <si>
    <t>-11.310826</t>
  </si>
  <si>
    <t>(071) 99931-8544</t>
  </si>
  <si>
    <t>0200-3015</t>
  </si>
  <si>
    <t>COOPERATIVA DE CONSUMO DE PRO FUNCIO BB</t>
  </si>
  <si>
    <t>COOBRASIL DELICATESS</t>
  </si>
  <si>
    <t>RUA NOEL NUTELES, 300</t>
  </si>
  <si>
    <t>-11.307970</t>
  </si>
  <si>
    <t>-41.854190</t>
  </si>
  <si>
    <t>(074) 03641-4657</t>
  </si>
  <si>
    <t>0200-3017</t>
  </si>
  <si>
    <t>PABLICIA MARQUES DOURADO BENISSIO</t>
  </si>
  <si>
    <t>MERCADO SAO PAULO 01</t>
  </si>
  <si>
    <t>RUA 10A ANTONIO OTAVIANO DOURADO, 119</t>
  </si>
  <si>
    <t>-11.304731</t>
  </si>
  <si>
    <t>-41.847576</t>
  </si>
  <si>
    <t>(074) 98131-9501</t>
  </si>
  <si>
    <t>0200-3018</t>
  </si>
  <si>
    <t>JAIR RIBEIRO DOS SANTOS</t>
  </si>
  <si>
    <t>MER ALTAS HORAS</t>
  </si>
  <si>
    <t>RUA G, 295</t>
  </si>
  <si>
    <t>-11.325655</t>
  </si>
  <si>
    <t>-41.869686</t>
  </si>
  <si>
    <t>(074) 99908-8566</t>
  </si>
  <si>
    <t>0200-3020</t>
  </si>
  <si>
    <t>FRANCILANDIA SANTOS DE SOUZA</t>
  </si>
  <si>
    <t>HOTEL SOLARES</t>
  </si>
  <si>
    <t>RUA DA ENTRADA POV M HORA, 354</t>
  </si>
  <si>
    <t>JARDIM IRECE/MEIA HO</t>
  </si>
  <si>
    <t>-11.297602</t>
  </si>
  <si>
    <t>-41.829002</t>
  </si>
  <si>
    <t>(074) 99916-2817</t>
  </si>
  <si>
    <t>0200-3026</t>
  </si>
  <si>
    <t>IAGO OLIVEIRA ARAUJO</t>
  </si>
  <si>
    <t>FEIJOADA DA GI</t>
  </si>
  <si>
    <t>RUA RUA RAIMUNDO BONFIM B, 815</t>
  </si>
  <si>
    <t>-11.309783</t>
  </si>
  <si>
    <t>-41.864487</t>
  </si>
  <si>
    <t>(074) 99813-1867</t>
  </si>
  <si>
    <t>0200-3028</t>
  </si>
  <si>
    <t>YGOR QUEIROZ N RIBEIRO</t>
  </si>
  <si>
    <t>PLANETA PAO</t>
  </si>
  <si>
    <t>RUA RUA DERALDO DA SILVA DOURADO, 143</t>
  </si>
  <si>
    <t>-11.300674</t>
  </si>
  <si>
    <t>-41.848217</t>
  </si>
  <si>
    <t>(074) 99996-7890</t>
  </si>
  <si>
    <t>0200-3029</t>
  </si>
  <si>
    <t>THAIS NEIVA SANTOS DOS ANJOS</t>
  </si>
  <si>
    <t>ADEGA REFUGIO 2</t>
  </si>
  <si>
    <t>AV TERTULIANO CAMBUIR, 889</t>
  </si>
  <si>
    <t>-11.302125</t>
  </si>
  <si>
    <t>-41.867852</t>
  </si>
  <si>
    <t>0200-3030</t>
  </si>
  <si>
    <t>CASA DE CARNES PORTAS ABERTAS LTDA</t>
  </si>
  <si>
    <t>CASA DE CARN PORT AB</t>
  </si>
  <si>
    <t>AV EDVALDO SANTOS LOPES</t>
  </si>
  <si>
    <t>ASA NORTE</t>
  </si>
  <si>
    <t>-11.283963</t>
  </si>
  <si>
    <t>-41.846165</t>
  </si>
  <si>
    <t>(074) 99985-2704</t>
  </si>
  <si>
    <t>0200-3036</t>
  </si>
  <si>
    <t>REINALDO CIRILO DOS SANTOS</t>
  </si>
  <si>
    <t>MERCEARIA DO REINALD</t>
  </si>
  <si>
    <t>CAM CA 18, 12</t>
  </si>
  <si>
    <t>-11.311511</t>
  </si>
  <si>
    <t>-41.874371</t>
  </si>
  <si>
    <t>(074) 99933-1423</t>
  </si>
  <si>
    <t>0200-3041</t>
  </si>
  <si>
    <t>EAI PRIMOS LTDA</t>
  </si>
  <si>
    <t>EAI PRIMOS</t>
  </si>
  <si>
    <t>RUA GERALDO A DA SILVA, 992</t>
  </si>
  <si>
    <t>-11.302378</t>
  </si>
  <si>
    <t>-41.847481</t>
  </si>
  <si>
    <t>(074) 98872-8325</t>
  </si>
  <si>
    <t>0200-3044</t>
  </si>
  <si>
    <t>ELISSON SIDNEY RAMALHO BARBOSA</t>
  </si>
  <si>
    <t>POYNT COMIDA CASEIRA</t>
  </si>
  <si>
    <t>AV SANTOS LOPES, 1333</t>
  </si>
  <si>
    <t>-11.290739</t>
  </si>
  <si>
    <t>-41.849573</t>
  </si>
  <si>
    <t>0200-3045</t>
  </si>
  <si>
    <t>VICTORIA BRITO DOURADO</t>
  </si>
  <si>
    <t>ADEGA O BRASILEIRO</t>
  </si>
  <si>
    <t>RUA 2, 249</t>
  </si>
  <si>
    <t>-11.311615</t>
  </si>
  <si>
    <t>-41.873520</t>
  </si>
  <si>
    <t>(074) 99969-5667</t>
  </si>
  <si>
    <t>0200-3046</t>
  </si>
  <si>
    <t>ROSEMARIA DE JESUS</t>
  </si>
  <si>
    <t>LANCHONETE DI RO</t>
  </si>
  <si>
    <t>RUA GREGORIO DE MATOS, 174</t>
  </si>
  <si>
    <t>-11.291115</t>
  </si>
  <si>
    <t>-41.853200</t>
  </si>
  <si>
    <t>(074) 99951-6603</t>
  </si>
  <si>
    <t>0200-3048</t>
  </si>
  <si>
    <t>INGRID PALOMA PIRES PEREIRA</t>
  </si>
  <si>
    <t>LANCHONETE PARA BURG</t>
  </si>
  <si>
    <t>RUA RIO CORUMBA, 192</t>
  </si>
  <si>
    <t>-11.310004</t>
  </si>
  <si>
    <t>-41.852284</t>
  </si>
  <si>
    <t>(074) 09943-4219</t>
  </si>
  <si>
    <t>0200-3050</t>
  </si>
  <si>
    <t>DEBORAH RODRIGUES BARRETO PIMENTEL</t>
  </si>
  <si>
    <t>BIKE E RUN CAFE</t>
  </si>
  <si>
    <t>RUA HERCULANO NUNES, 1</t>
  </si>
  <si>
    <t>-11.303380</t>
  </si>
  <si>
    <t>-41.857416</t>
  </si>
  <si>
    <t>(074) 99980-9020</t>
  </si>
  <si>
    <t>0200-3052</t>
  </si>
  <si>
    <t>ACADEMIA LANYS TOP LTDA</t>
  </si>
  <si>
    <t>ACADEMIA LIONS TOP</t>
  </si>
  <si>
    <t>AV PRIMEIRO DE JANEIRO, 763</t>
  </si>
  <si>
    <t>-11.303995</t>
  </si>
  <si>
    <t>-41.848657</t>
  </si>
  <si>
    <t>(074) 99958-9355</t>
  </si>
  <si>
    <t>0200-3053</t>
  </si>
  <si>
    <t>CLAUDIO DIAS SANTOS</t>
  </si>
  <si>
    <t>ACARAJE NORDESTINO</t>
  </si>
  <si>
    <t>RUA CASTELO BRANCO, 143</t>
  </si>
  <si>
    <t>-11.304297</t>
  </si>
  <si>
    <t>-41.854958</t>
  </si>
  <si>
    <t>(071) 98137-9084</t>
  </si>
  <si>
    <t>0200-3058</t>
  </si>
  <si>
    <t>PEDRO VITOR MATOS BORGES</t>
  </si>
  <si>
    <t>VAL LANCHES 02</t>
  </si>
  <si>
    <t>AV CARAIBAS, 271</t>
  </si>
  <si>
    <t>-11.302090</t>
  </si>
  <si>
    <t>-41.857694</t>
  </si>
  <si>
    <t>(074) 99908-9588</t>
  </si>
  <si>
    <t>0200-3060</t>
  </si>
  <si>
    <t>CICERO FABIO DANTAS SANTOS</t>
  </si>
  <si>
    <t>LA PADOCA</t>
  </si>
  <si>
    <t>AV AVENIDA TERTULIANO CAMBUI, 1220</t>
  </si>
  <si>
    <t>-11.301862</t>
  </si>
  <si>
    <t>-41.870816</t>
  </si>
  <si>
    <t>(074) 99910-8761</t>
  </si>
  <si>
    <t>0200-3061</t>
  </si>
  <si>
    <t>SEVERINO AGOSTINHO SANTIAGO</t>
  </si>
  <si>
    <t>PONTO CERTO</t>
  </si>
  <si>
    <t>RUA JOAQUIM DA SILVA DOURADO, 7</t>
  </si>
  <si>
    <t>-11.312649</t>
  </si>
  <si>
    <t>-41.858013</t>
  </si>
  <si>
    <t>(011) 96866-3619</t>
  </si>
  <si>
    <t>0200-3063</t>
  </si>
  <si>
    <t>FRANCISCO HERCULES NUNES COUTINHO LTDA</t>
  </si>
  <si>
    <t>BODE JUSSARA</t>
  </si>
  <si>
    <t>AV PRIMEIRO DE JANEIRO 02, 173</t>
  </si>
  <si>
    <t>-11.304751</t>
  </si>
  <si>
    <t>-41.849206</t>
  </si>
  <si>
    <t>0200-3064</t>
  </si>
  <si>
    <t>ULTIMO GOMES DA SILVA</t>
  </si>
  <si>
    <t>RESTAURANTE LEMOS 01</t>
  </si>
  <si>
    <t>PRC CLERISTON ANDRADE 02, 59</t>
  </si>
  <si>
    <t>-11.301762</t>
  </si>
  <si>
    <t>-41.854721</t>
  </si>
  <si>
    <t>(071) 99637-6570</t>
  </si>
  <si>
    <t>0200-3065</t>
  </si>
  <si>
    <t>LUA DA SILVA MATOS</t>
  </si>
  <si>
    <t>BOB LANCHE 02</t>
  </si>
  <si>
    <t>AV SANTOS LOPES, 20</t>
  </si>
  <si>
    <t>-11.302141</t>
  </si>
  <si>
    <t>-41.855597</t>
  </si>
  <si>
    <t>(074) 09996-5065</t>
  </si>
  <si>
    <t>0200-3068</t>
  </si>
  <si>
    <t>ALEXSANDRE DA SILVA BARRTO MENDES</t>
  </si>
  <si>
    <t>BARRETAO 02</t>
  </si>
  <si>
    <t>RUA INDIO MAMEDE, 538</t>
  </si>
  <si>
    <t>-11.309580</t>
  </si>
  <si>
    <t>-41.863965</t>
  </si>
  <si>
    <t>(074) 99905-5190</t>
  </si>
  <si>
    <t>0200-3069</t>
  </si>
  <si>
    <t>NILDO DE JESUS BASTTOS MEDEIROS</t>
  </si>
  <si>
    <t>ADEGA G DOS ANTIGOS</t>
  </si>
  <si>
    <t>AV PROFESSOR JEL AMERICANO LOPES, 435</t>
  </si>
  <si>
    <t>-11.303655</t>
  </si>
  <si>
    <t>-41.864584</t>
  </si>
  <si>
    <t>0200-3070</t>
  </si>
  <si>
    <t>ACOUGUES DO ELIAS LTDA</t>
  </si>
  <si>
    <t>ACOUGUE DO ELIAS  01</t>
  </si>
  <si>
    <t>RUA ALVORADA, 1111</t>
  </si>
  <si>
    <t>-11.295274</t>
  </si>
  <si>
    <t>-41.878219</t>
  </si>
  <si>
    <t>(074) 99909-5612</t>
  </si>
  <si>
    <t>0200-3077</t>
  </si>
  <si>
    <t>VALDIR LEITE BARBOSA</t>
  </si>
  <si>
    <t>MINE MERCADO SILVA</t>
  </si>
  <si>
    <t>AV GUARARAPES LAGOA DO TIO, 375</t>
  </si>
  <si>
    <t>-11.302515</t>
  </si>
  <si>
    <t>-41.845024</t>
  </si>
  <si>
    <t>(074) 99819-1907</t>
  </si>
  <si>
    <t>0200-3078</t>
  </si>
  <si>
    <t>PRATA E B RASA RESTGAURANTE E ESPETI LTD</t>
  </si>
  <si>
    <t>REST E ESPET PRAT BR</t>
  </si>
  <si>
    <t>ROD RO BA 330 KM 03, 999999</t>
  </si>
  <si>
    <t>-11.312640</t>
  </si>
  <si>
    <t>-41.856534</t>
  </si>
  <si>
    <t>(074) 99802-4533</t>
  </si>
  <si>
    <t>0200-3079</t>
  </si>
  <si>
    <t>CRISTIANE OLIVEIRA DA SILVA</t>
  </si>
  <si>
    <t>PARADA OBRIGATORIA03</t>
  </si>
  <si>
    <t>RUA JAILTON PEREIRA DA SILVA, 62</t>
  </si>
  <si>
    <t>-11.315081</t>
  </si>
  <si>
    <t>-41.862902</t>
  </si>
  <si>
    <t>(074) 99810-4901</t>
  </si>
  <si>
    <t>0200-3080</t>
  </si>
  <si>
    <t>GIDEONI ALVES BEZERRA</t>
  </si>
  <si>
    <t>G T GILDEONI BEZERRA</t>
  </si>
  <si>
    <t>AV 1 DE JANEIRO, 260</t>
  </si>
  <si>
    <t>-11.305636</t>
  </si>
  <si>
    <t>-41.849742</t>
  </si>
  <si>
    <t>(074) 99945-2506</t>
  </si>
  <si>
    <t>0200-3082</t>
  </si>
  <si>
    <t>MARILENE NUNES VIEIRA</t>
  </si>
  <si>
    <t>APPETITO          01</t>
  </si>
  <si>
    <t>RUA COOPIRECE, 86</t>
  </si>
  <si>
    <t>-11.306195</t>
  </si>
  <si>
    <t>-41.860144</t>
  </si>
  <si>
    <t>(074) 99910-6332</t>
  </si>
  <si>
    <t>0200-3083</t>
  </si>
  <si>
    <t>BEIHAN SUSHI BAR LTDA</t>
  </si>
  <si>
    <t>BEIHAN ORIENTAL FOOD</t>
  </si>
  <si>
    <t>AV AV ADOLFO MOITINHOO, 634</t>
  </si>
  <si>
    <t>-11.302634</t>
  </si>
  <si>
    <t>-41.849981</t>
  </si>
  <si>
    <t>(074) 99916-5577</t>
  </si>
  <si>
    <t>0200-3084</t>
  </si>
  <si>
    <t>EUDIMAR DE SOUZA ALVES</t>
  </si>
  <si>
    <t>MIX ADEGA</t>
  </si>
  <si>
    <t>AV AVENIDA 1 DE JANEIROO, 763</t>
  </si>
  <si>
    <t>-11.302290</t>
  </si>
  <si>
    <t>-41.847549</t>
  </si>
  <si>
    <t>(074) 99805-8290</t>
  </si>
  <si>
    <t>0200-3085</t>
  </si>
  <si>
    <t>NATO CULINARIA ORIENTAL LTDA</t>
  </si>
  <si>
    <t>NATO CULINARIA ORIEN</t>
  </si>
  <si>
    <t>RUA R ANTONIO OTAVIANO DOURADO, 390</t>
  </si>
  <si>
    <t>-11.303737</t>
  </si>
  <si>
    <t>-41.850527</t>
  </si>
  <si>
    <t>(087) 98137-3453</t>
  </si>
  <si>
    <t>0200-3091</t>
  </si>
  <si>
    <t>OSCAR MACHADO DE SOUZA</t>
  </si>
  <si>
    <t>SUPERMERC COOPIRECE</t>
  </si>
  <si>
    <t>AV BUENOS AIRES, 522</t>
  </si>
  <si>
    <t>-11.314643</t>
  </si>
  <si>
    <t>-41.861330</t>
  </si>
  <si>
    <t>(074) 99981-9449</t>
  </si>
  <si>
    <t>0200-3092</t>
  </si>
  <si>
    <t>POUSADA E RESTAURANTE BEM CASEIRO LTDA</t>
  </si>
  <si>
    <t>POS REST BEM CASEIRO</t>
  </si>
  <si>
    <t>AV AV PRIMEIRO DE JANEIRO, 497</t>
  </si>
  <si>
    <t>-11.297005</t>
  </si>
  <si>
    <t>-41.844667</t>
  </si>
  <si>
    <t>(074) 99809-3407</t>
  </si>
  <si>
    <t>0200-3093</t>
  </si>
  <si>
    <t>LEIDE ALVES FERNANDES LIMA</t>
  </si>
  <si>
    <t>MERCADO SOUZA 2</t>
  </si>
  <si>
    <t>PRC PRAC DO COMERCIO, 1</t>
  </si>
  <si>
    <t>-11.240897</t>
  </si>
  <si>
    <t>-41.755966</t>
  </si>
  <si>
    <t>(074) 99943-1695</t>
  </si>
  <si>
    <t>0200-3097</t>
  </si>
  <si>
    <t>DUBICHO MERCADO LTDA</t>
  </si>
  <si>
    <t>DUBICHO MERCADO</t>
  </si>
  <si>
    <t>AV NOSSA SENHORA DOS PASSOS, 25</t>
  </si>
  <si>
    <t>-11.298848</t>
  </si>
  <si>
    <t>-41.854552</t>
  </si>
  <si>
    <t>(074) 99805-3832</t>
  </si>
  <si>
    <t>0200-3098</t>
  </si>
  <si>
    <t>TAISE ALMEIDA SANTOS</t>
  </si>
  <si>
    <t>CACTUS ADEGA E CONVE</t>
  </si>
  <si>
    <t>RUA JOSE ALVES DE ANDRADE, 234</t>
  </si>
  <si>
    <t>-11.304520</t>
  </si>
  <si>
    <t>-41.856108</t>
  </si>
  <si>
    <t>(074) 99195-9363</t>
  </si>
  <si>
    <t>0200-3099</t>
  </si>
  <si>
    <t>JUCILENE RODRIGUES DOS SANTOS</t>
  </si>
  <si>
    <t>ROTA DOS SABORES</t>
  </si>
  <si>
    <t>RUA BARAUNA, 30</t>
  </si>
  <si>
    <t>-11.294681</t>
  </si>
  <si>
    <t>-41.819245</t>
  </si>
  <si>
    <t>(074) 99933-2531</t>
  </si>
  <si>
    <t>0200-3100</t>
  </si>
  <si>
    <t>RONE CLERISTON RODRIGUES DA SILVA</t>
  </si>
  <si>
    <t>ADEGA E DSITR RODRIG</t>
  </si>
  <si>
    <t>PRC DO COMERCIO, 99</t>
  </si>
  <si>
    <t>-11.336429</t>
  </si>
  <si>
    <t>-41.930615</t>
  </si>
  <si>
    <t>(074) 99812-1197</t>
  </si>
  <si>
    <t>0200-3103</t>
  </si>
  <si>
    <t>JOSE HEBERTE LUCAS DA PAIXAO</t>
  </si>
  <si>
    <t>RESTAURANTE DANTAS02</t>
  </si>
  <si>
    <t>RUA FUNDACAO BRADESCO 02, 122</t>
  </si>
  <si>
    <t>-11.305593</t>
  </si>
  <si>
    <t>-41.866648</t>
  </si>
  <si>
    <t>(074) 99961-1423</t>
  </si>
  <si>
    <t>0200-3104</t>
  </si>
  <si>
    <t>ELISMARIA DIAS DOS SANTOS</t>
  </si>
  <si>
    <t>SUPER ADEGA 02</t>
  </si>
  <si>
    <t>AV 1 DE JANEIRO, 433</t>
  </si>
  <si>
    <t>-11.307288</t>
  </si>
  <si>
    <t>-41.851493</t>
  </si>
  <si>
    <t>(074) 99906-4945</t>
  </si>
  <si>
    <t>0200-3105</t>
  </si>
  <si>
    <t>PAULA VERENA EVANG BONFIM ALCANTRA LTDA</t>
  </si>
  <si>
    <t>GIRAFFAS</t>
  </si>
  <si>
    <t>RUA REGIO EMILIA, 32</t>
  </si>
  <si>
    <t>-11.305215</t>
  </si>
  <si>
    <t>-41.857859</t>
  </si>
  <si>
    <t>(074) 98115-6915</t>
  </si>
  <si>
    <t>0200-3107</t>
  </si>
  <si>
    <t>DANIELA DE OLIVEIRA PEREIRA</t>
  </si>
  <si>
    <t>ADEGA ICEBEER</t>
  </si>
  <si>
    <t>AV ADOLFO MOITINHO, 1271</t>
  </si>
  <si>
    <t>-11.301472</t>
  </si>
  <si>
    <t>-41.842107</t>
  </si>
  <si>
    <t>(074) 98699-8036</t>
  </si>
  <si>
    <t>0200-3108</t>
  </si>
  <si>
    <t>ELIAS BRISIO DA SILVA COMERCIO DE ALIMEN</t>
  </si>
  <si>
    <t>MERCADO ROCHA II  01</t>
  </si>
  <si>
    <t>RUA RUA 2 A, 16</t>
  </si>
  <si>
    <t>-11.311848</t>
  </si>
  <si>
    <t>-41.873826</t>
  </si>
  <si>
    <t>(074) 99812-0908</t>
  </si>
  <si>
    <t>0200-3109</t>
  </si>
  <si>
    <t>ROBSON NEVES DE SOUZA ROSA</t>
  </si>
  <si>
    <t>BAR NO TRABALHO</t>
  </si>
  <si>
    <t>RUA SAO VICENTE 01, 350</t>
  </si>
  <si>
    <t>-11.302729</t>
  </si>
  <si>
    <t>-41.871974</t>
  </si>
  <si>
    <t>(074) 99817-7821</t>
  </si>
  <si>
    <t>0200-3111</t>
  </si>
  <si>
    <t>AMILTON RODRIGUES LOPES LTDA</t>
  </si>
  <si>
    <t>RESTURANTE NOSTRA MA</t>
  </si>
  <si>
    <t>AV PRIMEIRO DE JNEIRO, 1154</t>
  </si>
  <si>
    <t>-11.298602</t>
  </si>
  <si>
    <t>-41.845496</t>
  </si>
  <si>
    <t>(074) 99959-6353</t>
  </si>
  <si>
    <t>0200-3114</t>
  </si>
  <si>
    <t>EMERSON RODRIGUES DE SOUSA</t>
  </si>
  <si>
    <t>MERCADINHO ASA SUL</t>
  </si>
  <si>
    <t>RUA DOMICIO MARQUES DOURADO, 470</t>
  </si>
  <si>
    <t>-11.315638</t>
  </si>
  <si>
    <t>-41.853877</t>
  </si>
  <si>
    <t>(074) 99153-9985</t>
  </si>
  <si>
    <t>0200-3115</t>
  </si>
  <si>
    <t>PANIFICADORA E DELICATESE SANTIAGO LTDA</t>
  </si>
  <si>
    <t>PANIFICADORA SNTIAG</t>
  </si>
  <si>
    <t>RUA AURELIO JOSE MARQUES, 95</t>
  </si>
  <si>
    <t>-11.302089</t>
  </si>
  <si>
    <t>-41.858810</t>
  </si>
  <si>
    <t>(074) 99925-0409</t>
  </si>
  <si>
    <t>0200-3117</t>
  </si>
  <si>
    <t>EDILSON FRANCISCO NUNES</t>
  </si>
  <si>
    <t>MERCADINHO LM     01</t>
  </si>
  <si>
    <t>RUA DOS CRENTES, 598</t>
  </si>
  <si>
    <t>-11.336296</t>
  </si>
  <si>
    <t>-41.936394</t>
  </si>
  <si>
    <t>(061) 99885-8573</t>
  </si>
  <si>
    <t>0200-3121</t>
  </si>
  <si>
    <t>HERMENITO FERNANDES FERREIRA</t>
  </si>
  <si>
    <t>COMERCIAL FERNANDES</t>
  </si>
  <si>
    <t>RUA IRE, 1200</t>
  </si>
  <si>
    <t>-11.242155</t>
  </si>
  <si>
    <t>-41.757389</t>
  </si>
  <si>
    <t>(074) 99972-7075</t>
  </si>
  <si>
    <t>0200-3124</t>
  </si>
  <si>
    <t>REI DO SALGADO IRECE LTDA</t>
  </si>
  <si>
    <t>REI DO SALGADO IRECE</t>
  </si>
  <si>
    <t>AV PROFESSOR JOEL AMERICANO LOPES, 945</t>
  </si>
  <si>
    <t>-11.303458</t>
  </si>
  <si>
    <t>-41.868974</t>
  </si>
  <si>
    <t>(074) 99970-1100</t>
  </si>
  <si>
    <t>0200-3125</t>
  </si>
  <si>
    <t>RICARDO DA SILVA BARRETO</t>
  </si>
  <si>
    <t>BUTECO GELO E CIA 01</t>
  </si>
  <si>
    <t>PRC CHICO MENDES, 82</t>
  </si>
  <si>
    <t>-11.297491</t>
  </si>
  <si>
    <t>-41.851491</t>
  </si>
  <si>
    <t>(075) 98145-0462</t>
  </si>
  <si>
    <t>0200-3126</t>
  </si>
  <si>
    <t>SEOUL HOUSE RSTAURANTE LTDA</t>
  </si>
  <si>
    <t>SEOUL HOUSE</t>
  </si>
  <si>
    <t>RUA NOEL NUTELES, 214</t>
  </si>
  <si>
    <t>-11.307501</t>
  </si>
  <si>
    <t>-41.854299</t>
  </si>
  <si>
    <t>(011) 92026-8869</t>
  </si>
  <si>
    <t>0200-3127</t>
  </si>
  <si>
    <t>POUSADA CONTORNO LTDA</t>
  </si>
  <si>
    <t>POUSADA CONTORNO</t>
  </si>
  <si>
    <t>AV 2 DE AGOSTO</t>
  </si>
  <si>
    <t>-11.271239</t>
  </si>
  <si>
    <t>-41.874754</t>
  </si>
  <si>
    <t>(074) 99998-2954</t>
  </si>
  <si>
    <t>0200-3128</t>
  </si>
  <si>
    <t>PARAISO DO ACAI LTDA</t>
  </si>
  <si>
    <t>PARAISO DO ACAI</t>
  </si>
  <si>
    <t>AV ADOLFO MOITINHO, 539</t>
  </si>
  <si>
    <t>-11.302702</t>
  </si>
  <si>
    <t>-41.850888</t>
  </si>
  <si>
    <t>(074) 99909-3183</t>
  </si>
  <si>
    <t>0200-3129</t>
  </si>
  <si>
    <t>SUNAMITA DOS ANJOS NOVAES</t>
  </si>
  <si>
    <t>CANTINHO D SOPA REST</t>
  </si>
  <si>
    <t>RUA D 456, 14</t>
  </si>
  <si>
    <t>LOT WASHINGTON LUIZ</t>
  </si>
  <si>
    <t>-11.318703</t>
  </si>
  <si>
    <t>-41.864377</t>
  </si>
  <si>
    <t>0200-3131</t>
  </si>
  <si>
    <t>LEONARDO AZEVEDO CARDOSO DOURADO</t>
  </si>
  <si>
    <t>ALO PIZZA IRECE</t>
  </si>
  <si>
    <t>RUA PARANA 02, 105</t>
  </si>
  <si>
    <t>-41.851401</t>
  </si>
  <si>
    <t>0200-3132</t>
  </si>
  <si>
    <t>LINDAURIA DE MEDEIROS MACIEL MORAIS</t>
  </si>
  <si>
    <t>DELICIAS DO N BOX PA</t>
  </si>
  <si>
    <t>RUA FLUMINENSE LOT BOM SUCESSO, 45</t>
  </si>
  <si>
    <t>LOT NOBELINO DOURADO</t>
  </si>
  <si>
    <t>-11.301158</t>
  </si>
  <si>
    <t>-41.861145</t>
  </si>
  <si>
    <t>(011) 94918-4069</t>
  </si>
  <si>
    <t>0200-3134</t>
  </si>
  <si>
    <t>ANTONOV CENTER LTDA</t>
  </si>
  <si>
    <t>ANTONOV</t>
  </si>
  <si>
    <t>AV AVENIDA PRIMEIRO DE JANEIRO, 422</t>
  </si>
  <si>
    <t>ASA SUL</t>
  </si>
  <si>
    <t>-11.308883</t>
  </si>
  <si>
    <t>-41.853503</t>
  </si>
  <si>
    <t>(074) 98802-0110</t>
  </si>
  <si>
    <t>0200-3138</t>
  </si>
  <si>
    <t>VANDERSON LOPES SANTOS</t>
  </si>
  <si>
    <t>ROTA 74 ADEGA</t>
  </si>
  <si>
    <t>AV TERTULIANO CAMBUI, 664</t>
  </si>
  <si>
    <t>-11.302214</t>
  </si>
  <si>
    <t>-41.865922</t>
  </si>
  <si>
    <t>(074) 99952-5133</t>
  </si>
  <si>
    <t>0200-3139</t>
  </si>
  <si>
    <t>COMERCIAL AVSR IRECE LTDA</t>
  </si>
  <si>
    <t>PADARIA SANT ANTONIO</t>
  </si>
  <si>
    <t>RUA JOSE ALVES DE ANDRADE SN</t>
  </si>
  <si>
    <t>-11.303783</t>
  </si>
  <si>
    <t>-41.851060</t>
  </si>
  <si>
    <t>(071) 99650-2678</t>
  </si>
  <si>
    <t>0200-3141</t>
  </si>
  <si>
    <t>JOAO KENNEDY SANTOS MARCELINO</t>
  </si>
  <si>
    <t>PANIFICADORA GUARARA</t>
  </si>
  <si>
    <t>AV AVENIDA GUARARAPES, 39</t>
  </si>
  <si>
    <t>-11.303392</t>
  </si>
  <si>
    <t>-41.842907</t>
  </si>
  <si>
    <t>(074) 99801-9670</t>
  </si>
  <si>
    <t>0200-3142</t>
  </si>
  <si>
    <t>HOTEL SAMARIA LTDA</t>
  </si>
  <si>
    <t>HOTEL SAMARIA</t>
  </si>
  <si>
    <t>AV 02 DE AGOSTO</t>
  </si>
  <si>
    <t>NOVO IRECE</t>
  </si>
  <si>
    <t>-11.289297</t>
  </si>
  <si>
    <t>-41.841860</t>
  </si>
  <si>
    <t>(074) 98262-1190</t>
  </si>
  <si>
    <t>0200-3143</t>
  </si>
  <si>
    <t>EDEU DE SOUZA GOMES JUNIOR</t>
  </si>
  <si>
    <t>EMPORIO BENTOS    01</t>
  </si>
  <si>
    <t>AV LOJA 4 TERMINAL RODOVIARIO</t>
  </si>
  <si>
    <t>-11.303389</t>
  </si>
  <si>
    <t>-41.848627</t>
  </si>
  <si>
    <t>(075) 98122-7098</t>
  </si>
  <si>
    <t>0200-3144</t>
  </si>
  <si>
    <t>VANDERLEY DA SILVA SANTOS</t>
  </si>
  <si>
    <t>ACOUGUE SEGUIDA</t>
  </si>
  <si>
    <t>PRC DO COMERCIO, 32</t>
  </si>
  <si>
    <t>-11.336501</t>
  </si>
  <si>
    <t>-41.930779</t>
  </si>
  <si>
    <t>(074) 99932-6297</t>
  </si>
  <si>
    <t>0200-3145</t>
  </si>
  <si>
    <t>V CARLS MENDES CAMARA</t>
  </si>
  <si>
    <t>COMECIAL ML</t>
  </si>
  <si>
    <t>RUA DANIEL MOREIRA, 207</t>
  </si>
  <si>
    <t>-11.302919</t>
  </si>
  <si>
    <t>-41.875169</t>
  </si>
  <si>
    <t>(074) 99967-2112</t>
  </si>
  <si>
    <t>0200-3146</t>
  </si>
  <si>
    <t>GUTEMBERG AMORIM DE ALMEIDA</t>
  </si>
  <si>
    <t>POWER ACAI E PROTEM</t>
  </si>
  <si>
    <t>RUA C, 328</t>
  </si>
  <si>
    <t>-11.308928</t>
  </si>
  <si>
    <t>-41.853512</t>
  </si>
  <si>
    <t>(074) 99956-1571</t>
  </si>
  <si>
    <t>0200-3147</t>
  </si>
  <si>
    <t>SUPER G MORAIS IRECE LTDA</t>
  </si>
  <si>
    <t>SUPER FARMA FABIO</t>
  </si>
  <si>
    <t>RUA ARISTIDES MOITINHO, 167</t>
  </si>
  <si>
    <t>-11.303961</t>
  </si>
  <si>
    <t>-41.857638</t>
  </si>
  <si>
    <t>0200-3148</t>
  </si>
  <si>
    <t>ADEGA VIDAL       01</t>
  </si>
  <si>
    <t>AV COSTA E SILVA, 856941</t>
  </si>
  <si>
    <t>-11.304515</t>
  </si>
  <si>
    <t>-41.874894</t>
  </si>
  <si>
    <t>(074) 99950-2577</t>
  </si>
  <si>
    <t>0200-3149</t>
  </si>
  <si>
    <t>DAVID GOMES BONFIM</t>
  </si>
  <si>
    <t>ESPETINHO DO DAVID</t>
  </si>
  <si>
    <t>RUA C LOT EDSON JOSE ALVES, 50</t>
  </si>
  <si>
    <t>LOTEAMENTO EDSON JOS</t>
  </si>
  <si>
    <t>-11.308693</t>
  </si>
  <si>
    <t>-41.871906</t>
  </si>
  <si>
    <t>(074) 99982-8319</t>
  </si>
  <si>
    <t>0200-3151</t>
  </si>
  <si>
    <t>SARA ALVES DE CARVALHO ARAUJO</t>
  </si>
  <si>
    <t>START DISTRIBUIDOR01</t>
  </si>
  <si>
    <t>AV CARAIBAS 02, 690</t>
  </si>
  <si>
    <t>-11.302684</t>
  </si>
  <si>
    <t>-41.853580</t>
  </si>
  <si>
    <t>(074) 09921-7944</t>
  </si>
  <si>
    <t>0200-3153</t>
  </si>
  <si>
    <t>LINDINALVA ALVES DE CARVALHO</t>
  </si>
  <si>
    <t>RESTAURANTE ALTA ROS</t>
  </si>
  <si>
    <t>POV POVADO ACHADO</t>
  </si>
  <si>
    <t>RURAL ACHADO/ACHADO</t>
  </si>
  <si>
    <t>-11.323631</t>
  </si>
  <si>
    <t>-41.797675</t>
  </si>
  <si>
    <t>(074) 99921-5959</t>
  </si>
  <si>
    <t>0200-3155</t>
  </si>
  <si>
    <t>MARTA XAVIER DE MIRANDA DINIZ</t>
  </si>
  <si>
    <t>MERCADO DINIZ     01</t>
  </si>
  <si>
    <t>RUA GILENO BALDUINO DOURADO 02, 95</t>
  </si>
  <si>
    <t>-11.297363</t>
  </si>
  <si>
    <t>-41.855525</t>
  </si>
  <si>
    <t>(074) 99972-8325</t>
  </si>
  <si>
    <t>0200-3156</t>
  </si>
  <si>
    <t>JOSEMARIO SILVA</t>
  </si>
  <si>
    <t>COMERCIAL V M</t>
  </si>
  <si>
    <t>RUA INDIO MAMEDE</t>
  </si>
  <si>
    <t>-11.308891</t>
  </si>
  <si>
    <t>-41.863628</t>
  </si>
  <si>
    <t>(074) 99943-9030</t>
  </si>
  <si>
    <t>0200-3157</t>
  </si>
  <si>
    <t>KATAME DOJO LTDA</t>
  </si>
  <si>
    <t>KATAME DOJO</t>
  </si>
  <si>
    <t>AV RAIMUNDO BONFIM 02</t>
  </si>
  <si>
    <t>-11.310492</t>
  </si>
  <si>
    <t>-41.858414</t>
  </si>
  <si>
    <t>(074) 98647-4453</t>
  </si>
  <si>
    <t>0200-3158</t>
  </si>
  <si>
    <t>SILVANA SOUZA NUNES</t>
  </si>
  <si>
    <t>MERCADO GRIL RESTUAR</t>
  </si>
  <si>
    <t>AV JULIO PEREIRA NUNES, 184</t>
  </si>
  <si>
    <t>-11.300900</t>
  </si>
  <si>
    <t>-41.860789</t>
  </si>
  <si>
    <t>(074) 99947-0463</t>
  </si>
  <si>
    <t>0200-3163</t>
  </si>
  <si>
    <t>LARISSA ALVES ROCHA</t>
  </si>
  <si>
    <t>PASTEL DO LUCIANO 01</t>
  </si>
  <si>
    <t>RUA RIO CORUMBA, 315</t>
  </si>
  <si>
    <t>-11.310818</t>
  </si>
  <si>
    <t>-41.851855</t>
  </si>
  <si>
    <t>(074) 99802-7674</t>
  </si>
  <si>
    <t>0200-3164</t>
  </si>
  <si>
    <t>MOCORAS SMOKE BURGER LTDA</t>
  </si>
  <si>
    <t>MOCORAS SMOKE BURGER</t>
  </si>
  <si>
    <t>RUA FERNANDO MACHADO, 334</t>
  </si>
  <si>
    <t>-11.305538</t>
  </si>
  <si>
    <t>-41.866095</t>
  </si>
  <si>
    <t>(074) 99813-2296</t>
  </si>
  <si>
    <t>0200-3165</t>
  </si>
  <si>
    <t>BERTONI SLVA DE SOUZA</t>
  </si>
  <si>
    <t>ADEGA DA VILA</t>
  </si>
  <si>
    <t>AV COSTA E SILVA S, 856941</t>
  </si>
  <si>
    <t>VILA FELIX/IRECE</t>
  </si>
  <si>
    <t>-11.304421</t>
  </si>
  <si>
    <t>-41.874383</t>
  </si>
  <si>
    <t>(074) 98114-1623</t>
  </si>
  <si>
    <t>0200-3166</t>
  </si>
  <si>
    <t>MERCADO SOBRAL LTDA</t>
  </si>
  <si>
    <t>MERCADO SOBRAL</t>
  </si>
  <si>
    <t>RUA SAO CIPRIANO, 211</t>
  </si>
  <si>
    <t>-11.301063</t>
  </si>
  <si>
    <t>-41.844103</t>
  </si>
  <si>
    <t>(074) 99998-8745</t>
  </si>
  <si>
    <t>0200-3171</t>
  </si>
  <si>
    <t>PAULO ANSELMO MUNIZ MARQUES JUNIOR</t>
  </si>
  <si>
    <t>CANTINA DA VOVO</t>
  </si>
  <si>
    <t>RUA CANARANA, 69</t>
  </si>
  <si>
    <t>-11.307476</t>
  </si>
  <si>
    <t>-41.871404</t>
  </si>
  <si>
    <t>(074) 99819-1038</t>
  </si>
  <si>
    <t>0201-0036</t>
  </si>
  <si>
    <t>REST SABOR REGIONA02</t>
  </si>
  <si>
    <t>AV AVENIDA 01 DE JANEIRO, 1155</t>
  </si>
  <si>
    <t>-11.309960</t>
  </si>
  <si>
    <t>-41.854843</t>
  </si>
  <si>
    <t>0201-0037</t>
  </si>
  <si>
    <t>JOESIO PEDREIRA DE OLIVEIRA</t>
  </si>
  <si>
    <t>COMERCIAL REMANESCEN</t>
  </si>
  <si>
    <t>IBIPEBA</t>
  </si>
  <si>
    <t>RUA RUA BARAO DO RIO BRANCO, 42</t>
  </si>
  <si>
    <t>-11.641640</t>
  </si>
  <si>
    <t>-42.011050</t>
  </si>
  <si>
    <t>(074) 98861-5970</t>
  </si>
  <si>
    <t>0201-0041</t>
  </si>
  <si>
    <t>GILDASIO QUIRINO DOS SANTOS</t>
  </si>
  <si>
    <t>MERCADO GQS</t>
  </si>
  <si>
    <t>AV AV IPIRANGA, 329</t>
  </si>
  <si>
    <t>POV LAGOA DO CEDRO</t>
  </si>
  <si>
    <t>-11.656855</t>
  </si>
  <si>
    <t>-41.984303</t>
  </si>
  <si>
    <t>(074) 98814-7237</t>
  </si>
  <si>
    <t>0201-0047</t>
  </si>
  <si>
    <t>IDALICE FERREIRA DE ALMEIRA</t>
  </si>
  <si>
    <t>RESTAURANTE SERVE BE</t>
  </si>
  <si>
    <t>RUA ULISSES GUIMARAES</t>
  </si>
  <si>
    <t>-11.641632</t>
  </si>
  <si>
    <t>-42.008068</t>
  </si>
  <si>
    <t>(074) 08822-3901</t>
  </si>
  <si>
    <t>0201-0048</t>
  </si>
  <si>
    <t>JOSE MENDES DE SOUZA FILHO</t>
  </si>
  <si>
    <t>PIZZARIA MENDES</t>
  </si>
  <si>
    <t>RUA RUA DA VEREDA SN, 196 / 02010048</t>
  </si>
  <si>
    <t>MIROROS</t>
  </si>
  <si>
    <t>-11.436276</t>
  </si>
  <si>
    <t>-42.314476</t>
  </si>
  <si>
    <t>(400) 03686-3241</t>
  </si>
  <si>
    <t>0201-0050</t>
  </si>
  <si>
    <t>DANIEL PEREIRA LIMA</t>
  </si>
  <si>
    <t>PANIFICADORA KI PA01</t>
  </si>
  <si>
    <t>AV JOEL MODESTO 1, 916</t>
  </si>
  <si>
    <t>-11.546699</t>
  </si>
  <si>
    <t>-41.165794</t>
  </si>
  <si>
    <t>(074) 99944-1598</t>
  </si>
  <si>
    <t>0201-0053</t>
  </si>
  <si>
    <t>MARTINS PEREIRA CANAVERDE</t>
  </si>
  <si>
    <t>COMERCIAL CANAVERDE</t>
  </si>
  <si>
    <t>RUA DO CANAL, 237</t>
  </si>
  <si>
    <t>-11.438313</t>
  </si>
  <si>
    <t>-42.312958</t>
  </si>
  <si>
    <t>(074) 99818-2686</t>
  </si>
  <si>
    <t>0201-0054</t>
  </si>
  <si>
    <t>CRISTOVAM CARNEIRO DE OLINDA</t>
  </si>
  <si>
    <t>MERC DO GALEGO</t>
  </si>
  <si>
    <t>AV AV IPIRANGA, 347</t>
  </si>
  <si>
    <t>-11.656843</t>
  </si>
  <si>
    <t>-41.983677</t>
  </si>
  <si>
    <t>(074) 98834-2862</t>
  </si>
  <si>
    <t>0201-0055</t>
  </si>
  <si>
    <t>JOSE EURASIO MARTINS DOS ANJOS</t>
  </si>
  <si>
    <t>MERC DA ECONOMIA</t>
  </si>
  <si>
    <t>AV JOSUE ALVES BARRETO, 851</t>
  </si>
  <si>
    <t>-11.640810</t>
  </si>
  <si>
    <t>-42.015322</t>
  </si>
  <si>
    <t>(074) 98838-8873</t>
  </si>
  <si>
    <t>0201-0064</t>
  </si>
  <si>
    <t>ORLANILDA MARIA DA SILVA</t>
  </si>
  <si>
    <t>MERCADINHO MOVIMENTO</t>
  </si>
  <si>
    <t>RUA RUA BOA ESPERANCA, 8 / CASA</t>
  </si>
  <si>
    <t>-11.304074</t>
  </si>
  <si>
    <t>-41.839638</t>
  </si>
  <si>
    <t>(074) 99957-4980</t>
  </si>
  <si>
    <t>0201-0078</t>
  </si>
  <si>
    <t>MARGARIDA ALVES DE CARVALHO</t>
  </si>
  <si>
    <t>RESTAURANTE DA MARGO</t>
  </si>
  <si>
    <t>PRC PRACA CLERISTON ANDRADE, 37</t>
  </si>
  <si>
    <t>-11.301124</t>
  </si>
  <si>
    <t>-41.854630</t>
  </si>
  <si>
    <t>(074) 99942-4699</t>
  </si>
  <si>
    <t>0201-0089</t>
  </si>
  <si>
    <t>MARIA GOMES AMORIM DE PAULA</t>
  </si>
  <si>
    <t>CENTRO GASTRONOMICO</t>
  </si>
  <si>
    <t>BARRA DO MENDES</t>
  </si>
  <si>
    <t>RUA RUA ALVARO CAMPOS DE OLIVEIRA, 4</t>
  </si>
  <si>
    <t>BRASILANDIA / BARRA</t>
  </si>
  <si>
    <t>-11.807530</t>
  </si>
  <si>
    <t>-42.059296</t>
  </si>
  <si>
    <t>(074) 99987-7908</t>
  </si>
  <si>
    <t>0201-0098</t>
  </si>
  <si>
    <t>UERICSON LINCOLN CARNEIRO SALES</t>
  </si>
  <si>
    <t>SUPER CESTA</t>
  </si>
  <si>
    <t>VARZEA NOVA</t>
  </si>
  <si>
    <t>PRC PRACA GILBERTO MIRANDA</t>
  </si>
  <si>
    <t>-11.252323</t>
  </si>
  <si>
    <t>-40.945553</t>
  </si>
  <si>
    <t>(740) 98832-1372</t>
  </si>
  <si>
    <t>0201-0106</t>
  </si>
  <si>
    <t>MARZOLINI DOS ANJOS OLIVEIRA</t>
  </si>
  <si>
    <t>SUP. MARTINS</t>
  </si>
  <si>
    <t>UTINGA</t>
  </si>
  <si>
    <t>RUA JULIO ANTONIO NETO, 15</t>
  </si>
  <si>
    <t>-12.083615</t>
  </si>
  <si>
    <t>-41.095670</t>
  </si>
  <si>
    <t>(075) 98807-9146</t>
  </si>
  <si>
    <t>0201-0110</t>
  </si>
  <si>
    <t>LUCIANO MARTINHO BARRETO</t>
  </si>
  <si>
    <t>CASA DO PAO 01</t>
  </si>
  <si>
    <t>AV JOEL MODESTO, 488</t>
  </si>
  <si>
    <t>-11.548077</t>
  </si>
  <si>
    <t>-41.162174</t>
  </si>
  <si>
    <t>(074) 99984-8878</t>
  </si>
  <si>
    <t>0201-0129</t>
  </si>
  <si>
    <t>FAUSTA DOURADO N SANTANA</t>
  </si>
  <si>
    <t>REST DA FAUSTA</t>
  </si>
  <si>
    <t>RUA RUA DO COMERCIO SN</t>
  </si>
  <si>
    <t>-11.436726</t>
  </si>
  <si>
    <t>-42.316540</t>
  </si>
  <si>
    <t>(074) 99984-0772</t>
  </si>
  <si>
    <t>0201-0130</t>
  </si>
  <si>
    <t>HERCULANO GOMES PEREIRA</t>
  </si>
  <si>
    <t>LAN PANF PAO E VINHO</t>
  </si>
  <si>
    <t>PRC PRACA DA LIBERDADE SN</t>
  </si>
  <si>
    <t>-11.644390</t>
  </si>
  <si>
    <t>-42.009060</t>
  </si>
  <si>
    <t>(074) 98825-9210</t>
  </si>
  <si>
    <t>0201-0133</t>
  </si>
  <si>
    <t>VALTEVI ALVES DE SOUZA</t>
  </si>
  <si>
    <t>COMERCIAL 3 IRMAOS</t>
  </si>
  <si>
    <t>RUA RUA 2 DE JULHO / 02010133</t>
  </si>
  <si>
    <t>POV SAO TOME</t>
  </si>
  <si>
    <t>-11.708646</t>
  </si>
  <si>
    <t>-42.065426</t>
  </si>
  <si>
    <t>(740) 08822-4180</t>
  </si>
  <si>
    <t>0201-0143</t>
  </si>
  <si>
    <t>EDUARDO NUNES ALECRIM</t>
  </si>
  <si>
    <t>MERCADO DO EDUARDO</t>
  </si>
  <si>
    <t>RUA IZIDIO BENTO, 534</t>
  </si>
  <si>
    <t>POV OLHOS DAGUA</t>
  </si>
  <si>
    <t>-11.503976</t>
  </si>
  <si>
    <t>-42.208611</t>
  </si>
  <si>
    <t>(400) 03686-7004</t>
  </si>
  <si>
    <t>0201-0145</t>
  </si>
  <si>
    <t>QUEDIMA APARECIDA FIGUEIREDO DE NUNES</t>
  </si>
  <si>
    <t>COMERCIAL BARATEIR01</t>
  </si>
  <si>
    <t>RUA RUA DO COMERCIO, 50</t>
  </si>
  <si>
    <t>POV MIROROS</t>
  </si>
  <si>
    <t>-11.435842</t>
  </si>
  <si>
    <t>-42.316300</t>
  </si>
  <si>
    <t>(074) 99998-8623</t>
  </si>
  <si>
    <t>0201-0150</t>
  </si>
  <si>
    <t>ERINILDO FRANCISCO DA SILVA</t>
  </si>
  <si>
    <t>MERCADINHO ALVES  01</t>
  </si>
  <si>
    <t>RUA RUA SIDELCINO ANDRADE, 311</t>
  </si>
  <si>
    <t>-11.641014</t>
  </si>
  <si>
    <t>-42.009613</t>
  </si>
  <si>
    <t>(074) 99918-9013</t>
  </si>
  <si>
    <t>0201-0155</t>
  </si>
  <si>
    <t>EDNA ALVES DOS SANTOS BASTOS</t>
  </si>
  <si>
    <t>RESTAURANTE DA DINHA</t>
  </si>
  <si>
    <t>AV AVENIDA CELENOCRATES, 6</t>
  </si>
  <si>
    <t>-11.639834</t>
  </si>
  <si>
    <t>-42.008069</t>
  </si>
  <si>
    <t>(074) 98843-6010</t>
  </si>
  <si>
    <t>0201-0157</t>
  </si>
  <si>
    <t>MARIA DE JESUS SOUZA</t>
  </si>
  <si>
    <t>COMERCIAL MGS MARINH</t>
  </si>
  <si>
    <t>RUA RUA DO COMERCIO / CASA</t>
  </si>
  <si>
    <t>-11.436549</t>
  </si>
  <si>
    <t>-42.316460</t>
  </si>
  <si>
    <t>(074) 09801-4071</t>
  </si>
  <si>
    <t>0201-0168</t>
  </si>
  <si>
    <t>REINILSON PAULO GONCALVES</t>
  </si>
  <si>
    <t>MERCADINHO JR     01</t>
  </si>
  <si>
    <t>RUA PAIS E FILHOS, 18</t>
  </si>
  <si>
    <t>LAGOA DO CEDRO</t>
  </si>
  <si>
    <t>-11.653981</t>
  </si>
  <si>
    <t>-41.988398</t>
  </si>
  <si>
    <t>(074) 99963-5435</t>
  </si>
  <si>
    <t>0201-0174</t>
  </si>
  <si>
    <t>NILTON VIEIRA DE SOUZA</t>
  </si>
  <si>
    <t>SUP 2 IRMANS</t>
  </si>
  <si>
    <t>RUA MIROROS MIROROS</t>
  </si>
  <si>
    <t>-11.436111</t>
  </si>
  <si>
    <t>-42.315000</t>
  </si>
  <si>
    <t>(074) 99912-7636</t>
  </si>
  <si>
    <t>0201-0180</t>
  </si>
  <si>
    <t>OLDEGAR TEIXEIRA DA SILVA</t>
  </si>
  <si>
    <t>DIST DO DEDE</t>
  </si>
  <si>
    <t>RUA IBIPEBA MIROROS SN</t>
  </si>
  <si>
    <t>-11.437752</t>
  </si>
  <si>
    <t>-42.316723</t>
  </si>
  <si>
    <t>(400) 09935-8274</t>
  </si>
  <si>
    <t>0201-0193</t>
  </si>
  <si>
    <t>TAMIRES DOURADO SANTOS</t>
  </si>
  <si>
    <t>COMERCIAL ALENCAR</t>
  </si>
  <si>
    <t>RUA MIROROS</t>
  </si>
  <si>
    <t>-11.435947</t>
  </si>
  <si>
    <t>-42.315430</t>
  </si>
  <si>
    <t>(074) 99981-8032</t>
  </si>
  <si>
    <t>0201-0208</t>
  </si>
  <si>
    <t>CARLOS GEOVANE LEANDRO DE SOUZA</t>
  </si>
  <si>
    <t>COMERCIAL DIA A DI01</t>
  </si>
  <si>
    <t>RUA EPIFANIO TORRES, 5</t>
  </si>
  <si>
    <t>-11.641822</t>
  </si>
  <si>
    <t>-42.012440</t>
  </si>
  <si>
    <t>(074) 98816-1706</t>
  </si>
  <si>
    <t>0201-0211</t>
  </si>
  <si>
    <t>BRUNO OLIVEIRA DA SILVA BARRETO</t>
  </si>
  <si>
    <t>MERCADO PAKOTE</t>
  </si>
  <si>
    <t>AV SELENOCRATES ALVES BARRETO, 180</t>
  </si>
  <si>
    <t>-11.643733</t>
  </si>
  <si>
    <t>-42.008405</t>
  </si>
  <si>
    <t>(074) 99999-3393</t>
  </si>
  <si>
    <t>0201-0214</t>
  </si>
  <si>
    <t>ROMISON MORAIS QUIRINO</t>
  </si>
  <si>
    <t>MERCADO SAO TOME  01</t>
  </si>
  <si>
    <t>RUA R 12 DE MAIO, 62</t>
  </si>
  <si>
    <t>SAO TOME</t>
  </si>
  <si>
    <t>-11.708897</t>
  </si>
  <si>
    <t>-42.064960</t>
  </si>
  <si>
    <t>(074) 99927-3681</t>
  </si>
  <si>
    <t>0201-0219</t>
  </si>
  <si>
    <t>ADEVANDIO JOSE DOS SANTOS</t>
  </si>
  <si>
    <t>RESTAURANTE REC DA S</t>
  </si>
  <si>
    <t>RUA POVOADO MIROROS, 1</t>
  </si>
  <si>
    <t>POVOADO MIROROS CENT</t>
  </si>
  <si>
    <t>-11.436778</t>
  </si>
  <si>
    <t>-42.312645</t>
  </si>
  <si>
    <t>(074) 99919-5484</t>
  </si>
  <si>
    <t>0201-0220</t>
  </si>
  <si>
    <t>LUCIO FLAVIO JOSE DE OLIVEIRA</t>
  </si>
  <si>
    <t>PAO DO SERTAO 01</t>
  </si>
  <si>
    <t>RUA DA MATRIZ, 96</t>
  </si>
  <si>
    <t>-11.434588</t>
  </si>
  <si>
    <t>-42.315796</t>
  </si>
  <si>
    <t>(074) 99987-7971</t>
  </si>
  <si>
    <t>0201-0223</t>
  </si>
  <si>
    <t>D P CANAVERDE ME</t>
  </si>
  <si>
    <t>SUPERMERCADO PIRES</t>
  </si>
  <si>
    <t>PRC MIROROS, 30</t>
  </si>
  <si>
    <t>CENTRO MIROROS</t>
  </si>
  <si>
    <t>-11.437481</t>
  </si>
  <si>
    <t>-42.316660</t>
  </si>
  <si>
    <t>(074) 99974-3832</t>
  </si>
  <si>
    <t>0201-0227</t>
  </si>
  <si>
    <t>IGOR MALAQUIAS DE SOUZA</t>
  </si>
  <si>
    <t>MERCADINHO MAICON 02</t>
  </si>
  <si>
    <t>RUA TV DA CAIXA D AGUA, 53</t>
  </si>
  <si>
    <t>LAGOA GRANDE</t>
  </si>
  <si>
    <t>-11.612488</t>
  </si>
  <si>
    <t>-42.104702</t>
  </si>
  <si>
    <t>(074) 99905-6261</t>
  </si>
  <si>
    <t>0201-0239</t>
  </si>
  <si>
    <t>TAMIRES BATISTA DE SOUZA</t>
  </si>
  <si>
    <t>LANCHON DOIS IRMAOS</t>
  </si>
  <si>
    <t>AV AVENIDA JOSUE ALVES BARRETO, 128</t>
  </si>
  <si>
    <t>-11.642755</t>
  </si>
  <si>
    <t>-42.011517</t>
  </si>
  <si>
    <t>(074) 98808-5617</t>
  </si>
  <si>
    <t>0201-0253</t>
  </si>
  <si>
    <t>FLAVIANO PEREIRA DE OLIVEIRA</t>
  </si>
  <si>
    <t>MERCADO BEIRA RIO 01</t>
  </si>
  <si>
    <t>RUA RUA DO COMERCIO, 10</t>
  </si>
  <si>
    <t>-11.436272</t>
  </si>
  <si>
    <t>-42.316690</t>
  </si>
  <si>
    <t>(074) 99913-3058</t>
  </si>
  <si>
    <t>0201-0255</t>
  </si>
  <si>
    <t>DAIANE FLORIS SOUSA FRANCA</t>
  </si>
  <si>
    <t>MERCADINHO DE GREG</t>
  </si>
  <si>
    <t>RUA RUA BEIRA RIO, 651</t>
  </si>
  <si>
    <t>-11.443193</t>
  </si>
  <si>
    <t>-42.317856</t>
  </si>
  <si>
    <t>(074) 99931-3092</t>
  </si>
  <si>
    <t>0201-0260</t>
  </si>
  <si>
    <t>TAMIRES PEREIRA GOMES</t>
  </si>
  <si>
    <t>LANCHONETE TAMIRES</t>
  </si>
  <si>
    <t>RUA RUA DO COMERCIO, 198</t>
  </si>
  <si>
    <t>-11.437650</t>
  </si>
  <si>
    <t>-42.316666</t>
  </si>
  <si>
    <t>(071) 99607-7021</t>
  </si>
  <si>
    <t>0201-0261</t>
  </si>
  <si>
    <t>YAN SANTOS ROCHA</t>
  </si>
  <si>
    <t>ADEGA DO RONDON</t>
  </si>
  <si>
    <t>RUA MARIO ALMEIDA, 371</t>
  </si>
  <si>
    <t>-11.614127</t>
  </si>
  <si>
    <t>-42.108780</t>
  </si>
  <si>
    <t>(074) 99946-8631</t>
  </si>
  <si>
    <t>0201-0266</t>
  </si>
  <si>
    <t>HUMBERTO SOUZA SILVA</t>
  </si>
  <si>
    <t>MERCADO EXTRA MAIS</t>
  </si>
  <si>
    <t>AV AV JOSUE BARRETO, 260</t>
  </si>
  <si>
    <t>-11.643482</t>
  </si>
  <si>
    <t>-42.010710</t>
  </si>
  <si>
    <t>(011) 96699-4143</t>
  </si>
  <si>
    <t>0201-0273</t>
  </si>
  <si>
    <t>IVANILDO SANTOS DA SILVA</t>
  </si>
  <si>
    <t>MERCADINHO SILVA 11</t>
  </si>
  <si>
    <t>RUA R MARIO ALMEIDA, 228</t>
  </si>
  <si>
    <t>-11.612582</t>
  </si>
  <si>
    <t>-42.108940</t>
  </si>
  <si>
    <t>(074) 99984-3616</t>
  </si>
  <si>
    <t>0201-0284</t>
  </si>
  <si>
    <t>A CASA DOS PAES E BOLOS LTDA</t>
  </si>
  <si>
    <t>PANIFICADORA SANTIAG</t>
  </si>
  <si>
    <t>AV AVENIDA JOSUE ALVES BARRETO</t>
  </si>
  <si>
    <t>-11.643315</t>
  </si>
  <si>
    <t>-42.010845</t>
  </si>
  <si>
    <t>0201-0287</t>
  </si>
  <si>
    <t>JUCELMA GONSALVES BRITO</t>
  </si>
  <si>
    <t>BAR DO NELSON</t>
  </si>
  <si>
    <t>AV JOSUE BARRETO, 311</t>
  </si>
  <si>
    <t>-11.643319</t>
  </si>
  <si>
    <t>-42.010876</t>
  </si>
  <si>
    <t>(074) 98849-4975</t>
  </si>
  <si>
    <t>0201-0288</t>
  </si>
  <si>
    <t>GUTEMBERG FIGUEIREDO NUNES</t>
  </si>
  <si>
    <t>ACOUGUE BATATA</t>
  </si>
  <si>
    <t>RUA PEDRO FIGUEREDO ROCHA, 100</t>
  </si>
  <si>
    <t>POVOADO IGUITU</t>
  </si>
  <si>
    <t>-11.482778</t>
  </si>
  <si>
    <t>-42.211666</t>
  </si>
  <si>
    <t>(074) 99939-4830</t>
  </si>
  <si>
    <t>0201-0291</t>
  </si>
  <si>
    <t>ELIS AFONCO ALVES DA ROCHA</t>
  </si>
  <si>
    <t>MERCADINHO SILVA 12</t>
  </si>
  <si>
    <t>RUA ALBINO JOSE ROCHA, 5</t>
  </si>
  <si>
    <t>MIROROS SERRA GRANDE</t>
  </si>
  <si>
    <t>-11.550834</t>
  </si>
  <si>
    <t>-42.175000</t>
  </si>
  <si>
    <t>(074) 99918-1780</t>
  </si>
  <si>
    <t>0201-0293</t>
  </si>
  <si>
    <t>AMANDA DE OLIVEIRA V BARRETO</t>
  </si>
  <si>
    <t>A E R COMER E REPRES</t>
  </si>
  <si>
    <t>RUA BARAO DO RIO BRANCO, 101</t>
  </si>
  <si>
    <t>-11.641666</t>
  </si>
  <si>
    <t>-42.011390</t>
  </si>
  <si>
    <t>(074) 99137-9418</t>
  </si>
  <si>
    <t>0201-0300</t>
  </si>
  <si>
    <t>SAVIO MALAQUIAS DE FIGUEIREDO</t>
  </si>
  <si>
    <t>MERCADO LUIZ</t>
  </si>
  <si>
    <t>RUA RUA PEDRO FIGUEREDO ROCHA, 8</t>
  </si>
  <si>
    <t>IGUITU</t>
  </si>
  <si>
    <t>-11.482500</t>
  </si>
  <si>
    <t>(074) 99996-1946</t>
  </si>
  <si>
    <t>0201-0304</t>
  </si>
  <si>
    <t>MASCIMA SOUSA RAMOS</t>
  </si>
  <si>
    <t>IMPERIO RESTOBAR</t>
  </si>
  <si>
    <t>PRC PRACA DA LIBERDADE, 54</t>
  </si>
  <si>
    <t>-11.644314</t>
  </si>
  <si>
    <t>-42.009254</t>
  </si>
  <si>
    <t>(011) 98783-4602</t>
  </si>
  <si>
    <t>0201-0306</t>
  </si>
  <si>
    <t>GUTEMBERG NUNES DA CRUZ</t>
  </si>
  <si>
    <t>MERCADO PAGUE MENO03</t>
  </si>
  <si>
    <t>PRC PRACA DO COMERCIO, 72</t>
  </si>
  <si>
    <t>-11.654337</t>
  </si>
  <si>
    <t>-41.988754</t>
  </si>
  <si>
    <t>(061) 98310-8418</t>
  </si>
  <si>
    <t>0201-0312</t>
  </si>
  <si>
    <t>REST SABOR CAIPIRA01</t>
  </si>
  <si>
    <t>AV AVENIDA SELENOCRATES ALVES BARRETO, 835</t>
  </si>
  <si>
    <t>-11.644854</t>
  </si>
  <si>
    <t>-42.008530</t>
  </si>
  <si>
    <t>(074) 99905-3174</t>
  </si>
  <si>
    <t>0201-0315</t>
  </si>
  <si>
    <t>GREGI SANTOS NASCIMENTO</t>
  </si>
  <si>
    <t>ACAI MIROROS</t>
  </si>
  <si>
    <t>RUA RUA DO COMERCIOO</t>
  </si>
  <si>
    <t>-11.435631</t>
  </si>
  <si>
    <t>-42.316307</t>
  </si>
  <si>
    <t>(074) 99945-5826</t>
  </si>
  <si>
    <t>0201-0317</t>
  </si>
  <si>
    <t>MARIA ZELIA CANAVERDE</t>
  </si>
  <si>
    <t>MERCADINHO DA ZELIA</t>
  </si>
  <si>
    <t>RUA RUA ARNISAL DURAES, 405</t>
  </si>
  <si>
    <t>POV VEREDA</t>
  </si>
  <si>
    <t>-11.416212</t>
  </si>
  <si>
    <t>-42.260975</t>
  </si>
  <si>
    <t>(074) 99803-5258</t>
  </si>
  <si>
    <t>0201-0318</t>
  </si>
  <si>
    <t>MARCIO TEIXEIRA SANTANA</t>
  </si>
  <si>
    <t>MERCADINHO S S</t>
  </si>
  <si>
    <t>TRV TRAVESSA ARNISAL DURAES II, 27</t>
  </si>
  <si>
    <t>POVOADO VEREDA</t>
  </si>
  <si>
    <t>-11.415098</t>
  </si>
  <si>
    <t>-42.262493</t>
  </si>
  <si>
    <t>(074) 99906-3063</t>
  </si>
  <si>
    <t>0201-0319</t>
  </si>
  <si>
    <t>LOURIVAL SALVIANO DE SOUSA</t>
  </si>
  <si>
    <t>SUPER ECONOMIA    01</t>
  </si>
  <si>
    <t>RUA RUA DA VEREDA, 30 / 30 A</t>
  </si>
  <si>
    <t>MIROROS / IBIPEBA</t>
  </si>
  <si>
    <t>-11.436441</t>
  </si>
  <si>
    <t>-42.313976</t>
  </si>
  <si>
    <t>(074) 99989-2075</t>
  </si>
  <si>
    <t>0201-0320</t>
  </si>
  <si>
    <t>DAYANE NUNES QUEIROZ</t>
  </si>
  <si>
    <t>POINT ACAI</t>
  </si>
  <si>
    <t>RUA ARNIZAU DURAES, 58</t>
  </si>
  <si>
    <t>-11.436808</t>
  </si>
  <si>
    <t>-42.312637</t>
  </si>
  <si>
    <t>(074) 99955-8451</t>
  </si>
  <si>
    <t>0201-0321</t>
  </si>
  <si>
    <t>SIDINEI DE SOUZA CARNEIRO</t>
  </si>
  <si>
    <t>LANCHONETE CARNEIRO</t>
  </si>
  <si>
    <t>RUA RUA NOVA BRASILIA, 321</t>
  </si>
  <si>
    <t>-11.656398</t>
  </si>
  <si>
    <t>-41.983566</t>
  </si>
  <si>
    <t>(074) 99921-9546</t>
  </si>
  <si>
    <t>0201-0323</t>
  </si>
  <si>
    <t>VILSON OLIVEIRA DE SOUZA FILHO</t>
  </si>
  <si>
    <t>YAKISSOBA FAMILIA</t>
  </si>
  <si>
    <t>RUA RUA SR DO BONFIM, 15</t>
  </si>
  <si>
    <t>-11.641143</t>
  </si>
  <si>
    <t>-42.015766</t>
  </si>
  <si>
    <t>(074) 98148-6426</t>
  </si>
  <si>
    <t>0201-0324</t>
  </si>
  <si>
    <t>DANILO BARRETO DE ALMEIDA</t>
  </si>
  <si>
    <t>ADEGA IBIPEBA</t>
  </si>
  <si>
    <t>RUA RUA BARAO DO RIO BRANCO, 48</t>
  </si>
  <si>
    <t>-11.641674</t>
  </si>
  <si>
    <t>-42.010098</t>
  </si>
  <si>
    <t>(074) 99991-3945</t>
  </si>
  <si>
    <t>0201-0326</t>
  </si>
  <si>
    <t>ELINEI IRLANDO ALVES BARRETO</t>
  </si>
  <si>
    <t>MERCADO AQUI TEM</t>
  </si>
  <si>
    <t>RUA RUA NELSON DAMASCENO / SN</t>
  </si>
  <si>
    <t>-11.640188</t>
  </si>
  <si>
    <t>-42.011930</t>
  </si>
  <si>
    <t>(074) 99923-2127</t>
  </si>
  <si>
    <t>0201-0329</t>
  </si>
  <si>
    <t>NEURIVAL BENTO VIEIRA</t>
  </si>
  <si>
    <t>CASA DO BOLO      01</t>
  </si>
  <si>
    <t>RUA RUA ARISTIDES ALMEIDA, 23</t>
  </si>
  <si>
    <t>-11.641187</t>
  </si>
  <si>
    <t>-42.011444</t>
  </si>
  <si>
    <t>(074) 99989-7115</t>
  </si>
  <si>
    <t>0201-0330</t>
  </si>
  <si>
    <t>LEANDRO PEREIRA GOMES</t>
  </si>
  <si>
    <t>ADEGA DO LEANDRO</t>
  </si>
  <si>
    <t>RUA RUA DAS ALMAS, 96</t>
  </si>
  <si>
    <t>-11.437909</t>
  </si>
  <si>
    <t>-42.315610</t>
  </si>
  <si>
    <t>(074) 99965-1608</t>
  </si>
  <si>
    <t>0201-0331</t>
  </si>
  <si>
    <t>MARCOS ANTONIO ARAUJO DOURADO</t>
  </si>
  <si>
    <t>REST ELANCHONETE DOU</t>
  </si>
  <si>
    <t>RUA MAURO ALMEIDA, 350</t>
  </si>
  <si>
    <t>-11.614477</t>
  </si>
  <si>
    <t>-42.108960</t>
  </si>
  <si>
    <t>(074) 99952-7136</t>
  </si>
  <si>
    <t>0201-0333</t>
  </si>
  <si>
    <t>LEONARDO GOMES DE SOUZA</t>
  </si>
  <si>
    <t>BAR DA TATIANA</t>
  </si>
  <si>
    <t>POV MIROROS, 15</t>
  </si>
  <si>
    <t>-11.440569</t>
  </si>
  <si>
    <t>-42.316143</t>
  </si>
  <si>
    <t>(074) 99123-2945</t>
  </si>
  <si>
    <t>0201-0334</t>
  </si>
  <si>
    <t>SIVONDETE ABADE DA SILVA</t>
  </si>
  <si>
    <t>LANCHONETE SOUZA  02</t>
  </si>
  <si>
    <t>RUA FAUSTINIANO BASTOS, 18</t>
  </si>
  <si>
    <t>-11.611937</t>
  </si>
  <si>
    <t>-42.108720</t>
  </si>
  <si>
    <t>(074) 99994-9643</t>
  </si>
  <si>
    <t>0201-0335</t>
  </si>
  <si>
    <t>WENDEL PIRES DA SILVA</t>
  </si>
  <si>
    <t>MERCADINHO PIRES  01</t>
  </si>
  <si>
    <t>RUA BEIRA RIO, 102</t>
  </si>
  <si>
    <t>-11.442191</t>
  </si>
  <si>
    <t>-42.317620</t>
  </si>
  <si>
    <t>(074) 99802-2292</t>
  </si>
  <si>
    <t>0201-0337</t>
  </si>
  <si>
    <t>SUELHEN SANTOS BARBOSA</t>
  </si>
  <si>
    <t>LANCHONETE NOVA AEDN</t>
  </si>
  <si>
    <t>RUA BEIRA RIO, 155</t>
  </si>
  <si>
    <t>-11.437768</t>
  </si>
  <si>
    <t>-42.316650</t>
  </si>
  <si>
    <t>(074) 99961-7701</t>
  </si>
  <si>
    <t>0201-0338</t>
  </si>
  <si>
    <t>SNIRLEI PEREIRA BASTOS LELIS</t>
  </si>
  <si>
    <t>MERCADO PALOMA</t>
  </si>
  <si>
    <t>RUA FAUSTINIANO BASTOS, 20</t>
  </si>
  <si>
    <t>-11.611647</t>
  </si>
  <si>
    <t>-42.108610</t>
  </si>
  <si>
    <t>(074) 08117-8548</t>
  </si>
  <si>
    <t>0201-0339</t>
  </si>
  <si>
    <t>IZAURA DA SILVA BARRETO</t>
  </si>
  <si>
    <t>PADARIA DO ALBERTO01</t>
  </si>
  <si>
    <t>RUA DA VEREDA, 88</t>
  </si>
  <si>
    <t>-11.436625</t>
  </si>
  <si>
    <t>-42.313507</t>
  </si>
  <si>
    <t>(075) 99914-1313</t>
  </si>
  <si>
    <t>0201-0340</t>
  </si>
  <si>
    <t>PATRICIA BARRETO BASTOS</t>
  </si>
  <si>
    <t>CERVEJAR E ACOUG MAC</t>
  </si>
  <si>
    <t>RUA DA VEREDA, 292</t>
  </si>
  <si>
    <t>-11.436669</t>
  </si>
  <si>
    <t>-42.313506</t>
  </si>
  <si>
    <t>(074) 99805-1462</t>
  </si>
  <si>
    <t>0201-0342</t>
  </si>
  <si>
    <t>WALTER FERREIRA DO NASCIMENTO</t>
  </si>
  <si>
    <t>ARMAZEM FERREIRA</t>
  </si>
  <si>
    <t>RUA IPIRANGA, 47</t>
  </si>
  <si>
    <t>-11.654230</t>
  </si>
  <si>
    <t>-41.988980</t>
  </si>
  <si>
    <t>(074) 99936-9304</t>
  </si>
  <si>
    <t>0201-0343</t>
  </si>
  <si>
    <t>COMERCIAL ESTER LTDA</t>
  </si>
  <si>
    <t>COMERCIAL ESTER</t>
  </si>
  <si>
    <t>POV OUTROS POVOADOS DE SAO TOME, 51</t>
  </si>
  <si>
    <t>ZONA RURAL IBIPEBA</t>
  </si>
  <si>
    <t>-11.707530</t>
  </si>
  <si>
    <t>-42.064735</t>
  </si>
  <si>
    <t>(074) 99913-2348</t>
  </si>
  <si>
    <t>0201-0344</t>
  </si>
  <si>
    <t>PADARIA SANTIAGO LTDA</t>
  </si>
  <si>
    <t>PANIFICADOR SANTIAGO</t>
  </si>
  <si>
    <t>AV JOSUE ALVES BARRETO, 497</t>
  </si>
  <si>
    <t>-11.643406</t>
  </si>
  <si>
    <t>-42.010931</t>
  </si>
  <si>
    <t>0201-0345</t>
  </si>
  <si>
    <t>VANDERLEI ALVES DE SOUSA</t>
  </si>
  <si>
    <t>MERCADINHO BILA</t>
  </si>
  <si>
    <t>RUA QUINTINO SOARES, 107</t>
  </si>
  <si>
    <t>-11.643726</t>
  </si>
  <si>
    <t>-42.011788</t>
  </si>
  <si>
    <t>(074) 98453-4842</t>
  </si>
  <si>
    <t>0201-0346</t>
  </si>
  <si>
    <t>ROMILDO BASTOS PAIVA</t>
  </si>
  <si>
    <t>MERCADO PAIVA</t>
  </si>
  <si>
    <t>AV VELAME POV VELAME, 305</t>
  </si>
  <si>
    <t>POV DE VELAME</t>
  </si>
  <si>
    <t>-11.441379</t>
  </si>
  <si>
    <t>-42.238778</t>
  </si>
  <si>
    <t>(077) 99844-5764</t>
  </si>
  <si>
    <t>0201-0347</t>
  </si>
  <si>
    <t>PATRICIA RODRIGUES GOMES</t>
  </si>
  <si>
    <t>LANCHONETE BARAO</t>
  </si>
  <si>
    <t>POV VEREDA, 50</t>
  </si>
  <si>
    <t>POV RURAL VEREDA</t>
  </si>
  <si>
    <t>-11.413090</t>
  </si>
  <si>
    <t>-42.263445</t>
  </si>
  <si>
    <t>(074) 99801-6343</t>
  </si>
  <si>
    <t>0201-0348</t>
  </si>
  <si>
    <t>CARLOS EDUARDO AMORIM BARRETO</t>
  </si>
  <si>
    <t>MERCADO BARREIRO  01</t>
  </si>
  <si>
    <t>AV JOSUE ALVES BARRETO, 213</t>
  </si>
  <si>
    <t>-11.642419</t>
  </si>
  <si>
    <t>-42.012559</t>
  </si>
  <si>
    <t>(074) 99810-1176</t>
  </si>
  <si>
    <t>0201-0350</t>
  </si>
  <si>
    <t>FRAIRAN GOMES DOS SANTOS</t>
  </si>
  <si>
    <t>LANCHONETE MARIA</t>
  </si>
  <si>
    <t>RUA PAIS E FILHOS, 555</t>
  </si>
  <si>
    <t>-11.653678</t>
  </si>
  <si>
    <t>-41.988432</t>
  </si>
  <si>
    <t>(074) 09917-5964</t>
  </si>
  <si>
    <t>0201-0351</t>
  </si>
  <si>
    <t>BRENO MATOS MACHADO</t>
  </si>
  <si>
    <t>RESTAU E ESPETARI BI</t>
  </si>
  <si>
    <t>AV 10 AVENIDA CASA 01, 33</t>
  </si>
  <si>
    <t>-11.436524</t>
  </si>
  <si>
    <t>-42.312979</t>
  </si>
  <si>
    <t>(074) 99939-7568</t>
  </si>
  <si>
    <t>0201-0352</t>
  </si>
  <si>
    <t>VENANCIO NUNES DA ROCHA</t>
  </si>
  <si>
    <t>MERCADINHO NUNES  02</t>
  </si>
  <si>
    <t>RUA AGRARIO ROCHA, 2020</t>
  </si>
  <si>
    <t>-11.482462</t>
  </si>
  <si>
    <t>-42.211589</t>
  </si>
  <si>
    <t>(074) 99971-9780</t>
  </si>
  <si>
    <t>0201-0353</t>
  </si>
  <si>
    <t>TF CONSTRUCOES TRANSPORTE LIMPE E H LTDA</t>
  </si>
  <si>
    <t>HOTEL RANCHO 2 IRMAO</t>
  </si>
  <si>
    <t>FAZ BOA VISTA, 1</t>
  </si>
  <si>
    <t>-11.610185</t>
  </si>
  <si>
    <t>-41.995213</t>
  </si>
  <si>
    <t>(074) 99984-8568</t>
  </si>
  <si>
    <t>0202-0002</t>
  </si>
  <si>
    <t>GEOVAN DA SILVA DUARTE</t>
  </si>
  <si>
    <t>GEOVAN BAR</t>
  </si>
  <si>
    <t>AMERICA DOURADA</t>
  </si>
  <si>
    <t>AV AVENIDA DOIS DE JULHO / PREVENIDO</t>
  </si>
  <si>
    <t>PREVENIDO</t>
  </si>
  <si>
    <t>-11.474298</t>
  </si>
  <si>
    <t>-41.517616</t>
  </si>
  <si>
    <t>(400) 99929-5501</t>
  </si>
  <si>
    <t>0202-0013</t>
  </si>
  <si>
    <t>RITA COSTA OLIVEIRA</t>
  </si>
  <si>
    <t>TRAILLER DE RITA</t>
  </si>
  <si>
    <t>PRC DO PRACA COMERCIO / D0098</t>
  </si>
  <si>
    <t>NOVA AMERICA</t>
  </si>
  <si>
    <t>-11.442548</t>
  </si>
  <si>
    <t>-41.425224</t>
  </si>
  <si>
    <t>(400) 03692-3072</t>
  </si>
  <si>
    <t>0202-0016</t>
  </si>
  <si>
    <t>MARINALVA CALADA BORGES</t>
  </si>
  <si>
    <t>COMERCIAL BORGES</t>
  </si>
  <si>
    <t>RUA NESTOR BORGES, 138</t>
  </si>
  <si>
    <t>-11.451651</t>
  </si>
  <si>
    <t>-41.435863</t>
  </si>
  <si>
    <t>(074) 99946-9921</t>
  </si>
  <si>
    <t>0202-0019</t>
  </si>
  <si>
    <t>DURVAL DE OLIVEIRA DA SILVA</t>
  </si>
  <si>
    <t>QUIOSQUE DOIS IRMAOS</t>
  </si>
  <si>
    <t>RUA RUMAO GRAMACHO, 452</t>
  </si>
  <si>
    <t>-11.453919</t>
  </si>
  <si>
    <t>-41.435867</t>
  </si>
  <si>
    <t>(740) 08821-6367</t>
  </si>
  <si>
    <t>0202-0024</t>
  </si>
  <si>
    <t>TELMA CARNEIRO SILVA</t>
  </si>
  <si>
    <t>CALDO DE CANA</t>
  </si>
  <si>
    <t>RUA BA 052</t>
  </si>
  <si>
    <t>LAG DOS BORGE</t>
  </si>
  <si>
    <t>-11.397374</t>
  </si>
  <si>
    <t>-41.532720</t>
  </si>
  <si>
    <t>(073) 99976-2052</t>
  </si>
  <si>
    <t>0202-0028</t>
  </si>
  <si>
    <t>ARLETE CARNEIRO RIBEIRO</t>
  </si>
  <si>
    <t>BAR E REST DA ARLETE</t>
  </si>
  <si>
    <t>RUA RUA BA, 52</t>
  </si>
  <si>
    <t>-11.442920</t>
  </si>
  <si>
    <t>-41.424465</t>
  </si>
  <si>
    <t>(074) 99937-4979</t>
  </si>
  <si>
    <t>0202-0033</t>
  </si>
  <si>
    <t>LIBERATO FRANCISCO DOS SANTOS</t>
  </si>
  <si>
    <t>RANGO BOM</t>
  </si>
  <si>
    <t>PRC JOAO NERES DE BARROS</t>
  </si>
  <si>
    <t>-11.474159</t>
  </si>
  <si>
    <t>-41.515060</t>
  </si>
  <si>
    <t>(074) 99972-5688</t>
  </si>
  <si>
    <t>0202-0037</t>
  </si>
  <si>
    <t>VALNEI SILVA SANTOS</t>
  </si>
  <si>
    <t>NOSSO BAR</t>
  </si>
  <si>
    <t>RUA RUA DOIS DE JULHO</t>
  </si>
  <si>
    <t>-11.474167</t>
  </si>
  <si>
    <t>-41.517500</t>
  </si>
  <si>
    <t>(074) 99936-8772</t>
  </si>
  <si>
    <t>0202-0040</t>
  </si>
  <si>
    <t>DAMIANA ARAUJO DIAS</t>
  </si>
  <si>
    <t>PONTO DO ALMOCO</t>
  </si>
  <si>
    <t>TRV TRAVESSA DOIS DE JULHO</t>
  </si>
  <si>
    <t>-11.474668</t>
  </si>
  <si>
    <t>-41.517510</t>
  </si>
  <si>
    <t>(740) 03652-4101</t>
  </si>
  <si>
    <t>0202-0043</t>
  </si>
  <si>
    <t>JOAO TEIXEIRA</t>
  </si>
  <si>
    <t>MERCEARIA DE JOAO</t>
  </si>
  <si>
    <t>AV AV IRECE</t>
  </si>
  <si>
    <t>SOARES</t>
  </si>
  <si>
    <t>-41.472220</t>
  </si>
  <si>
    <t>(400) 03692-5095</t>
  </si>
  <si>
    <t>0202-0048</t>
  </si>
  <si>
    <t>JOSE VICENTE ORDONHO</t>
  </si>
  <si>
    <t>BAR DO ORDONHO</t>
  </si>
  <si>
    <t>AV IRECE</t>
  </si>
  <si>
    <t>-11.308147</t>
  </si>
  <si>
    <t>-41.476030</t>
  </si>
  <si>
    <t>(740) 03692-5195</t>
  </si>
  <si>
    <t>0202-0059</t>
  </si>
  <si>
    <t>VAGNER BARBOSA OLIVEIRA</t>
  </si>
  <si>
    <t>MERCADINHO DE VAGNER</t>
  </si>
  <si>
    <t>RUA JOAO EVANGELISTA R, 42</t>
  </si>
  <si>
    <t>IPANEMA</t>
  </si>
  <si>
    <t>-11.368649</t>
  </si>
  <si>
    <t>-41.595610</t>
  </si>
  <si>
    <t>(074) 09997-6502</t>
  </si>
  <si>
    <t>0202-0064</t>
  </si>
  <si>
    <t>CLAUDIOMAR DOS SANTOS PEREIRA</t>
  </si>
  <si>
    <t>MERCADINHO DO BUIU</t>
  </si>
  <si>
    <t>RUA RUA NESTOR PEREIRA BORGES, 1</t>
  </si>
  <si>
    <t>-11.452723</t>
  </si>
  <si>
    <t>-41.436560</t>
  </si>
  <si>
    <t>(074) 99931-6793</t>
  </si>
  <si>
    <t>0202-0065</t>
  </si>
  <si>
    <t>GLEIBSON MENDES DE SOUZA</t>
  </si>
  <si>
    <t>MERCADO SOUZA 02  01</t>
  </si>
  <si>
    <t>RUA AMAZONAS, 89</t>
  </si>
  <si>
    <t>-11.475984</t>
  </si>
  <si>
    <t>-41.514477</t>
  </si>
  <si>
    <t>(740) 99927-9762</t>
  </si>
  <si>
    <t>0202-0068</t>
  </si>
  <si>
    <t>CELIO SOUZA PIRES</t>
  </si>
  <si>
    <t>MERCADINH CAVALCANTE</t>
  </si>
  <si>
    <t>RUA RUA NESTOR BORGES, 488</t>
  </si>
  <si>
    <t>-11.454602</t>
  </si>
  <si>
    <t>-41.437614</t>
  </si>
  <si>
    <t>(071) 98602-9979</t>
  </si>
  <si>
    <t>0202-0086</t>
  </si>
  <si>
    <t>RUBENILTON CARDOSO DOURADO</t>
  </si>
  <si>
    <t>BAR DO NITO</t>
  </si>
  <si>
    <t>AV IRECE, 45</t>
  </si>
  <si>
    <t>-41.477222</t>
  </si>
  <si>
    <t>(074) 99807-4627</t>
  </si>
  <si>
    <t>0202-0089</t>
  </si>
  <si>
    <t>MARILUCIA LEITE BARBOSA GAMA ME</t>
  </si>
  <si>
    <t>SUPER BARBOSA</t>
  </si>
  <si>
    <t>AV GUARARAPES, 375</t>
  </si>
  <si>
    <t>-11.302426</t>
  </si>
  <si>
    <t>-41.845310</t>
  </si>
  <si>
    <t>9979-9260</t>
  </si>
  <si>
    <t>0202-0090</t>
  </si>
  <si>
    <t>PAULO SERGIO OLIVEIRA VASCONCELOS</t>
  </si>
  <si>
    <t>DRINKS BAS</t>
  </si>
  <si>
    <t>PRC DA IGREJA, 99999</t>
  </si>
  <si>
    <t>SOARES DE BAIXO</t>
  </si>
  <si>
    <t>-41.461113</t>
  </si>
  <si>
    <t>(740) 09934-4986</t>
  </si>
  <si>
    <t>0202-0091</t>
  </si>
  <si>
    <t>VANDERLEY SANTOS GOMES</t>
  </si>
  <si>
    <t>IMPERIO CONVENIENCIA</t>
  </si>
  <si>
    <t>PRC PRACA HERMANO, 128</t>
  </si>
  <si>
    <t>-11.308888</t>
  </si>
  <si>
    <t>-41.479168</t>
  </si>
  <si>
    <t>(074) 99902-1870</t>
  </si>
  <si>
    <t>0202-0100</t>
  </si>
  <si>
    <t>ADRIANO FERREIRA LOPES</t>
  </si>
  <si>
    <t>MERC LOPES 01</t>
  </si>
  <si>
    <t>RUA DA LAGOA SN</t>
  </si>
  <si>
    <t>-11.308619</t>
  </si>
  <si>
    <t>-41.479435</t>
  </si>
  <si>
    <t>(074) 99817-8757</t>
  </si>
  <si>
    <t>0202-0125</t>
  </si>
  <si>
    <t>WILSON ARAUJO BROTAS</t>
  </si>
  <si>
    <t>MERC BARATEIRO</t>
  </si>
  <si>
    <t>RUA DOIS DE JULHO SS</t>
  </si>
  <si>
    <t>POV PREVENIDO</t>
  </si>
  <si>
    <t>-11.474024</t>
  </si>
  <si>
    <t>-41.515694</t>
  </si>
  <si>
    <t>(074) 99978-2707</t>
  </si>
  <si>
    <t>0202-0128</t>
  </si>
  <si>
    <t>ELDES DE SANTANA BORGES</t>
  </si>
  <si>
    <t>MERC ES</t>
  </si>
  <si>
    <t>RUA DO PREDIO, 88</t>
  </si>
  <si>
    <t>LAGOA DOS BORGES</t>
  </si>
  <si>
    <t>-11.398056</t>
  </si>
  <si>
    <t>-41.534720</t>
  </si>
  <si>
    <t>(074) 99987-4684</t>
  </si>
  <si>
    <t>0202-0132</t>
  </si>
  <si>
    <t>DAMIAO MANOEL DA SILVA</t>
  </si>
  <si>
    <t>MERCADO DE DAMIAO</t>
  </si>
  <si>
    <t>RUA RUA DA LAGOA 2</t>
  </si>
  <si>
    <t>-41.481388</t>
  </si>
  <si>
    <t>(074) 99958-2397</t>
  </si>
  <si>
    <t>0202-0135</t>
  </si>
  <si>
    <t>LUZIANA DA PENHA SANTOS TORRES</t>
  </si>
  <si>
    <t>LANCHONETE PENHA</t>
  </si>
  <si>
    <t>RUA RUA DA LOGOA 1 SN</t>
  </si>
  <si>
    <t>-11.306730</t>
  </si>
  <si>
    <t>-41.481520</t>
  </si>
  <si>
    <t>(074) 99931-0389</t>
  </si>
  <si>
    <t>0202-0136</t>
  </si>
  <si>
    <t>ELINDEVAL CARMO SANTANA</t>
  </si>
  <si>
    <t>CIA DO CHURRASCO 01</t>
  </si>
  <si>
    <t>XIQUE-XIQUE</t>
  </si>
  <si>
    <t>TRV ADAO BASTOS</t>
  </si>
  <si>
    <t>-10.823263</t>
  </si>
  <si>
    <t>-42.730490</t>
  </si>
  <si>
    <t>(074) 99959-1403</t>
  </si>
  <si>
    <t>0202-0137</t>
  </si>
  <si>
    <t>MARIA CLARA LINO DE SOUZA</t>
  </si>
  <si>
    <t>ESPACO BAILLE DANCE</t>
  </si>
  <si>
    <t>FAZ RECREIO, 21</t>
  </si>
  <si>
    <t>RURAL SAO RAFAEL /RA</t>
  </si>
  <si>
    <t>-11.446170</t>
  </si>
  <si>
    <t>-41.409347</t>
  </si>
  <si>
    <t>(074) 99948-2192</t>
  </si>
  <si>
    <t>0202-0138</t>
  </si>
  <si>
    <t>ANTONIO PEREIRA DOS SANTOS</t>
  </si>
  <si>
    <t>BAR DO PIU 01</t>
  </si>
  <si>
    <t>RUA RUA NOVA, 9984</t>
  </si>
  <si>
    <t>-11.365097</t>
  </si>
  <si>
    <t>-41.596820</t>
  </si>
  <si>
    <t>(074) 99945-1044</t>
  </si>
  <si>
    <t>0202-0143</t>
  </si>
  <si>
    <t>JUAREZ ALMEIDA LOPES</t>
  </si>
  <si>
    <t>BAR DO JUAREZ 01</t>
  </si>
  <si>
    <t>PRE PRACA DA FEIRAA</t>
  </si>
  <si>
    <t>-11.308470</t>
  </si>
  <si>
    <t>-41.478801</t>
  </si>
  <si>
    <t>(074) 99914-7230</t>
  </si>
  <si>
    <t>0202-0148</t>
  </si>
  <si>
    <t>LUCIENE BISPO DE SOUZA GUIMARAES</t>
  </si>
  <si>
    <t>BARRACA DA SI</t>
  </si>
  <si>
    <t>PRC PRAC TEOTONIO DOURADO</t>
  </si>
  <si>
    <t>-11.453458</t>
  </si>
  <si>
    <t>-41.436580</t>
  </si>
  <si>
    <t>(074) 98821-3803</t>
  </si>
  <si>
    <t>0202-0149</t>
  </si>
  <si>
    <t>OLGA SUELY RAMADA DE SOUZA</t>
  </si>
  <si>
    <t>BAR DE SUELY</t>
  </si>
  <si>
    <t>PRC CENTRO DE ABASTECIMENTO, 224</t>
  </si>
  <si>
    <t>-11.548225</t>
  </si>
  <si>
    <t>-41.159645</t>
  </si>
  <si>
    <t>0202-0153</t>
  </si>
  <si>
    <t>MARIA ZULEIDE VIEIRA DE SOUZA NUNES</t>
  </si>
  <si>
    <t>LANCHONETE ZULEIDE</t>
  </si>
  <si>
    <t>RUA R SAIDA PARA FLORESTA, 220</t>
  </si>
  <si>
    <t>-11.307073</t>
  </si>
  <si>
    <t>-41.481640</t>
  </si>
  <si>
    <t>(740) 09988-3486</t>
  </si>
  <si>
    <t>0202-0159</t>
  </si>
  <si>
    <t>JUSSIANA DA SILVA COSTA</t>
  </si>
  <si>
    <t>CONVENIENCIA DAS COL</t>
  </si>
  <si>
    <t>RUA RUA PARALELA, 176</t>
  </si>
  <si>
    <t>CENTRO IPANEMA</t>
  </si>
  <si>
    <t>-11.366516</t>
  </si>
  <si>
    <t>-41.595108</t>
  </si>
  <si>
    <t>(074) 99936-3555</t>
  </si>
  <si>
    <t>0202-0167</t>
  </si>
  <si>
    <t>JOSIMARIO LIBERALINO DOS SANTOS</t>
  </si>
  <si>
    <t>RESTAURANTE ALTAS H</t>
  </si>
  <si>
    <t>RUA RUA MORRO DO CHAPEU, 57</t>
  </si>
  <si>
    <t>-11.443233</t>
  </si>
  <si>
    <t>-41.423058</t>
  </si>
  <si>
    <t>(074) 99997-1700</t>
  </si>
  <si>
    <t>0202-0172</t>
  </si>
  <si>
    <t>UERITON CARLOS DA SILVA CASTRO</t>
  </si>
  <si>
    <t>MERCADINHO CASTRO 01</t>
  </si>
  <si>
    <t>PRC PCA DO COMERCIO</t>
  </si>
  <si>
    <t>POV PREVINIDO</t>
  </si>
  <si>
    <t>-11.473877</t>
  </si>
  <si>
    <t>-41.514637</t>
  </si>
  <si>
    <t>(074) 99995-8990</t>
  </si>
  <si>
    <t>0202-0182</t>
  </si>
  <si>
    <t>MARIA DAS DORES SILVA SOUZA SANTOS</t>
  </si>
  <si>
    <t>MERCADO BW</t>
  </si>
  <si>
    <t>RUA RUA DA LAGOA 17 B, 166</t>
  </si>
  <si>
    <t>-11.307151</t>
  </si>
  <si>
    <t>-41.480330</t>
  </si>
  <si>
    <t>(074) 99810-2895</t>
  </si>
  <si>
    <t>0202-0186</t>
  </si>
  <si>
    <t>ADILSON CARDOSOS DA SILVA</t>
  </si>
  <si>
    <t>MERCADINHO AVENIDA03</t>
  </si>
  <si>
    <t>AV ROSALVO BENTO SANTANA</t>
  </si>
  <si>
    <t>-11.442986</t>
  </si>
  <si>
    <t>-41.424202</t>
  </si>
  <si>
    <t>(074) 99987-3040</t>
  </si>
  <si>
    <t>0202-0190</t>
  </si>
  <si>
    <t>ELISETE GOMES BARBOSA DE SOUZA</t>
  </si>
  <si>
    <t>POSTO MIGUEL ARAUJ01</t>
  </si>
  <si>
    <t>ROD BA 052, 55</t>
  </si>
  <si>
    <t>-11.441035</t>
  </si>
  <si>
    <t>-41.431670</t>
  </si>
  <si>
    <t>(074) 99916-8134</t>
  </si>
  <si>
    <t>0202-0201</t>
  </si>
  <si>
    <t>ERMENITO DE SOUZA DOURADO</t>
  </si>
  <si>
    <t>RM DISTRIBUIDORA</t>
  </si>
  <si>
    <t>AV AVENIDA IRECE, 302</t>
  </si>
  <si>
    <t>-11.307786</t>
  </si>
  <si>
    <t>-41.473750</t>
  </si>
  <si>
    <t>(074) 99978-2127</t>
  </si>
  <si>
    <t>0202-0206</t>
  </si>
  <si>
    <t>CARLENE MARCAL DOS SANTOS</t>
  </si>
  <si>
    <t>REST DA CARLENE</t>
  </si>
  <si>
    <t>AV AVENIDA IRECE, 485</t>
  </si>
  <si>
    <t>-41.473330</t>
  </si>
  <si>
    <t>(074) 99968-5164</t>
  </si>
  <si>
    <t>0202-0207</t>
  </si>
  <si>
    <t>VENTURA E RANGEL COMERCIO LTDA</t>
  </si>
  <si>
    <t>EMPORIO</t>
  </si>
  <si>
    <t>RUA RUA ASFALTO, 315</t>
  </si>
  <si>
    <t>LAGOS DOS BORGES</t>
  </si>
  <si>
    <t>-11.395278</t>
  </si>
  <si>
    <t>-41.537500</t>
  </si>
  <si>
    <t>(074) 99973-0238</t>
  </si>
  <si>
    <t>0202-0208</t>
  </si>
  <si>
    <t>LUCIA JACO DA SILVA</t>
  </si>
  <si>
    <t>PANIFICADORA JR 01</t>
  </si>
  <si>
    <t>AV RUMAO GRAMACHO, 69</t>
  </si>
  <si>
    <t>-11.453495</t>
  </si>
  <si>
    <t>-41.436348</t>
  </si>
  <si>
    <t>(074) 99963-7400</t>
  </si>
  <si>
    <t>0202-0212</t>
  </si>
  <si>
    <t>NUBIA CATIA DE BRITO SILVA</t>
  </si>
  <si>
    <t>ESPETINHO NP</t>
  </si>
  <si>
    <t>PRC ARTUR BISPO DO ROSARIO S</t>
  </si>
  <si>
    <t>-11.308611</t>
  </si>
  <si>
    <t>-41.478890</t>
  </si>
  <si>
    <t>(074) 99959-4092</t>
  </si>
  <si>
    <t>0202-0213</t>
  </si>
  <si>
    <t>KEILA FRANCIANE ALMEIDA DA SILVA</t>
  </si>
  <si>
    <t>MERCADO CESTAO 01</t>
  </si>
  <si>
    <t>AV IRECE 4</t>
  </si>
  <si>
    <t>-41.475000</t>
  </si>
  <si>
    <t>(074) 99908-6427</t>
  </si>
  <si>
    <t>0202-0217</t>
  </si>
  <si>
    <t>MARCO ANTONIO DA SILVA</t>
  </si>
  <si>
    <t>MERCADO SARHA</t>
  </si>
  <si>
    <t>PRC PRACA HERMANO, 116</t>
  </si>
  <si>
    <t>-41.479443</t>
  </si>
  <si>
    <t>(074) 99947-3054</t>
  </si>
  <si>
    <t>0202-0226</t>
  </si>
  <si>
    <t>JOAO NETO DA SILVA NOBREGA</t>
  </si>
  <si>
    <t>J E V DISTRIBUIDORA</t>
  </si>
  <si>
    <t>PRC PRACA SANDOVAL SOARES FLORES, 420</t>
  </si>
  <si>
    <t>-11.441589</t>
  </si>
  <si>
    <t>-41.426914</t>
  </si>
  <si>
    <t>(074) 99815-6320</t>
  </si>
  <si>
    <t>0202-0229</t>
  </si>
  <si>
    <t>DORANICE ROSA DA ROCHA PEREIRA</t>
  </si>
  <si>
    <t>PIZZARI NOSTRA MASSA</t>
  </si>
  <si>
    <t>TRV TRAVESSA 2 DE JULHO</t>
  </si>
  <si>
    <t>-11.474011</t>
  </si>
  <si>
    <t>-41.515717</t>
  </si>
  <si>
    <t>(074) 99910-0589</t>
  </si>
  <si>
    <t>0202-0233</t>
  </si>
  <si>
    <t>RAMON JACO DA SILVA SANTOS</t>
  </si>
  <si>
    <t>MERCADO JR SOARES</t>
  </si>
  <si>
    <t>PRC PRACA DA MATRIZ, 550</t>
  </si>
  <si>
    <t>-11.309142</t>
  </si>
  <si>
    <t>-41.479244</t>
  </si>
  <si>
    <t>(074) 99956-6170</t>
  </si>
  <si>
    <t>0202-0236</t>
  </si>
  <si>
    <t>REGILENE BROTAS DA SILVA BARROS</t>
  </si>
  <si>
    <t>COMERCIAL RODRIGUE02</t>
  </si>
  <si>
    <t>RUA RUA DOIS DE JULHO, 33</t>
  </si>
  <si>
    <t>PREVENIDO DE AMERICA</t>
  </si>
  <si>
    <t>-11.473980</t>
  </si>
  <si>
    <t>-41.515396</t>
  </si>
  <si>
    <t>(074) 99918-6808</t>
  </si>
  <si>
    <t>0202-0241</t>
  </si>
  <si>
    <t>VINICIUS FREITAS SILVA</t>
  </si>
  <si>
    <t>SUPERMERCADO SILVA04</t>
  </si>
  <si>
    <t>RUA RUA DO COLEGIO, 9979</t>
  </si>
  <si>
    <t>-11.453600</t>
  </si>
  <si>
    <t>-41.437070</t>
  </si>
  <si>
    <t>(074) 99988-4695</t>
  </si>
  <si>
    <t>0202-0243</t>
  </si>
  <si>
    <t>MATHEUS SILVA DAS NEVES</t>
  </si>
  <si>
    <t>ACAI DOS PRIMOS</t>
  </si>
  <si>
    <t>AV AVENIDA ROMAO GRAMACHO, 405</t>
  </si>
  <si>
    <t>-11.453387</t>
  </si>
  <si>
    <t>-41.435677</t>
  </si>
  <si>
    <t>0202-0248</t>
  </si>
  <si>
    <t>RENAN MENDES NOVAES</t>
  </si>
  <si>
    <t>AUTO POSTO DONA AME</t>
  </si>
  <si>
    <t>POV LAGOA DOS BORGES, 7899</t>
  </si>
  <si>
    <t>-11.398708</t>
  </si>
  <si>
    <t>-41.531530</t>
  </si>
  <si>
    <t>(074) 99991-8440</t>
  </si>
  <si>
    <t>0202-0250</t>
  </si>
  <si>
    <t>RAIMUNDA PAZ DA NOBREGA DOURADO</t>
  </si>
  <si>
    <t>COFFE NOBREGA</t>
  </si>
  <si>
    <t>TRV TRAVESSA 1 ROMAO GRAMACHO, 28</t>
  </si>
  <si>
    <t>-11.453585</t>
  </si>
  <si>
    <t>-41.436317</t>
  </si>
  <si>
    <t>(074) 99930-0184</t>
  </si>
  <si>
    <t>0202-0251</t>
  </si>
  <si>
    <t>MARCIA ALVES DE ALMEIDA</t>
  </si>
  <si>
    <t>OFICINA DO SABOR</t>
  </si>
  <si>
    <t>RUA RUA DO ASFALTO, 278</t>
  </si>
  <si>
    <t>-11.442759</t>
  </si>
  <si>
    <t>-41.426490</t>
  </si>
  <si>
    <t>(074) 88410-4403</t>
  </si>
  <si>
    <t>0202-0252</t>
  </si>
  <si>
    <t>DEBORA SANTOS DA SILVA</t>
  </si>
  <si>
    <t>RESTAURANTE E ADEGA</t>
  </si>
  <si>
    <t>RUA RUA DO ASFALTO</t>
  </si>
  <si>
    <t>-11.442242</t>
  </si>
  <si>
    <t>-41.424885</t>
  </si>
  <si>
    <t>(074) 99812-7564</t>
  </si>
  <si>
    <t>0202-0253</t>
  </si>
  <si>
    <t>ROBERVAL MADUREIRA DOS SANTOS</t>
  </si>
  <si>
    <t>LANCHONETE DO GALEGO</t>
  </si>
  <si>
    <t>AV AVENIDA ROMAO GRAMACHO, 50</t>
  </si>
  <si>
    <t>-11.449751</t>
  </si>
  <si>
    <t>-41.434742</t>
  </si>
  <si>
    <t>(074) 99904-4127</t>
  </si>
  <si>
    <t>0202-0257</t>
  </si>
  <si>
    <t>JOAO DOURADO DOS SANTOS</t>
  </si>
  <si>
    <t>PAMONHA AMERICA</t>
  </si>
  <si>
    <t>RUA RUA MORRO DO CHAPEU, 9994</t>
  </si>
  <si>
    <t>-11.443203</t>
  </si>
  <si>
    <t>-41.423756</t>
  </si>
  <si>
    <t>(074) 99935-0717</t>
  </si>
  <si>
    <t>0202-0258</t>
  </si>
  <si>
    <t>RUBENILDE AVELINA DE ARAUJO SILVA</t>
  </si>
  <si>
    <t>CASA DA CARNE     01</t>
  </si>
  <si>
    <t>RUA RUA JOAO BIDO, 219</t>
  </si>
  <si>
    <t>-11.442217</t>
  </si>
  <si>
    <t>-41.427840</t>
  </si>
  <si>
    <t>(074) 98801-2302</t>
  </si>
  <si>
    <t>0202-0259</t>
  </si>
  <si>
    <t>LECIONE MATOS DA SILVA</t>
  </si>
  <si>
    <t>CANTINHO DO SABOR 01</t>
  </si>
  <si>
    <t>PRC PRACA BELA VISTA, 404</t>
  </si>
  <si>
    <t>-11.308185</t>
  </si>
  <si>
    <t>-41.474236</t>
  </si>
  <si>
    <t>(074) 99972-2314</t>
  </si>
  <si>
    <t>0202-0260</t>
  </si>
  <si>
    <t>SARAH QUEIROZ DE LIMA</t>
  </si>
  <si>
    <t>MERCEARIA SERTAO</t>
  </si>
  <si>
    <t>RUA RUA DA CAIXA DAGUA 2, 85</t>
  </si>
  <si>
    <t>-11.367202</t>
  </si>
  <si>
    <t>-41.597218</t>
  </si>
  <si>
    <t>(749) 99177-4481</t>
  </si>
  <si>
    <t>0202-0262</t>
  </si>
  <si>
    <t>SILVANEIDE SANTOS COSTA</t>
  </si>
  <si>
    <t>RESTAURANTE PONTO CE</t>
  </si>
  <si>
    <t>RUA RUA RIO DE JANEIRO, 106</t>
  </si>
  <si>
    <t>-11.441741</t>
  </si>
  <si>
    <t>-41.427525</t>
  </si>
  <si>
    <t>(074) 99958-2186</t>
  </si>
  <si>
    <t>0202-0264</t>
  </si>
  <si>
    <t>RONEY VASCONCELOS AMADOR</t>
  </si>
  <si>
    <t>ACOUGUE RV</t>
  </si>
  <si>
    <t>AV TORQUATO J DE SOUZA, 891</t>
  </si>
  <si>
    <t>-11.307637</t>
  </si>
  <si>
    <t>-41.469666</t>
  </si>
  <si>
    <t>(074) 99811-6558</t>
  </si>
  <si>
    <t>0202-0265</t>
  </si>
  <si>
    <t>45772268 LTDA</t>
  </si>
  <si>
    <t>DISTRIBUIDOR BROTAS</t>
  </si>
  <si>
    <t>RUA ADALBERTO GOCALVES, 59</t>
  </si>
  <si>
    <t>-11.452263</t>
  </si>
  <si>
    <t>-41.439137</t>
  </si>
  <si>
    <t>(074) 99941-9012</t>
  </si>
  <si>
    <t>0202-0268</t>
  </si>
  <si>
    <t>FRANCILENE JACO DA SILVA SANTOS</t>
  </si>
  <si>
    <t>PANIFICADORA E MERC</t>
  </si>
  <si>
    <t>RUA RUA DO ASFALTO, 9999</t>
  </si>
  <si>
    <t>-11.442646</t>
  </si>
  <si>
    <t>-41.425080</t>
  </si>
  <si>
    <t>(074) 98818-7571</t>
  </si>
  <si>
    <t>0202-0269</t>
  </si>
  <si>
    <t>KELLY CRISTINA PINHEIRO DE OLIVEIRA</t>
  </si>
  <si>
    <t>MERCADO DO POVO   02</t>
  </si>
  <si>
    <t>RUA NOVA RUA 4, 9996</t>
  </si>
  <si>
    <t>-11.441083</t>
  </si>
  <si>
    <t>-41.421974</t>
  </si>
  <si>
    <t>(074) 98832-4609</t>
  </si>
  <si>
    <t>0202-0270</t>
  </si>
  <si>
    <t>ELIS CAIRO ARAUJO DOURADO FILHO LTDA</t>
  </si>
  <si>
    <t>SUPERMERCADO CASA DA</t>
  </si>
  <si>
    <t>PRC ARTUR BISPO DO ROSARIO, 200</t>
  </si>
  <si>
    <t>-11.308825</t>
  </si>
  <si>
    <t>-41.478973</t>
  </si>
  <si>
    <t>(074) 99934-4343</t>
  </si>
  <si>
    <t>0202-0272</t>
  </si>
  <si>
    <t>ELIETE SANTIAGO DE OLIVEIRA</t>
  </si>
  <si>
    <t>DIVINO LANCHE</t>
  </si>
  <si>
    <t>TRV 11 DE JULHO, 20</t>
  </si>
  <si>
    <t>-41.515957</t>
  </si>
  <si>
    <t>(074) 99935-2692</t>
  </si>
  <si>
    <t>0202-0273</t>
  </si>
  <si>
    <t>ELIANDRO PEREIRA DOS SANTOS</t>
  </si>
  <si>
    <t>BAR E DIST DO LEANDR</t>
  </si>
  <si>
    <t>RUA 2 DE JULHO, 243</t>
  </si>
  <si>
    <t>-11.474166</t>
  </si>
  <si>
    <t>-41.517406</t>
  </si>
  <si>
    <t>(061) 99959-9701</t>
  </si>
  <si>
    <t>0202-0274</t>
  </si>
  <si>
    <t>FRANCISCO DA SILVA FERREIRA</t>
  </si>
  <si>
    <t>ESTACAO LANCHES</t>
  </si>
  <si>
    <t>AV MAO GRAMACHO, 409</t>
  </si>
  <si>
    <t>-11.453341</t>
  </si>
  <si>
    <t>-41.435920</t>
  </si>
  <si>
    <t>(083) 99645-2079</t>
  </si>
  <si>
    <t>0202-0275</t>
  </si>
  <si>
    <t>NOVA AMERICA II COMERCIO DE COMBUST LTDA</t>
  </si>
  <si>
    <t>AUTO POST NOVA AMERI</t>
  </si>
  <si>
    <t>RUA ROSALVO BENTO DE SANTANA</t>
  </si>
  <si>
    <t>-11.441282</t>
  </si>
  <si>
    <t>-41.431962</t>
  </si>
  <si>
    <t>(073) 98103-6559</t>
  </si>
  <si>
    <t>0202-0276</t>
  </si>
  <si>
    <t>NOVA AMERICA I COMERCIO DE CONBUSTIVEL</t>
  </si>
  <si>
    <t>NOVA AMERICA I COMER</t>
  </si>
  <si>
    <t>ROD RODOVIA BA 052 01</t>
  </si>
  <si>
    <t>(074) 09121-1497</t>
  </si>
  <si>
    <t>0202-0277</t>
  </si>
  <si>
    <t>VITOR LEITE DA SILVA</t>
  </si>
  <si>
    <t>DISTRIBUI IPANEMA</t>
  </si>
  <si>
    <t>RUA DO ASFALTO, 14</t>
  </si>
  <si>
    <t>-11.367340</t>
  </si>
  <si>
    <t>-41.595634</t>
  </si>
  <si>
    <t>(074) 99924-1848</t>
  </si>
  <si>
    <t>0202-0278</t>
  </si>
  <si>
    <t>RAFAEL ALVES DO NACISIMENTO</t>
  </si>
  <si>
    <t>MERCADO R S</t>
  </si>
  <si>
    <t>AV IRECE 1, 1</t>
  </si>
  <si>
    <t>-11.309161</t>
  </si>
  <si>
    <t>-41.472226</t>
  </si>
  <si>
    <t>(011) 94357-8494</t>
  </si>
  <si>
    <t>0202-0279</t>
  </si>
  <si>
    <t>VICTOR RODIGUES FALCAO</t>
  </si>
  <si>
    <t>JVL DIST D AGUA E BE</t>
  </si>
  <si>
    <t>PRC DO MERCADO, 998</t>
  </si>
  <si>
    <t>-11.445766</t>
  </si>
  <si>
    <t>-41.432235</t>
  </si>
  <si>
    <t>(074) 99984-9468</t>
  </si>
  <si>
    <t>0202-0280</t>
  </si>
  <si>
    <t>JACIELE DA SILVA DUARTE</t>
  </si>
  <si>
    <t>COMERCIAL FELIPE</t>
  </si>
  <si>
    <t>AV DO ASFALTO, 340</t>
  </si>
  <si>
    <t>-11.366481</t>
  </si>
  <si>
    <t>-41.596084</t>
  </si>
  <si>
    <t>(074) 99978-0312</t>
  </si>
  <si>
    <t>0202-0281</t>
  </si>
  <si>
    <t>JULIO CEZAR DIAS DOS SANTOS</t>
  </si>
  <si>
    <t>SUPER IDEAL       01</t>
  </si>
  <si>
    <t>RUA R DO CONTORNO, 51</t>
  </si>
  <si>
    <t>SOARES DO MEIO</t>
  </si>
  <si>
    <t>-11.308380</t>
  </si>
  <si>
    <t>-41.472235</t>
  </si>
  <si>
    <t>(074) 99932-7958</t>
  </si>
  <si>
    <t>0202-0282</t>
  </si>
  <si>
    <t>SIRLEIDE DA SILVA ALVES COUTINHO</t>
  </si>
  <si>
    <t>MERCADO RODRIGUES 03</t>
  </si>
  <si>
    <t>RUA R RIO DE JANEIRO, 82</t>
  </si>
  <si>
    <t>-11.441496</t>
  </si>
  <si>
    <t>-41.427383</t>
  </si>
  <si>
    <t>(074) 98831-8858</t>
  </si>
  <si>
    <t>0202-0283</t>
  </si>
  <si>
    <t>ALCENOR DE SOUSA NOGUEIRA</t>
  </si>
  <si>
    <t>SUPERMERCADO IDEAL01</t>
  </si>
  <si>
    <t>RUA R DA LAGOA I, 91</t>
  </si>
  <si>
    <t>-11.307626</t>
  </si>
  <si>
    <t>-41.479800</t>
  </si>
  <si>
    <t>(074) 99909-6125</t>
  </si>
  <si>
    <t>0202-0284</t>
  </si>
  <si>
    <t>YOLANDA DE LMEIDA MOREIRA</t>
  </si>
  <si>
    <t>MERCADINHO E DIST AF</t>
  </si>
  <si>
    <t>RUA NESTOR PEREIRA GORGES, 355</t>
  </si>
  <si>
    <t>-11.453566</t>
  </si>
  <si>
    <t>-41.436914</t>
  </si>
  <si>
    <t>(074) 98852-5859</t>
  </si>
  <si>
    <t>0202-0285</t>
  </si>
  <si>
    <t>SEVERINO SILVA DE OLIVEIRA</t>
  </si>
  <si>
    <t>MERCADO MARIANE</t>
  </si>
  <si>
    <t>ROD POV L DOS BORGES BA 052, 144</t>
  </si>
  <si>
    <t>-11.396608</t>
  </si>
  <si>
    <t>-41.533303</t>
  </si>
  <si>
    <t>(074) 99968-1964</t>
  </si>
  <si>
    <t>0202-0286</t>
  </si>
  <si>
    <t>ANA PAULA SANTOS SOUZA</t>
  </si>
  <si>
    <t>RESTAURANTE OXENTE</t>
  </si>
  <si>
    <t>AV DO ASFALTO, 186</t>
  </si>
  <si>
    <t>-11.367476</t>
  </si>
  <si>
    <t>-41.593778</t>
  </si>
  <si>
    <t>(074) 99984-3015</t>
  </si>
  <si>
    <t>0203-0002</t>
  </si>
  <si>
    <t>RONILSON R BARRETO</t>
  </si>
  <si>
    <t>MECADO DO RONILSON</t>
  </si>
  <si>
    <t>AV ALBERIC CAMPOS AV</t>
  </si>
  <si>
    <t>-11.805773</t>
  </si>
  <si>
    <t>-42.059370</t>
  </si>
  <si>
    <t>(740) 09122-0577</t>
  </si>
  <si>
    <t>0203-0006</t>
  </si>
  <si>
    <t>ANTONIO JOSE OLIVEIRA COSTA</t>
  </si>
  <si>
    <t>MERCADO LEVE +</t>
  </si>
  <si>
    <t>AV BARRA DO MENDES, 429</t>
  </si>
  <si>
    <t>-11.806208</t>
  </si>
  <si>
    <t>-42.057396</t>
  </si>
  <si>
    <t>(740) 03654-1547</t>
  </si>
  <si>
    <t>0203-0009</t>
  </si>
  <si>
    <t>ELIENE ALVES BARBOSA DE QUEIRO</t>
  </si>
  <si>
    <t>ESQUINAO LANCHES</t>
  </si>
  <si>
    <t>PRC BONFIM SR PCA</t>
  </si>
  <si>
    <t>-11.809968</t>
  </si>
  <si>
    <t>-42.061270</t>
  </si>
  <si>
    <t>(074) 03654-1273</t>
  </si>
  <si>
    <t>0203-0022</t>
  </si>
  <si>
    <t>SANDRO BATISTA DE OLIVEIRA</t>
  </si>
  <si>
    <t>BAR DO SANDRO</t>
  </si>
  <si>
    <t>RUA JURACY MAGALHAES</t>
  </si>
  <si>
    <t>-11.807591</t>
  </si>
  <si>
    <t>-42.057518</t>
  </si>
  <si>
    <t>(740) 03654-1376</t>
  </si>
  <si>
    <t>0203-0027</t>
  </si>
  <si>
    <t>FRANCISCA ELENEIDE DA SILVA</t>
  </si>
  <si>
    <t>MERCADINHO GABRIEL02</t>
  </si>
  <si>
    <t>RUA RUA 14 DE AGOSTO, 5</t>
  </si>
  <si>
    <t>LUZILANDIA BARRA DO</t>
  </si>
  <si>
    <t>-11.809425</t>
  </si>
  <si>
    <t>-42.063793</t>
  </si>
  <si>
    <t>(074) 99803-3043</t>
  </si>
  <si>
    <t>0203-0031</t>
  </si>
  <si>
    <t>DAVI RODRIGUES BARRETO DE FIGU</t>
  </si>
  <si>
    <t>SUPERM ESTRELA DE D</t>
  </si>
  <si>
    <t>PRC PCA SR DO BONFIM, 180</t>
  </si>
  <si>
    <t>-11.810116</t>
  </si>
  <si>
    <t>-42.060707</t>
  </si>
  <si>
    <t>(074) 99977-4120</t>
  </si>
  <si>
    <t>0203-0033</t>
  </si>
  <si>
    <t>J ABREU COM DE CEREAIS LTDA</t>
  </si>
  <si>
    <t>SUPERMERCADO JSC</t>
  </si>
  <si>
    <t>RUA MANOEL NOVAES, 35</t>
  </si>
  <si>
    <t>-11.809681</t>
  </si>
  <si>
    <t>-42.063080</t>
  </si>
  <si>
    <t>(074) 99122-6534</t>
  </si>
  <si>
    <t>0203-0042</t>
  </si>
  <si>
    <t>DORIEDSON ANTONIO SODRE</t>
  </si>
  <si>
    <t>PIPOCA MERCADINHO</t>
  </si>
  <si>
    <t>RUA RUA VENCESLAU PACHECO, 17</t>
  </si>
  <si>
    <t>-11.807731</t>
  </si>
  <si>
    <t>-42.062393</t>
  </si>
  <si>
    <t>(074) 99116-1178</t>
  </si>
  <si>
    <t>0203-0046</t>
  </si>
  <si>
    <t>AILSON ALVES DE ANDRADE</t>
  </si>
  <si>
    <t>MERCADINHO DO AILSON</t>
  </si>
  <si>
    <t>AV AV FELIPE MENDES</t>
  </si>
  <si>
    <t>Q DO MENDES</t>
  </si>
  <si>
    <t>-11.765339</t>
  </si>
  <si>
    <t>-42.058796</t>
  </si>
  <si>
    <t>(074) 99116-6252</t>
  </si>
  <si>
    <t>0203-0052</t>
  </si>
  <si>
    <t>ANTONIO FRANCISCO RODRIGUES DE FREITAS</t>
  </si>
  <si>
    <t>VERDURAO 01 57</t>
  </si>
  <si>
    <t>RUA RUA DR SEBASTIAO NESTOR</t>
  </si>
  <si>
    <t>-11.809630</t>
  </si>
  <si>
    <t>-42.061184</t>
  </si>
  <si>
    <t>(074) 99117-4042</t>
  </si>
  <si>
    <t>0203-0053</t>
  </si>
  <si>
    <t>DANIELA SANTOS MATOS</t>
  </si>
  <si>
    <t>SUPERMERCADO SAO LU</t>
  </si>
  <si>
    <t>RUA RUA MAXIMINIANO AMORIM, 183</t>
  </si>
  <si>
    <t>SODRELANDIA</t>
  </si>
  <si>
    <t>-11.809146</t>
  </si>
  <si>
    <t>-42.061260</t>
  </si>
  <si>
    <t>(740) 03654-1258</t>
  </si>
  <si>
    <t>0203-0056</t>
  </si>
  <si>
    <t>DANILO FIGUEIREDO ALVES PEREIRA</t>
  </si>
  <si>
    <t>CESTAO DA ECONOMIA01</t>
  </si>
  <si>
    <t>RUA EURICO COELHO, 157</t>
  </si>
  <si>
    <t>-11.809829</t>
  </si>
  <si>
    <t>-42.059746</t>
  </si>
  <si>
    <t>(740) 99111-4978</t>
  </si>
  <si>
    <t>0203-0058</t>
  </si>
  <si>
    <t>ROBERVAL COELHO PIMENTEL</t>
  </si>
  <si>
    <t>PADARIA E MASSAS COP</t>
  </si>
  <si>
    <t>RUA ALBERIC CAMPOS DE OLIVEIRA, 100</t>
  </si>
  <si>
    <t>-11.803606</t>
  </si>
  <si>
    <t>-42.058914</t>
  </si>
  <si>
    <t>(740) 03654-1303</t>
  </si>
  <si>
    <t>0203-0061</t>
  </si>
  <si>
    <t>MARIA DE LOURDES OLIVEIRA DA CONCEICAO</t>
  </si>
  <si>
    <t>RESTAURANTE SAO JO01</t>
  </si>
  <si>
    <t>TRV TRAVESSA CORONEL HORACIO DE MATOS, 80</t>
  </si>
  <si>
    <t>-11.805591</t>
  </si>
  <si>
    <t>-42.057056</t>
  </si>
  <si>
    <t>0203-0073</t>
  </si>
  <si>
    <t>LUCIANO ALVES DA ROCHA</t>
  </si>
  <si>
    <t>PASTEL DO LUCIANO</t>
  </si>
  <si>
    <t>RUA RUA RIO CORUMBA, 315 / 02030073</t>
  </si>
  <si>
    <t>-11.310936</t>
  </si>
  <si>
    <t>-41.851604</t>
  </si>
  <si>
    <t>(740) 99189-8176</t>
  </si>
  <si>
    <t>0203-0085</t>
  </si>
  <si>
    <t>JAIRO GOMES GARRIDO</t>
  </si>
  <si>
    <t>LANCH AGUA NA BOCA</t>
  </si>
  <si>
    <t>PRC DEPUTADO NETO COELHO</t>
  </si>
  <si>
    <t>-11.810736</t>
  </si>
  <si>
    <t>-42.058530</t>
  </si>
  <si>
    <t>(074) 98101-8555</t>
  </si>
  <si>
    <t>0203-0089</t>
  </si>
  <si>
    <t>ELIAS GOMES DE PAULA</t>
  </si>
  <si>
    <t>ELIAS LANCHES</t>
  </si>
  <si>
    <t>RUA ALBERICO C DE OLIVEIRA</t>
  </si>
  <si>
    <t>-11.806474</t>
  </si>
  <si>
    <t>-42.059640</t>
  </si>
  <si>
    <t>(740) 99987-7908</t>
  </si>
  <si>
    <t>0203-0092</t>
  </si>
  <si>
    <t>GILMAR BARBOSA DE NOVAES</t>
  </si>
  <si>
    <t>VG SUPER</t>
  </si>
  <si>
    <t>RUA OITO DE DEZEMBRO, 128</t>
  </si>
  <si>
    <t>-11.803185</t>
  </si>
  <si>
    <t>-42.061577</t>
  </si>
  <si>
    <t>(074) 99196-5398</t>
  </si>
  <si>
    <t>0203-0109</t>
  </si>
  <si>
    <t>DEBORA LETICIA DE SOUZA MIRANDA</t>
  </si>
  <si>
    <t>LANCHONETE LETICIA</t>
  </si>
  <si>
    <t>RUA MAXIMINO AMORIM</t>
  </si>
  <si>
    <t>-11.809225</t>
  </si>
  <si>
    <t>-42.061110</t>
  </si>
  <si>
    <t>(400) 09126-6311</t>
  </si>
  <si>
    <t>0203-0119</t>
  </si>
  <si>
    <t>DANIEL MARTINS RODRIGUES DE SOUSA</t>
  </si>
  <si>
    <t>ROSCKA BOTEQUIM 01</t>
  </si>
  <si>
    <t>PRC NESTOR COELHO, 300</t>
  </si>
  <si>
    <t>-11.810693</t>
  </si>
  <si>
    <t>-42.058830</t>
  </si>
  <si>
    <t>(074) 99919-3422</t>
  </si>
  <si>
    <t>0203-0131</t>
  </si>
  <si>
    <t>JOAO MILTON GUEDES MRANDA</t>
  </si>
  <si>
    <t>MERCADO SAO JOAO</t>
  </si>
  <si>
    <t>AV AV JURACY MAGALHAES, 282</t>
  </si>
  <si>
    <t>-11.807418</t>
  </si>
  <si>
    <t>-42.057480</t>
  </si>
  <si>
    <t>(074) 99906-5736</t>
  </si>
  <si>
    <t>0203-0133</t>
  </si>
  <si>
    <t>RAILDE DE SOUZA PEREIRA OLIVEIRA</t>
  </si>
  <si>
    <t>ORGDA VARIEDADES</t>
  </si>
  <si>
    <t>AV TEONILIO GOMES DE OLIVEIRA, 220</t>
  </si>
  <si>
    <t>-11.807987</t>
  </si>
  <si>
    <t>-42.061000</t>
  </si>
  <si>
    <t>(071) 99175-4125</t>
  </si>
  <si>
    <t>0203-0144</t>
  </si>
  <si>
    <t>WERITON RODRIGUES PIMENTEL</t>
  </si>
  <si>
    <t>PAD E DEL MAE CHICA</t>
  </si>
  <si>
    <t>RUA RUA EURICO COELHO</t>
  </si>
  <si>
    <t>-11.810350</t>
  </si>
  <si>
    <t>-42.059155</t>
  </si>
  <si>
    <t>(074) 99984-0070</t>
  </si>
  <si>
    <t>0203-0148</t>
  </si>
  <si>
    <t>JOAO RODRIGUES DE MIRANDA</t>
  </si>
  <si>
    <t>MERCADO BAHIA 01</t>
  </si>
  <si>
    <t>PRC PC CORONEL MILITAO, 79</t>
  </si>
  <si>
    <t>-11.809994</t>
  </si>
  <si>
    <t>-42.060978</t>
  </si>
  <si>
    <t>(074) 99137-4454</t>
  </si>
  <si>
    <t>0203-0152</t>
  </si>
  <si>
    <t>EDENILTON DA SILVA MATOS</t>
  </si>
  <si>
    <t>PIZZARIA A FAVORITA</t>
  </si>
  <si>
    <t>RUA RUA FELIPE MENDES, 9947</t>
  </si>
  <si>
    <t>QUEIMADA DO MENDES</t>
  </si>
  <si>
    <t>-11.760936</t>
  </si>
  <si>
    <t>-42.061073</t>
  </si>
  <si>
    <t>(074) 99132-6937</t>
  </si>
  <si>
    <t>0203-0154</t>
  </si>
  <si>
    <t>ANA PAULA COMERCIO DE BEBIDAS LTDA</t>
  </si>
  <si>
    <t>ANA PAULA COM BEBIDA</t>
  </si>
  <si>
    <t>RUA R EURICO COELHO, 54</t>
  </si>
  <si>
    <t>-11.810364</t>
  </si>
  <si>
    <t>-42.059402</t>
  </si>
  <si>
    <t>(074) 99192-7833</t>
  </si>
  <si>
    <t>0203-0158</t>
  </si>
  <si>
    <t>GILMARA MATOS SANTOS NOVAES</t>
  </si>
  <si>
    <t>MERCADINHO MATOS 01</t>
  </si>
  <si>
    <t>RUA RUA 14 DE AGOSTO</t>
  </si>
  <si>
    <t>-11.809360</t>
  </si>
  <si>
    <t>-42.062760</t>
  </si>
  <si>
    <t>(074) 99133-5193</t>
  </si>
  <si>
    <t>0203-0159</t>
  </si>
  <si>
    <t>MARIO JORGE BARBOSA DE OLIVEIRA</t>
  </si>
  <si>
    <t>COMERCIAL BARRA</t>
  </si>
  <si>
    <t>PRC SANTO ANTONIO, 78</t>
  </si>
  <si>
    <t>-11.803808</t>
  </si>
  <si>
    <t>-42.059875</t>
  </si>
  <si>
    <t>(074) 99991-3447</t>
  </si>
  <si>
    <t>0203-0160</t>
  </si>
  <si>
    <t>CLAUDIO FILHO SILVA DE OLIVEIRA</t>
  </si>
  <si>
    <t>BAR E CONV CAU BOTEQ</t>
  </si>
  <si>
    <t>PRC NESTOR COELHO, 5</t>
  </si>
  <si>
    <t>-11.810656</t>
  </si>
  <si>
    <t>-42.058662</t>
  </si>
  <si>
    <t>(074) 99196-4265</t>
  </si>
  <si>
    <t>0203-0168</t>
  </si>
  <si>
    <t>ROSANGELA ABADE SILVA</t>
  </si>
  <si>
    <t>BAR DA RO</t>
  </si>
  <si>
    <t>RUA RUA 14 DE AGOSTO, 9</t>
  </si>
  <si>
    <t>-11.809623</t>
  </si>
  <si>
    <t>-42.061214</t>
  </si>
  <si>
    <t>(074) 99132-8313</t>
  </si>
  <si>
    <t>0203-0171</t>
  </si>
  <si>
    <t>ANDRESSON ALVES DE CERQUEIRA</t>
  </si>
  <si>
    <t>STOP BEER DISTRIBUID</t>
  </si>
  <si>
    <t>RUA RUA FRANCISCO ALVES DE SOUZA, 165</t>
  </si>
  <si>
    <t>-11.806413</t>
  </si>
  <si>
    <t>-42.062183</t>
  </si>
  <si>
    <t>(074) 99124-6131</t>
  </si>
  <si>
    <t>0203-0175</t>
  </si>
  <si>
    <t>ELIVANETE FERNANDES FARIAS DE SOUSA</t>
  </si>
  <si>
    <t>SUPERMERCADO HIPER I</t>
  </si>
  <si>
    <t>COM COMUNIDADE RUA JOSE SOARES DE FREITAS, 3</t>
  </si>
  <si>
    <t>-11.766220</t>
  </si>
  <si>
    <t>-42.057995</t>
  </si>
  <si>
    <t>(074) 99943-7922</t>
  </si>
  <si>
    <t>0203-0177</t>
  </si>
  <si>
    <t>ANDRE ROSA DE ANDRADE</t>
  </si>
  <si>
    <t>SUPERMERCADO TH</t>
  </si>
  <si>
    <t>RUA RUA FELIPE MENDES, 2352</t>
  </si>
  <si>
    <t>-11.761733</t>
  </si>
  <si>
    <t>-42.060320</t>
  </si>
  <si>
    <t>(074) 99161-3649</t>
  </si>
  <si>
    <t>0203-0178</t>
  </si>
  <si>
    <t>WILSON ABADE NASCIMENTO</t>
  </si>
  <si>
    <t>CANTINA ORIENTAL</t>
  </si>
  <si>
    <t>POV POVOADO DE QUEIMADA DO MENDES, 5</t>
  </si>
  <si>
    <t>-11.767095</t>
  </si>
  <si>
    <t>-42.057026</t>
  </si>
  <si>
    <t>(074) 99911-7693</t>
  </si>
  <si>
    <t>0203-0180</t>
  </si>
  <si>
    <t>LUA BARRETO DE LIMA</t>
  </si>
  <si>
    <t>SUCHI MAKI</t>
  </si>
  <si>
    <t>AV AVENIDA FELIPE MENDES, 270</t>
  </si>
  <si>
    <t>-11.765048</t>
  </si>
  <si>
    <t>-42.058533</t>
  </si>
  <si>
    <t>(074) 99944-1495</t>
  </si>
  <si>
    <t>0203-0183</t>
  </si>
  <si>
    <t>ANDREZA GOMES DOS SANTOS</t>
  </si>
  <si>
    <t>RESTAURANTE DA CHINA</t>
  </si>
  <si>
    <t>POV POVOADO QUEIMADA DO MENDES, 6830</t>
  </si>
  <si>
    <t>-11.767903</t>
  </si>
  <si>
    <t>-42.056570</t>
  </si>
  <si>
    <t>(074) 99964-0601</t>
  </si>
  <si>
    <t>0203-0184</t>
  </si>
  <si>
    <t>RODRIGO FIGUEIREDO ALVES MALAQUIAS</t>
  </si>
  <si>
    <t>BONZAO SUPERMERCADO</t>
  </si>
  <si>
    <t>RUA RUA LANDULFO ALVES, 150</t>
  </si>
  <si>
    <t>IMACULADA CONCEICAO</t>
  </si>
  <si>
    <t>-11.809793</t>
  </si>
  <si>
    <t>-42.060184</t>
  </si>
  <si>
    <t>(071) 99992-6661</t>
  </si>
  <si>
    <t>0203-0185</t>
  </si>
  <si>
    <t>SARAH BENICIO SODRE</t>
  </si>
  <si>
    <t>JAPA DELIVERY</t>
  </si>
  <si>
    <t>POV POVOADO DE SAO BENTO</t>
  </si>
  <si>
    <t>SAO BENTO</t>
  </si>
  <si>
    <t>-11.806006</t>
  </si>
  <si>
    <t>-42.084316</t>
  </si>
  <si>
    <t>(074) 99928-2286</t>
  </si>
  <si>
    <t>0203-0189</t>
  </si>
  <si>
    <t>KAIAN SODRE DOS SANTOS</t>
  </si>
  <si>
    <t>ESPETINHO DO MANCAMB</t>
  </si>
  <si>
    <t>RUA ANTONIO SODRE BARRETO, 999999</t>
  </si>
  <si>
    <t>-11.810832</t>
  </si>
  <si>
    <t>-42.058086</t>
  </si>
  <si>
    <t>(074) 99991-7710</t>
  </si>
  <si>
    <t>0203-0192</t>
  </si>
  <si>
    <t>REZIANE VIEIRA BARBOSA DE JESUS</t>
  </si>
  <si>
    <t>MERCADO COMPRE BEM01</t>
  </si>
  <si>
    <t>AV FELIPE MENDES, 131</t>
  </si>
  <si>
    <t>-11.766695</t>
  </si>
  <si>
    <t>-42.057873</t>
  </si>
  <si>
    <t>(074) 99101-8537</t>
  </si>
  <si>
    <t>0203-0193</t>
  </si>
  <si>
    <t>VIRGINIA BARRETO OLIVEIRA</t>
  </si>
  <si>
    <t>VG SUPER          01</t>
  </si>
  <si>
    <t>RUA OITO DE DEZMBRO, 128</t>
  </si>
  <si>
    <t>-11.803170</t>
  </si>
  <si>
    <t>-42.061573</t>
  </si>
  <si>
    <t>(074) 09196-5398</t>
  </si>
  <si>
    <t>0203-0195</t>
  </si>
  <si>
    <t>MARIA APARECIDA DA CRUZ SODRE</t>
  </si>
  <si>
    <t>RESTAURANTE POR DO S</t>
  </si>
  <si>
    <t>RUA SALUSTIANO BARRETO, 160</t>
  </si>
  <si>
    <t>-11.806490</t>
  </si>
  <si>
    <t>-42.061960</t>
  </si>
  <si>
    <t>(074) 99128-9744</t>
  </si>
  <si>
    <t>0203-0197</t>
  </si>
  <si>
    <t>EVERALDO MATOS SANTOS</t>
  </si>
  <si>
    <t>MATOS CONVENENCIA</t>
  </si>
  <si>
    <t>AV ALBERICO CAMPOS DE OLIVEIRA 526, 526</t>
  </si>
  <si>
    <t>-11.804985</t>
  </si>
  <si>
    <t>-42.058509</t>
  </si>
  <si>
    <t>(074) 09189-2993</t>
  </si>
  <si>
    <t>0203-0198</t>
  </si>
  <si>
    <t>BISMARK LUIZ SANTOS COELHO</t>
  </si>
  <si>
    <t>BENDITA MASSA PIZZA</t>
  </si>
  <si>
    <t>RUA MARIA DA GLORIA, 10</t>
  </si>
  <si>
    <t>-11.810721</t>
  </si>
  <si>
    <t>-42.058482</t>
  </si>
  <si>
    <t>(074) 09192-9879</t>
  </si>
  <si>
    <t>0203-0199</t>
  </si>
  <si>
    <t>LAURICELIA ABADE DOS SANTOS</t>
  </si>
  <si>
    <t>RESTAURANTE LAURICEL</t>
  </si>
  <si>
    <t>TRV I FELIPE MENDES, 27</t>
  </si>
  <si>
    <t>-11.766836</t>
  </si>
  <si>
    <t>-42.058268</t>
  </si>
  <si>
    <t>(011) 98520-3146</t>
  </si>
  <si>
    <t>0203-0200</t>
  </si>
  <si>
    <t>SINTIA SOUSA MENDES</t>
  </si>
  <si>
    <t>COMERCIO SERTANEJO01</t>
  </si>
  <si>
    <t>POV MERCADO POVOADO MILAGRES</t>
  </si>
  <si>
    <t>ZONA RURAL BARRA DO</t>
  </si>
  <si>
    <t>-11.810410</t>
  </si>
  <si>
    <t>-42.059830</t>
  </si>
  <si>
    <t>(074) 99902-9692</t>
  </si>
  <si>
    <t>0203-0201</t>
  </si>
  <si>
    <t>ROZIANE MALAQUIAS SANTOS</t>
  </si>
  <si>
    <t>VERDURAO          01</t>
  </si>
  <si>
    <t>RUA LANDULFO ALVES, 61</t>
  </si>
  <si>
    <t>-11.809628</t>
  </si>
  <si>
    <t>-42.061314</t>
  </si>
  <si>
    <t>(071) 99284-7847</t>
  </si>
  <si>
    <t>0203-0202</t>
  </si>
  <si>
    <t>MANOEL FAUSTINO RAMOS</t>
  </si>
  <si>
    <t>COMERCIAL SERTANEJO</t>
  </si>
  <si>
    <t>RUA EURICO COELHO, 25</t>
  </si>
  <si>
    <t>-11.810376</t>
  </si>
  <si>
    <t>-42.059935</t>
  </si>
  <si>
    <t>(074) 99126-5334</t>
  </si>
  <si>
    <t>0203-0203</t>
  </si>
  <si>
    <t>JONATHAN DOS SANTOS PEREIRA</t>
  </si>
  <si>
    <t>BOTECO GELO E CIA</t>
  </si>
  <si>
    <t>AV JURACY MAGALHAES, 4</t>
  </si>
  <si>
    <t>-11.809759</t>
  </si>
  <si>
    <t>-42.058173</t>
  </si>
  <si>
    <t>(011) 99488-8243</t>
  </si>
  <si>
    <t>0204-0004</t>
  </si>
  <si>
    <t>SUPERMERCADO BARRO ALTO LTDA</t>
  </si>
  <si>
    <t>SUPERMERCADO DO LAR</t>
  </si>
  <si>
    <t>BARRO ALTO</t>
  </si>
  <si>
    <t>AV AVENIDA ANDRADE, 221</t>
  </si>
  <si>
    <t>-11.763128</t>
  </si>
  <si>
    <t>-41.909120</t>
  </si>
  <si>
    <t>(074) 99968-4040</t>
  </si>
  <si>
    <t>0204-0005</t>
  </si>
  <si>
    <t>PAULO ROBERTO CLIMACO DE OLIVEIRA</t>
  </si>
  <si>
    <t>EMPORIO DOS PAES</t>
  </si>
  <si>
    <t>AV ANDRADE AV</t>
  </si>
  <si>
    <t>-11.762610</t>
  </si>
  <si>
    <t>-41.910686</t>
  </si>
  <si>
    <t>(074) 99112-0828</t>
  </si>
  <si>
    <t>0204-0007</t>
  </si>
  <si>
    <t>EDMARIO CALAZANS DE FARIAS FIL</t>
  </si>
  <si>
    <t>O BACANIZADO</t>
  </si>
  <si>
    <t>AV AV ANDRADE, 45</t>
  </si>
  <si>
    <t>-11.762695</t>
  </si>
  <si>
    <t>-41.910740</t>
  </si>
  <si>
    <t>(740) 99965-2106</t>
  </si>
  <si>
    <t>0204-0008</t>
  </si>
  <si>
    <t>GILBERTO JOSE GOMES</t>
  </si>
  <si>
    <t>MERCADINHO GOMES0057</t>
  </si>
  <si>
    <t>PRC PCA DA IGREJA</t>
  </si>
  <si>
    <t>POV LAJEDINHO</t>
  </si>
  <si>
    <t>-11.908298</t>
  </si>
  <si>
    <t>-41.702530</t>
  </si>
  <si>
    <t>(074) 09997-8811</t>
  </si>
  <si>
    <t>0204-0013</t>
  </si>
  <si>
    <t>MIGUEL PACHECO XAVIER</t>
  </si>
  <si>
    <t>REST PEIXE FRITO</t>
  </si>
  <si>
    <t>RUA RUA BELO HORIZONTE / D0076</t>
  </si>
  <si>
    <t>-11.762856</t>
  </si>
  <si>
    <t>-41.909645</t>
  </si>
  <si>
    <t>(074) 99965-8095</t>
  </si>
  <si>
    <t>0204-0014</t>
  </si>
  <si>
    <t>MANOEL MESSIAS ALVES FILHO</t>
  </si>
  <si>
    <t>MERCADINHO GAMELEIRA</t>
  </si>
  <si>
    <t>RUA DURVAL CARNEIRO, 50</t>
  </si>
  <si>
    <t>GAMELEIRA</t>
  </si>
  <si>
    <t>-11.910200</t>
  </si>
  <si>
    <t>-41.745125</t>
  </si>
  <si>
    <t>(074) 03629-6035</t>
  </si>
  <si>
    <t>0204-0016</t>
  </si>
  <si>
    <t>GILDASIO CARNEIRO DOURADO</t>
  </si>
  <si>
    <t>BAR DO PEIXE</t>
  </si>
  <si>
    <t>PRC PRC DOIS DE JULHO, 89</t>
  </si>
  <si>
    <t>-11.909964</t>
  </si>
  <si>
    <t>-41.744995</t>
  </si>
  <si>
    <t>(074) 03629-6039</t>
  </si>
  <si>
    <t>0204-0020</t>
  </si>
  <si>
    <t>FRANCISCO JOSE DOS SANTOS-ME</t>
  </si>
  <si>
    <t>MERCADINHO ESTRELA</t>
  </si>
  <si>
    <t>RUA SEBASTIAO PCA, 106</t>
  </si>
  <si>
    <t>LAGOA FUNDA</t>
  </si>
  <si>
    <t>-11.747807</t>
  </si>
  <si>
    <t>-41.825700</t>
  </si>
  <si>
    <t>(074) 99997-9399</t>
  </si>
  <si>
    <t>0204-0022</t>
  </si>
  <si>
    <t>IVONE BRITO DOS SANTOS DAMASCENO</t>
  </si>
  <si>
    <t>RONY SUPERMERCADOS</t>
  </si>
  <si>
    <t>RUA SAO FRANCISCO, 137</t>
  </si>
  <si>
    <t>-11.760903</t>
  </si>
  <si>
    <t>-41.909626</t>
  </si>
  <si>
    <t>(740) 99969-9451</t>
  </si>
  <si>
    <t>0204-0025</t>
  </si>
  <si>
    <t>MAURICIO NUNES DA SILVA</t>
  </si>
  <si>
    <t>MERCADO SEIXAS</t>
  </si>
  <si>
    <t>RUA DURVAL CARNEIRO</t>
  </si>
  <si>
    <t>-11.910255</t>
  </si>
  <si>
    <t>-41.745667</t>
  </si>
  <si>
    <t>(074) 09938-8198</t>
  </si>
  <si>
    <t>0204-0026</t>
  </si>
  <si>
    <t>GRACIELA OLIVEIRA DOS ANJOS</t>
  </si>
  <si>
    <t>MERC HEITOR</t>
  </si>
  <si>
    <t>PRC DE 2 JULHO PRC, 990</t>
  </si>
  <si>
    <t>-11.910287</t>
  </si>
  <si>
    <t>-41.744827</t>
  </si>
  <si>
    <t>(740) 99973-7171</t>
  </si>
  <si>
    <t>0204-0028</t>
  </si>
  <si>
    <t>JOSE CARLOS TEIXEIRA</t>
  </si>
  <si>
    <t>MERC DO SILVANO</t>
  </si>
  <si>
    <t>PRC PRACA PRINCIPAL SN</t>
  </si>
  <si>
    <t>QUEIMADA DO CLARO</t>
  </si>
  <si>
    <t>-11.884875</t>
  </si>
  <si>
    <t>-41.771570</t>
  </si>
  <si>
    <t>(740) 03658-2430</t>
  </si>
  <si>
    <t>0204-0030</t>
  </si>
  <si>
    <t>ORIVAL SEIXAS CARDOSO ME</t>
  </si>
  <si>
    <t>MERC E PAD JUAZEIRO</t>
  </si>
  <si>
    <t>RUA RUA JUAZEIRO, 29</t>
  </si>
  <si>
    <t>-11.762602</t>
  </si>
  <si>
    <t>-41.913410</t>
  </si>
  <si>
    <t>(740) 03269-1237</t>
  </si>
  <si>
    <t>0204-0031</t>
  </si>
  <si>
    <t>ADAILTO BARBOSA DE OLIVEIRA</t>
  </si>
  <si>
    <t>COMERCIAL PILEQ</t>
  </si>
  <si>
    <t>PRC POVOADO PE DE LIMAO</t>
  </si>
  <si>
    <t>POV PE DE LIMAO</t>
  </si>
  <si>
    <t>-11.874637</t>
  </si>
  <si>
    <t>-41.887802</t>
  </si>
  <si>
    <t>(074) 09942-8255</t>
  </si>
  <si>
    <t>0204-0033</t>
  </si>
  <si>
    <t>ADILTON PACHECO DE SOUZA</t>
  </si>
  <si>
    <t>MERC ADILTON</t>
  </si>
  <si>
    <t>PRC ANTONIO PAULO</t>
  </si>
  <si>
    <t>POV BARREIRO</t>
  </si>
  <si>
    <t>-11.806334</t>
  </si>
  <si>
    <t>-41.961544</t>
  </si>
  <si>
    <t>0204-0034</t>
  </si>
  <si>
    <t>NORACI DAMASCENO SILVA</t>
  </si>
  <si>
    <t>MERCADINHO NORA</t>
  </si>
  <si>
    <t>PRC PRACA ANTONIO PAULO</t>
  </si>
  <si>
    <t>-41.961563</t>
  </si>
  <si>
    <t>(740) 09142-5769</t>
  </si>
  <si>
    <t>0204-0040</t>
  </si>
  <si>
    <t>JOAO BATISTA URBANO DOS SANTOS</t>
  </si>
  <si>
    <t>MERCADINHO PAI E FIL</t>
  </si>
  <si>
    <t>RUA BARRO ALTO, 127</t>
  </si>
  <si>
    <t>-11.759830</t>
  </si>
  <si>
    <t>-41.908150</t>
  </si>
  <si>
    <t>(074) 99139-8343</t>
  </si>
  <si>
    <t>0204-0081</t>
  </si>
  <si>
    <t>ERICSON SEIXAS VILELA</t>
  </si>
  <si>
    <t>CASA RURAL</t>
  </si>
  <si>
    <t>AV AVEN ANDRADE, 614</t>
  </si>
  <si>
    <t>-11.764152</t>
  </si>
  <si>
    <t>-41.906090</t>
  </si>
  <si>
    <t>(074) 99143-8849</t>
  </si>
  <si>
    <t>0204-0088</t>
  </si>
  <si>
    <t>IVANETE MENDES DE SOUZA</t>
  </si>
  <si>
    <t>REST TEMPEIRO BAIANO</t>
  </si>
  <si>
    <t>POV RURAL LAGOA DO BOI, 9980</t>
  </si>
  <si>
    <t>LAGOA DO BOI</t>
  </si>
  <si>
    <t>-11.898785</t>
  </si>
  <si>
    <t>-41.746716</t>
  </si>
  <si>
    <t>(074) 09965-0782</t>
  </si>
  <si>
    <t>0204-0089</t>
  </si>
  <si>
    <t>RAIMUNDO CEZAR ANDRADE DE SOUZA</t>
  </si>
  <si>
    <t>MERCADO ANDRADE 01</t>
  </si>
  <si>
    <t>AV TANCREDO FERNANDES, 202</t>
  </si>
  <si>
    <t>-11.914230</t>
  </si>
  <si>
    <t>-41.745700</t>
  </si>
  <si>
    <t>(074) 09957-8625</t>
  </si>
  <si>
    <t>0204-0095</t>
  </si>
  <si>
    <t>ALEF BARBOSA DE SOUZA OLIVEIRA</t>
  </si>
  <si>
    <t>CHURRASCARIA BRAZAO</t>
  </si>
  <si>
    <t>AV AV AVORADE, 815</t>
  </si>
  <si>
    <t>-11.764665</t>
  </si>
  <si>
    <t>-41.903750</t>
  </si>
  <si>
    <t>(074) 99944-9788</t>
  </si>
  <si>
    <t>0204-0099</t>
  </si>
  <si>
    <t>LUCAS DE OLIVEIRA ROCHA</t>
  </si>
  <si>
    <t>CASA DE CARNE WEM</t>
  </si>
  <si>
    <t>RUA RUA JOSE SOARES, 26</t>
  </si>
  <si>
    <t>-11.909431</t>
  </si>
  <si>
    <t>-41.745170</t>
  </si>
  <si>
    <t>(074) 99917-8687</t>
  </si>
  <si>
    <t>0204-0105</t>
  </si>
  <si>
    <t>ANTONIO DA PAIXAO BARBOSA</t>
  </si>
  <si>
    <t>REST DO ANTONIO</t>
  </si>
  <si>
    <t>PRC 2 DE JULHO, 84</t>
  </si>
  <si>
    <t>GAMELEIRA DE B ALTO</t>
  </si>
  <si>
    <t>-11.910277</t>
  </si>
  <si>
    <t>-41.744720</t>
  </si>
  <si>
    <t>(011) 94378-0945</t>
  </si>
  <si>
    <t>0204-0108</t>
  </si>
  <si>
    <t>RENATO ALVES DOS SANTOS</t>
  </si>
  <si>
    <t>MERCADO SANTOS 07</t>
  </si>
  <si>
    <t>POV POVOADO BAIXA FUNDA, 125</t>
  </si>
  <si>
    <t>BAIXA FUNDA</t>
  </si>
  <si>
    <t>-11.910244</t>
  </si>
  <si>
    <t>-41.746060</t>
  </si>
  <si>
    <t>(075) 99936-8114</t>
  </si>
  <si>
    <t>0204-0112</t>
  </si>
  <si>
    <t>JOSE CARLOS RODRIGUES DE SOUSA</t>
  </si>
  <si>
    <t>CASA DE CARNE JK</t>
  </si>
  <si>
    <t>RUA RUA EGIDIO MIRANDA, 9999</t>
  </si>
  <si>
    <t>-11.894722</t>
  </si>
  <si>
    <t>-41.746944</t>
  </si>
  <si>
    <t>(011) 99879-3516</t>
  </si>
  <si>
    <t>0204-0113</t>
  </si>
  <si>
    <t>JOAO GABRIEL CIRINO DOS ANJOS</t>
  </si>
  <si>
    <t>ARMAZEM CIRINO    01</t>
  </si>
  <si>
    <t>AV AVENIDA CANARANA, 127</t>
  </si>
  <si>
    <t>-11.745862</t>
  </si>
  <si>
    <t>-41.825638</t>
  </si>
  <si>
    <t>(074) 99979-9768</t>
  </si>
  <si>
    <t>0204-0116</t>
  </si>
  <si>
    <t>HENRIQUE XAVIER DE MIRANDA</t>
  </si>
  <si>
    <t>ADEGA LAGOA FUNDA</t>
  </si>
  <si>
    <t>PRC PRACA SAO SEBASTIAO, 72</t>
  </si>
  <si>
    <t>-11.747834</t>
  </si>
  <si>
    <t>-41.825930</t>
  </si>
  <si>
    <t>(011) 97388-6258</t>
  </si>
  <si>
    <t>0204-0119</t>
  </si>
  <si>
    <t>DANILA DE NOVAES OLIVEIRA</t>
  </si>
  <si>
    <t>MERCADO TERRA</t>
  </si>
  <si>
    <t>AV AVENIDA ANDRADE, 34</t>
  </si>
  <si>
    <t>-11.762853</t>
  </si>
  <si>
    <t>-41.910206</t>
  </si>
  <si>
    <t>(074) 99805-0417</t>
  </si>
  <si>
    <t>0204-0121</t>
  </si>
  <si>
    <t>ERICA RODRIGUES DE OLIVEIRA</t>
  </si>
  <si>
    <t>SUPERMERCADO JG</t>
  </si>
  <si>
    <t>PRC PRACA DO COMERCIO, 9998</t>
  </si>
  <si>
    <t>-11.759132</t>
  </si>
  <si>
    <t>-41.907635</t>
  </si>
  <si>
    <t>(074) 99909-1279</t>
  </si>
  <si>
    <t>0204-0122</t>
  </si>
  <si>
    <t>CICERO HENRIQUE DE SOUZA</t>
  </si>
  <si>
    <t>BAR DO BIRLA</t>
  </si>
  <si>
    <t>AV AVENIDA JOAO DURVAL CARNEIRO, 43</t>
  </si>
  <si>
    <t>-11.910227</t>
  </si>
  <si>
    <t>-41.746105</t>
  </si>
  <si>
    <t>(074) 99949-3218</t>
  </si>
  <si>
    <t>0204-0126</t>
  </si>
  <si>
    <t>HIAGO DE SOUZA SODRE</t>
  </si>
  <si>
    <t>BECO BURGUER</t>
  </si>
  <si>
    <t>PRC PRACA MANOEL NOVAES, 78</t>
  </si>
  <si>
    <t>-11.762427</t>
  </si>
  <si>
    <t>-41.911920</t>
  </si>
  <si>
    <t>(074) 99977-3142</t>
  </si>
  <si>
    <t>0204-0127</t>
  </si>
  <si>
    <t>LUCAS ALVES MARTINS PEDREIRA</t>
  </si>
  <si>
    <t>PADARIA E PIZZARIA K</t>
  </si>
  <si>
    <t>AV AVENIDA SANTA, 52</t>
  </si>
  <si>
    <t>-11.762992</t>
  </si>
  <si>
    <t>-41.908770</t>
  </si>
  <si>
    <t>(011) 99913-7040</t>
  </si>
  <si>
    <t>0204-0134</t>
  </si>
  <si>
    <t>ROSANGELA ALMEIDA DAMASCENO</t>
  </si>
  <si>
    <t>MERCADO DOURADO</t>
  </si>
  <si>
    <t>PRC PRACA DR MANOEL, 180</t>
  </si>
  <si>
    <t>-11.762584</t>
  </si>
  <si>
    <t>-41.911370</t>
  </si>
  <si>
    <t>(074) 99194-8605</t>
  </si>
  <si>
    <t>0204-0135</t>
  </si>
  <si>
    <t>MARIA JOSELIA DA SILVA</t>
  </si>
  <si>
    <t>RESTA SABOR DA TERRA</t>
  </si>
  <si>
    <t>AV AVENIDA ANDRADE, 313</t>
  </si>
  <si>
    <t>-11.762993</t>
  </si>
  <si>
    <t>-41.909737</t>
  </si>
  <si>
    <t>(074) 99194-9099</t>
  </si>
  <si>
    <t>0204-0139</t>
  </si>
  <si>
    <t>VALTERLANIA SILVA DE OLIVEIRA</t>
  </si>
  <si>
    <t>RESTAURANTE NOVO S01</t>
  </si>
  <si>
    <t>PRC PRACA DA MATRIZ</t>
  </si>
  <si>
    <t>GAMELEIRA / BARRO AL</t>
  </si>
  <si>
    <t>-11.910094</t>
  </si>
  <si>
    <t>-41.745472</t>
  </si>
  <si>
    <t>(074) 99921-5242</t>
  </si>
  <si>
    <t>0204-0140</t>
  </si>
  <si>
    <t>JAINE DA SILVA BARBOSA</t>
  </si>
  <si>
    <t>MERCADO SILVA     03</t>
  </si>
  <si>
    <t>RUA RUA PEDE LIMAO, 9977</t>
  </si>
  <si>
    <t>PE DE LIMAO / BARRO</t>
  </si>
  <si>
    <t>-11.874063</t>
  </si>
  <si>
    <t>-41.887733</t>
  </si>
  <si>
    <t>(074) 99802-0338</t>
  </si>
  <si>
    <t>0204-0141</t>
  </si>
  <si>
    <t>ODAIR MENDES DA SILVA</t>
  </si>
  <si>
    <t>SUPERMERCAD BARRO AL</t>
  </si>
  <si>
    <t>AV ANDRADE, 294</t>
  </si>
  <si>
    <t>-41.909130</t>
  </si>
  <si>
    <t>(074) 98831-0733</t>
  </si>
  <si>
    <t>0204-0142</t>
  </si>
  <si>
    <t>CLEURISVALDO VIEIRA DE JESUS</t>
  </si>
  <si>
    <t>D LU BURGUER</t>
  </si>
  <si>
    <t>PRC PRACA MANOEL NOVAES, 122</t>
  </si>
  <si>
    <t>-11.762493</t>
  </si>
  <si>
    <t>-41.911950</t>
  </si>
  <si>
    <t>(074) 99117-1308</t>
  </si>
  <si>
    <t>0204-0143</t>
  </si>
  <si>
    <t>TIAGO SILVA SEIXAS LTDA</t>
  </si>
  <si>
    <t>REDE PAGUE MENOS</t>
  </si>
  <si>
    <t>RUA RUA LEOPOLDO SEIXAS, 21</t>
  </si>
  <si>
    <t>-11.761718</t>
  </si>
  <si>
    <t>-41.910706</t>
  </si>
  <si>
    <t>(074) 98832-7833</t>
  </si>
  <si>
    <t>0204-0144</t>
  </si>
  <si>
    <t>SEVERINO GOMES DA SIVA</t>
  </si>
  <si>
    <t>BOTECO E ADEGA</t>
  </si>
  <si>
    <t>PRC PRC MANOEL NOVAES, 71</t>
  </si>
  <si>
    <t>-11.762406</t>
  </si>
  <si>
    <t>-41.911934</t>
  </si>
  <si>
    <t>(011) 94173-2657</t>
  </si>
  <si>
    <t>0204-0145</t>
  </si>
  <si>
    <t>MISAEL DA CRUZ SANTOS</t>
  </si>
  <si>
    <t>MERCEARIA PIZA</t>
  </si>
  <si>
    <t>RUA RUA SETOR COMERCIAL, 36 / TERREO</t>
  </si>
  <si>
    <t>-11.760229</t>
  </si>
  <si>
    <t>-41.907190</t>
  </si>
  <si>
    <t>(074) 99916-7271</t>
  </si>
  <si>
    <t>0204-0146</t>
  </si>
  <si>
    <t>VILOVALDO SEIXAS DE OLIVEIRA</t>
  </si>
  <si>
    <t>CEREALISTA SEIXAS</t>
  </si>
  <si>
    <t>PRC PRACA SAO SEBASTIAO, 252</t>
  </si>
  <si>
    <t>-11.909493</t>
  </si>
  <si>
    <t>-41.745926</t>
  </si>
  <si>
    <t>(749) 99985-6385</t>
  </si>
  <si>
    <t>0204-0147</t>
  </si>
  <si>
    <t>VITOR GABRIEL GOMES ROCHA</t>
  </si>
  <si>
    <t>MERCADO ACOUGUE M.A</t>
  </si>
  <si>
    <t>AV ANTENOR JOAQUIM DE OLIVEIRA, 411</t>
  </si>
  <si>
    <t>GAMELEIRA LOT ANTENO</t>
  </si>
  <si>
    <t>-11.914071</t>
  </si>
  <si>
    <t>-41.741554</t>
  </si>
  <si>
    <t>(074) 09813-4031</t>
  </si>
  <si>
    <t>0204-0149</t>
  </si>
  <si>
    <t>SACOLAO DA FAMILIA LTDA</t>
  </si>
  <si>
    <t>SACOLAO DA ECONOMI01</t>
  </si>
  <si>
    <t>AV AVENIDA ANDRADE, 265</t>
  </si>
  <si>
    <t>-11.763040</t>
  </si>
  <si>
    <t>-41.908913</t>
  </si>
  <si>
    <t>(074) 99941-1478</t>
  </si>
  <si>
    <t>0204-0150</t>
  </si>
  <si>
    <t>LAIS MARIA DE OLIVEIRA</t>
  </si>
  <si>
    <t>POUSADA SEIXAS</t>
  </si>
  <si>
    <t>AV AVENIDA CANARANA, 1000</t>
  </si>
  <si>
    <t>LOT. SAO FRANCISCO B</t>
  </si>
  <si>
    <t>-11.765496</t>
  </si>
  <si>
    <t>-41.902220</t>
  </si>
  <si>
    <t>(074) 99121-2045</t>
  </si>
  <si>
    <t>0204-0151</t>
  </si>
  <si>
    <t>PAMELA SOUZA TEIXEIRA</t>
  </si>
  <si>
    <t>MERCADO FAMILIAR  01</t>
  </si>
  <si>
    <t>RUA DO COMERCIO</t>
  </si>
  <si>
    <t>PENDAO VERMELHO</t>
  </si>
  <si>
    <t>-11.886795</t>
  </si>
  <si>
    <t>-41.839102</t>
  </si>
  <si>
    <t>(074) 99902-7718</t>
  </si>
  <si>
    <t>0204-0154</t>
  </si>
  <si>
    <t>LARA DANIELLE SOUSA ROCHA</t>
  </si>
  <si>
    <t>ATELIE DOS SABORES</t>
  </si>
  <si>
    <t>AV JOAO DURVAL CARNEIRO, 40</t>
  </si>
  <si>
    <t>-11.910162</t>
  </si>
  <si>
    <t>-41.745114</t>
  </si>
  <si>
    <t>(074) 99988-4172</t>
  </si>
  <si>
    <t>0204-0155</t>
  </si>
  <si>
    <t>QUEILA DA SILVA CIRINO</t>
  </si>
  <si>
    <t>SUPERMERCADO UNIAO02</t>
  </si>
  <si>
    <t>PRC SAO SEBATIAO, 16</t>
  </si>
  <si>
    <t>-11.747128</t>
  </si>
  <si>
    <t>-41.825772</t>
  </si>
  <si>
    <t>(074) 99965-0309</t>
  </si>
  <si>
    <t>0204-0156</t>
  </si>
  <si>
    <t>EDIVANDE DE SOUZA</t>
  </si>
  <si>
    <t>MERCADO 2 IRMAOS</t>
  </si>
  <si>
    <t>POV PENDAO VERMELHO, 5</t>
  </si>
  <si>
    <t>-11.886513</t>
  </si>
  <si>
    <t>-41.838755</t>
  </si>
  <si>
    <t>(074) 99940-8328</t>
  </si>
  <si>
    <t>0204-0157</t>
  </si>
  <si>
    <t>WILLIAM DE SOUSA ARAUJO DOS ANJOS</t>
  </si>
  <si>
    <t>MERCADO ARAUJO    02</t>
  </si>
  <si>
    <t>PRC SAO SEBASTIAO, 20</t>
  </si>
  <si>
    <t>-11.909435</t>
  </si>
  <si>
    <t>-41.744858</t>
  </si>
  <si>
    <t>(074) 99987-6286</t>
  </si>
  <si>
    <t>0204-0158</t>
  </si>
  <si>
    <t>ELTON NUNES DE SOUTO</t>
  </si>
  <si>
    <t>L B MERCADINHO</t>
  </si>
  <si>
    <t>RUA EGIDIO MIRANDA, 9999</t>
  </si>
  <si>
    <t>-11.894709</t>
  </si>
  <si>
    <t>-41.746965</t>
  </si>
  <si>
    <t>(074) 99953-9888</t>
  </si>
  <si>
    <t>0204-0159</t>
  </si>
  <si>
    <t>ELIELTON FRANCISCO DE OLIVEIRA</t>
  </si>
  <si>
    <t>UNIAO BEER        01</t>
  </si>
  <si>
    <t>PRC SAO SEBASTIAO, 64</t>
  </si>
  <si>
    <t>-11.747382</t>
  </si>
  <si>
    <t>-41.825811</t>
  </si>
  <si>
    <t>(074) 99961-5138</t>
  </si>
  <si>
    <t>0204-0160</t>
  </si>
  <si>
    <t>PIZZARIA MOLINARI LTDA</t>
  </si>
  <si>
    <t>PIZZARIA MOLINARI</t>
  </si>
  <si>
    <t>PRC PRACA SAO SEBASTIAO, 168</t>
  </si>
  <si>
    <t>-11.747732</t>
  </si>
  <si>
    <t>-41.825582</t>
  </si>
  <si>
    <t>(074) 99906-9264</t>
  </si>
  <si>
    <t>0204-0161</t>
  </si>
  <si>
    <t>EDER SANDRO DA SILVA ANDRADE</t>
  </si>
  <si>
    <t>CASA DE CARNES L E M</t>
  </si>
  <si>
    <t>AV JOAO DURVAL CARNEIRO, 193</t>
  </si>
  <si>
    <t>-11.910084</t>
  </si>
  <si>
    <t>-41.743830</t>
  </si>
  <si>
    <t>(074) 99987-8125</t>
  </si>
  <si>
    <t>0205-0004</t>
  </si>
  <si>
    <t>VANDERLEI SOUZA SANTOS</t>
  </si>
  <si>
    <t>MERCEARIA LOBO</t>
  </si>
  <si>
    <t>BONITO</t>
  </si>
  <si>
    <t>PRC DO PCA COMERCIO, 262</t>
  </si>
  <si>
    <t>CATUABA</t>
  </si>
  <si>
    <t>-11.858651</t>
  </si>
  <si>
    <t>-41.309540</t>
  </si>
  <si>
    <t>(750) 03343-6052</t>
  </si>
  <si>
    <t>0205-0006</t>
  </si>
  <si>
    <t>ELQUISON BOAVENTURA OLIVEIRA</t>
  </si>
  <si>
    <t>DIST DE ELQUILSON</t>
  </si>
  <si>
    <t>RUA RUA VENANCIO ALVES SOUZA, 250</t>
  </si>
  <si>
    <t>-11.858772</t>
  </si>
  <si>
    <t>-41.309654</t>
  </si>
  <si>
    <t>(075) 99809-3336</t>
  </si>
  <si>
    <t>0205-0014</t>
  </si>
  <si>
    <t>SALVELINA DE OLIVEIRA MINA</t>
  </si>
  <si>
    <t>BAR OLIVEIRA 00 40</t>
  </si>
  <si>
    <t>PRC PRAAA BENEDITO MINA, 136</t>
  </si>
  <si>
    <t>-11.968177</t>
  </si>
  <si>
    <t>-41.268257</t>
  </si>
  <si>
    <t>(075) 03343-2216</t>
  </si>
  <si>
    <t>0205-0018</t>
  </si>
  <si>
    <t>MARIA BARBOSA DE SOUZA</t>
  </si>
  <si>
    <t>RESTAURANTE DA MAR01</t>
  </si>
  <si>
    <t>RUA RUA DO PREDIO ESCOLAR, 118</t>
  </si>
  <si>
    <t>-11.969480</t>
  </si>
  <si>
    <t>-41.264810</t>
  </si>
  <si>
    <t>(075) 99931-8628</t>
  </si>
  <si>
    <t>0205-0021</t>
  </si>
  <si>
    <t>ANA RAFAELA MARQUES DOS SANTOS</t>
  </si>
  <si>
    <t>RANGO SABOR E ARTE</t>
  </si>
  <si>
    <t>PRC PRACA CLODOALDO SOUZA</t>
  </si>
  <si>
    <t>-11.967365</t>
  </si>
  <si>
    <t>-41.268208</t>
  </si>
  <si>
    <t>(075) 99951-9962</t>
  </si>
  <si>
    <t>0205-0023</t>
  </si>
  <si>
    <t>TIAGO DA SILVA PRIMO</t>
  </si>
  <si>
    <t>MERCADINHO PRIMO</t>
  </si>
  <si>
    <t>RUA NILZETE LEAL, 10</t>
  </si>
  <si>
    <t>POVOADO GUARANI</t>
  </si>
  <si>
    <t>-11.906970</t>
  </si>
  <si>
    <t>-41.293488</t>
  </si>
  <si>
    <t>(075) 99860-9345</t>
  </si>
  <si>
    <t>0205-0028</t>
  </si>
  <si>
    <t>WILLIAN MARTINS DOS SANTOS</t>
  </si>
  <si>
    <t>SUPERMERCADO MARTIN</t>
  </si>
  <si>
    <t>PRC PRACA NOVA, 55986</t>
  </si>
  <si>
    <t>CENTRO-BONITO</t>
  </si>
  <si>
    <t>-11.967704</t>
  </si>
  <si>
    <t>-41.266340</t>
  </si>
  <si>
    <t>(075) 99803-3124</t>
  </si>
  <si>
    <t>0205-0029</t>
  </si>
  <si>
    <t>REMUALDO SILVA DE JESUS</t>
  </si>
  <si>
    <t>MERCADINHO DO RENIVA</t>
  </si>
  <si>
    <t>RUA RUA PETRONIO RIBERO</t>
  </si>
  <si>
    <t>-11.964229</t>
  </si>
  <si>
    <t>-41.266710</t>
  </si>
  <si>
    <t>(075) 99857-9812</t>
  </si>
  <si>
    <t>0205-0039</t>
  </si>
  <si>
    <t>EDSON MARCONDES DE OLIVEIRA</t>
  </si>
  <si>
    <t>MER 3 IRMAOS</t>
  </si>
  <si>
    <t>AV AVENIDA JOSE EDUARDO DE LIMA, 58</t>
  </si>
  <si>
    <t>-11.964214</t>
  </si>
  <si>
    <t>-41.267185</t>
  </si>
  <si>
    <t>(075) 99878-7473</t>
  </si>
  <si>
    <t>0205-0041</t>
  </si>
  <si>
    <t>ODELITA SOUZA DIAS LTDA</t>
  </si>
  <si>
    <t>SUPERMERCADOS JOTA J</t>
  </si>
  <si>
    <t>PRC PRACA BENEDITO MNA, 574</t>
  </si>
  <si>
    <t>-11.970038</t>
  </si>
  <si>
    <t>-41.266712</t>
  </si>
  <si>
    <t>(750) 99884-1290</t>
  </si>
  <si>
    <t>0205-0052</t>
  </si>
  <si>
    <t>NELSON MESSIAS DOS SANTOS</t>
  </si>
  <si>
    <t>BAR DO GUEGA</t>
  </si>
  <si>
    <t>AV AVENIDA UTINGA, 249</t>
  </si>
  <si>
    <t>-11.973352</t>
  </si>
  <si>
    <t>-41.263430</t>
  </si>
  <si>
    <t>(075) 99802-1784</t>
  </si>
  <si>
    <t>0205-0053</t>
  </si>
  <si>
    <t>HELOINA FEREIRA DA SILVA</t>
  </si>
  <si>
    <t>MERC CONFIANCA</t>
  </si>
  <si>
    <t>RUA LUIZ EDUARDO MAGALHAES, 145</t>
  </si>
  <si>
    <t>-11.964795</t>
  </si>
  <si>
    <t>-41.266270</t>
  </si>
  <si>
    <t>(075) 99933-0308</t>
  </si>
  <si>
    <t>0205-0072</t>
  </si>
  <si>
    <t>ALCINEI LOURENCO DOS ANJOS</t>
  </si>
  <si>
    <t>INT PAPELARIA E CIA</t>
  </si>
  <si>
    <t>RUA RUA DAVID ALVES D SOUZA, 12</t>
  </si>
  <si>
    <t>-11.857822</t>
  </si>
  <si>
    <t>-41.309420</t>
  </si>
  <si>
    <t>(750) 09968-3309</t>
  </si>
  <si>
    <t>0205-0104</t>
  </si>
  <si>
    <t>SUPERMERCADOS JMM LTDA ME</t>
  </si>
  <si>
    <t>MERCADINHO JMM</t>
  </si>
  <si>
    <t>RUA MARIA QUITERIA, 10</t>
  </si>
  <si>
    <t>-11.858295</t>
  </si>
  <si>
    <t>-41.308582</t>
  </si>
  <si>
    <t>(075) 09963-5635</t>
  </si>
  <si>
    <t>0205-0113</t>
  </si>
  <si>
    <t>JOSE MARIA PREDERIGO</t>
  </si>
  <si>
    <t>CHURRASC MILLAGEL</t>
  </si>
  <si>
    <t>AV AVENIDA UTINGA</t>
  </si>
  <si>
    <t>-11.976018</t>
  </si>
  <si>
    <t>-41.260487</t>
  </si>
  <si>
    <t>(074) 99803-4658</t>
  </si>
  <si>
    <t>0205-0120</t>
  </si>
  <si>
    <t>ARB COMERCIO VAREJISTA LTDA</t>
  </si>
  <si>
    <t>SUPERMERCADO ROCHA01</t>
  </si>
  <si>
    <t>AV AVENIDA JOSE EDURAO LIMA, 743</t>
  </si>
  <si>
    <t>-11.966610</t>
  </si>
  <si>
    <t>-41.268127</t>
  </si>
  <si>
    <t>(075) 99872-4318</t>
  </si>
  <si>
    <t>0205-0125</t>
  </si>
  <si>
    <t>TATIANA ROSA ARAUJO</t>
  </si>
  <si>
    <t>CHUR REST OS PRIMOS</t>
  </si>
  <si>
    <t>AV AV LUIZ EDUARDO DE PRIMO</t>
  </si>
  <si>
    <t>-11.965429</t>
  </si>
  <si>
    <t>-41.267925</t>
  </si>
  <si>
    <t>(750) 09904-1572</t>
  </si>
  <si>
    <t>0205-0141</t>
  </si>
  <si>
    <t>ADENILZA DA PAIXAO SILVA</t>
  </si>
  <si>
    <t>DISTRIB TALISMA</t>
  </si>
  <si>
    <t>PRC BENEDITO MINA</t>
  </si>
  <si>
    <t>-11.969200</t>
  </si>
  <si>
    <t>-41.268100</t>
  </si>
  <si>
    <t>(075) 09905-4703</t>
  </si>
  <si>
    <t>0205-0169</t>
  </si>
  <si>
    <t>AURELIO MARCOS DOS SANTOS</t>
  </si>
  <si>
    <t>LANC E BAR DO MARCOS</t>
  </si>
  <si>
    <t>PRC BENEDITO MINA, 162</t>
  </si>
  <si>
    <t>-11.969078</t>
  </si>
  <si>
    <t>-41.267982</t>
  </si>
  <si>
    <t>(075) 99900-8535</t>
  </si>
  <si>
    <t>0205-0179</t>
  </si>
  <si>
    <t>EDSON ROSA DOS SANTOS E CIA LTDA - ME</t>
  </si>
  <si>
    <t>EDSON SUPERMERCADO</t>
  </si>
  <si>
    <t>AV AVENIDA ACM, 743</t>
  </si>
  <si>
    <t>-11.967342</t>
  </si>
  <si>
    <t>-41.268420</t>
  </si>
  <si>
    <t>(075) 99992-4787</t>
  </si>
  <si>
    <t>0205-0196</t>
  </si>
  <si>
    <t>RAQUISSONIA DA SILVA BROTAS</t>
  </si>
  <si>
    <t>PIZZARIA BELISSIMA 2</t>
  </si>
  <si>
    <t>PRC PC ARISTIDES CANELA, 42</t>
  </si>
  <si>
    <t>-11.968065</t>
  </si>
  <si>
    <t>-41.268646</t>
  </si>
  <si>
    <t>(075) 99964-6590</t>
  </si>
  <si>
    <t>0205-0210</t>
  </si>
  <si>
    <t>LUANA DOS SANTOS FIGUEREDO</t>
  </si>
  <si>
    <t>DELICIAS CASEIRA</t>
  </si>
  <si>
    <t>PRC BENEDITO MINA, 110</t>
  </si>
  <si>
    <t>-11.969562</t>
  </si>
  <si>
    <t>-41.267387</t>
  </si>
  <si>
    <t>(075) 99872-6909</t>
  </si>
  <si>
    <t>0205-0214</t>
  </si>
  <si>
    <t>JOSE FERREIRA DA SILVA</t>
  </si>
  <si>
    <t>MERCEARIA ZEQUINHA</t>
  </si>
  <si>
    <t>LOT ALTO DO BONITO, 785</t>
  </si>
  <si>
    <t>JARDIM ARMACAO</t>
  </si>
  <si>
    <t>-11.945703</t>
  </si>
  <si>
    <t>-41.270702</t>
  </si>
  <si>
    <t>(075) 99988-7689</t>
  </si>
  <si>
    <t>0205-0219</t>
  </si>
  <si>
    <t>SUPERMERCADO QUERO QUERO</t>
  </si>
  <si>
    <t>QUERO QUERO SUPER</t>
  </si>
  <si>
    <t>PRC PRACA BENEDITO MINA, 611</t>
  </si>
  <si>
    <t>-11.969582</t>
  </si>
  <si>
    <t>-41.267390</t>
  </si>
  <si>
    <t>(071) 99673-9775</t>
  </si>
  <si>
    <t>0205-0222</t>
  </si>
  <si>
    <t>AUZINETE PEREIRA DE LIMA</t>
  </si>
  <si>
    <t>MINI PRECO</t>
  </si>
  <si>
    <t>RUA RUA SANTO ANTONIO, 51</t>
  </si>
  <si>
    <t>-11.969795</t>
  </si>
  <si>
    <t>-41.264410</t>
  </si>
  <si>
    <t>(075) 99903-7033</t>
  </si>
  <si>
    <t>0205-0223</t>
  </si>
  <si>
    <t>REISMAIQUE DE SOUZA PRIMO</t>
  </si>
  <si>
    <t>CASA CARNE GUARANI</t>
  </si>
  <si>
    <t>POV POVOADO GUARANI, 87</t>
  </si>
  <si>
    <t>-11.900108</t>
  </si>
  <si>
    <t>-41.293884</t>
  </si>
  <si>
    <t>(075) 99934-1052</t>
  </si>
  <si>
    <t>0205-0224</t>
  </si>
  <si>
    <t>ANTONIO MARCOS DA SILVA NASCIMENTO</t>
  </si>
  <si>
    <t>MERCADINHO NASCIME01</t>
  </si>
  <si>
    <t>DIS DISTRITO NUCLEO RURAL DIAMANTE, 14</t>
  </si>
  <si>
    <t>NUCLEO RURAL</t>
  </si>
  <si>
    <t>-11.959599</t>
  </si>
  <si>
    <t>-41.276882</t>
  </si>
  <si>
    <t>(075) 99924-2526</t>
  </si>
  <si>
    <t>0205-0227</t>
  </si>
  <si>
    <t>SARIANE DA SILVA SANTOS</t>
  </si>
  <si>
    <t>MERCADO SANTOS    01</t>
  </si>
  <si>
    <t>POV POVOADO DE CATUABA, 520</t>
  </si>
  <si>
    <t>-11.869877</t>
  </si>
  <si>
    <t>-41.301544</t>
  </si>
  <si>
    <t>(075) 99864-7223</t>
  </si>
  <si>
    <t>0205-0232</t>
  </si>
  <si>
    <t>RESTAURANTE FD LTDA</t>
  </si>
  <si>
    <t>CASA MIA</t>
  </si>
  <si>
    <t>AV AVENIDA JOSE EDUARDO DE LIMA, 832</t>
  </si>
  <si>
    <t>-11.960806</t>
  </si>
  <si>
    <t>-41.269344</t>
  </si>
  <si>
    <t>(075) 99714-7019</t>
  </si>
  <si>
    <t>0205-0234</t>
  </si>
  <si>
    <t>LUIS AIRON RIBEIRO SILVA</t>
  </si>
  <si>
    <t>MERCADINHO IBC</t>
  </si>
  <si>
    <t>AV AV DO ASFALTO AB 23 AB</t>
  </si>
  <si>
    <t>LOTE E DO IBC</t>
  </si>
  <si>
    <t>-11.974541</t>
  </si>
  <si>
    <t>-41.259710</t>
  </si>
  <si>
    <t>(075) 99865-0604</t>
  </si>
  <si>
    <t>0205-0237</t>
  </si>
  <si>
    <t>BRENDO WASHINGTON CHAVES LIMA DA SILVA</t>
  </si>
  <si>
    <t>MERCEARIA JB</t>
  </si>
  <si>
    <t>RUA RUA 5 DE MAIO, 41</t>
  </si>
  <si>
    <t>-11.966869</t>
  </si>
  <si>
    <t>-41.267117</t>
  </si>
  <si>
    <t>(075) 99951-6322</t>
  </si>
  <si>
    <t>0205-0239</t>
  </si>
  <si>
    <t>LUCAS FRANCISCO ALVES</t>
  </si>
  <si>
    <t>CASA DO LEITE</t>
  </si>
  <si>
    <t>RUA RUA JOSE ARALDO DA SILVA NETO, 143</t>
  </si>
  <si>
    <t>-11.967566</t>
  </si>
  <si>
    <t>-41.266743</t>
  </si>
  <si>
    <t>(075) 99913-9892</t>
  </si>
  <si>
    <t>0205-0240</t>
  </si>
  <si>
    <t>LUCIANO SA TELES DE OLIVEIRA</t>
  </si>
  <si>
    <t>OPEN BAR</t>
  </si>
  <si>
    <t>AV AVENIDA JOSE EDUARDO DE LIMA</t>
  </si>
  <si>
    <t>-11.962344</t>
  </si>
  <si>
    <t>-41.267765</t>
  </si>
  <si>
    <t>0205-0241</t>
  </si>
  <si>
    <t>CHURRASCARIA E CONFEITARIA 2 IRMAOS LTDA</t>
  </si>
  <si>
    <t>CHURRASC E CONFEIT</t>
  </si>
  <si>
    <t>AV AVENIDA PAULO ROBERTO BATISTA VILLA</t>
  </si>
  <si>
    <t>-11.965244</t>
  </si>
  <si>
    <t>-41.264606</t>
  </si>
  <si>
    <t>(075) 99902-0775</t>
  </si>
  <si>
    <t>0205-0243</t>
  </si>
  <si>
    <t>JOANE DA SILVA OLIVEIRA</t>
  </si>
  <si>
    <t>MERCADINHO SENA   01</t>
  </si>
  <si>
    <t>RUA RUA DEUSDETE CARNEIRO, 1972</t>
  </si>
  <si>
    <t>-11.973831</t>
  </si>
  <si>
    <t>-41.264217</t>
  </si>
  <si>
    <t>(075) 99820-5177</t>
  </si>
  <si>
    <t>0205-0246</t>
  </si>
  <si>
    <t>JUCIMEIRE NASCIMENTO SILVA</t>
  </si>
  <si>
    <t>MERCADINHO SILVA 2</t>
  </si>
  <si>
    <t>RUA RUA DEOCLECIANO FERNANDES, 162</t>
  </si>
  <si>
    <t>-11.972222</t>
  </si>
  <si>
    <t>-41.262962</t>
  </si>
  <si>
    <t>(075) 99945-3782</t>
  </si>
  <si>
    <t>0205-0247</t>
  </si>
  <si>
    <t>CRISTAL COMERCIO VAREJISTA E FABRICACAO</t>
  </si>
  <si>
    <t>DIEGO PEREIRA RIBEIR</t>
  </si>
  <si>
    <t>PRC DA JUVENTUDE, 105 / CENTRO</t>
  </si>
  <si>
    <t>-11.967825</t>
  </si>
  <si>
    <t>-41.266430</t>
  </si>
  <si>
    <t>(075) 99710-4536</t>
  </si>
  <si>
    <t>0205-0248</t>
  </si>
  <si>
    <t>TIAGO SOUZA ROCHA</t>
  </si>
  <si>
    <t>ADEGA DO VAQUEIRO</t>
  </si>
  <si>
    <t>RUA AGOSTINHO RIBEIRO DA FONSECA, 20</t>
  </si>
  <si>
    <t>-11.857760</t>
  </si>
  <si>
    <t>-41.308460</t>
  </si>
  <si>
    <t>(075) 98110-3455</t>
  </si>
  <si>
    <t>0205-0251</t>
  </si>
  <si>
    <t>CARLITO BOAVENTURA TELES</t>
  </si>
  <si>
    <t>CASA DE CARNE B VENT</t>
  </si>
  <si>
    <t>AV UTINGA 107, 107</t>
  </si>
  <si>
    <t>-11.973042</t>
  </si>
  <si>
    <t>-41.263560</t>
  </si>
  <si>
    <t>(075) 99963-4173</t>
  </si>
  <si>
    <t>0205-0252</t>
  </si>
  <si>
    <t>ELIANA LIMA DO NASCIMENTO</t>
  </si>
  <si>
    <t>MERCADINHO NASCIMEN</t>
  </si>
  <si>
    <t>RUA PEDRO SOARES DO NASCIMENTO, 45</t>
  </si>
  <si>
    <t>-11.856702</t>
  </si>
  <si>
    <t>-41.306790</t>
  </si>
  <si>
    <t>(075) 99806-5964</t>
  </si>
  <si>
    <t>0205-0253</t>
  </si>
  <si>
    <t>CAIQUE OLIVEIRA DO NASCIMENTO DOS ANJOS</t>
  </si>
  <si>
    <t>MERCADINHO CATU   01</t>
  </si>
  <si>
    <t>RUA RUA DA ESCOLA MANOEL EGIDIO SN</t>
  </si>
  <si>
    <t>-11.856832</t>
  </si>
  <si>
    <t>-41.309193</t>
  </si>
  <si>
    <t>(075) 98203-3146</t>
  </si>
  <si>
    <t>0205-0255</t>
  </si>
  <si>
    <t>JOSE APOLONIO ROSA FAGUNDES</t>
  </si>
  <si>
    <t>MERCADO OPCAO</t>
  </si>
  <si>
    <t>RUA RUA AGOSTINHO RIBEIRO DA FONS, 2</t>
  </si>
  <si>
    <t>ARIZONA/BONITO</t>
  </si>
  <si>
    <t>-11.856004</t>
  </si>
  <si>
    <t>-41.308067</t>
  </si>
  <si>
    <t>(075) 99804-3429</t>
  </si>
  <si>
    <t>0205-0256</t>
  </si>
  <si>
    <t>PHILIPE MARQUES OLIVEIRA</t>
  </si>
  <si>
    <t>PH BURGUER</t>
  </si>
  <si>
    <t>PRC PRACA BENEDITO MINA</t>
  </si>
  <si>
    <t>-11.968864</t>
  </si>
  <si>
    <t>-41.268528</t>
  </si>
  <si>
    <t>0205-0257</t>
  </si>
  <si>
    <t>BEATRIZ BATISTA DA SILVA</t>
  </si>
  <si>
    <t>MERCADINHO BATISTA01</t>
  </si>
  <si>
    <t>AV AVENIDA UTINGA, 1248</t>
  </si>
  <si>
    <t>-11.973192</t>
  </si>
  <si>
    <t>-41.263393</t>
  </si>
  <si>
    <t>(075) 99709-7260</t>
  </si>
  <si>
    <t>0205-0258</t>
  </si>
  <si>
    <t>ANAILTON RODRIGUES DE OLIVEIRA</t>
  </si>
  <si>
    <t>CASA DO PAO       01</t>
  </si>
  <si>
    <t>AV AVENIDA JOSE EDUARDO DE LIMA 832, 832</t>
  </si>
  <si>
    <t>-11.966132</t>
  </si>
  <si>
    <t>-41.268070</t>
  </si>
  <si>
    <t>(075) 99902-1966</t>
  </si>
  <si>
    <t>0205-0259</t>
  </si>
  <si>
    <t>REQUINTE PETISCARIA E PIZZARIA LTDA</t>
  </si>
  <si>
    <t>REQUINT PETIS E PIZZ</t>
  </si>
  <si>
    <t>PRC BENEDITO MINA, 667</t>
  </si>
  <si>
    <t>-11.969211</t>
  </si>
  <si>
    <t>-41.268199</t>
  </si>
  <si>
    <t>(075) 99976-8988</t>
  </si>
  <si>
    <t>0205-0260</t>
  </si>
  <si>
    <t>ANTONIO CARLOS MIRANDA BOAVENTURA</t>
  </si>
  <si>
    <t>MERCADINHO SENA   03</t>
  </si>
  <si>
    <t>RUA DEUSDETE CARNEIRO</t>
  </si>
  <si>
    <t>-11.973793</t>
  </si>
  <si>
    <t>-41.264205</t>
  </si>
  <si>
    <t>(071) 98846-2557</t>
  </si>
  <si>
    <t>0205-0261</t>
  </si>
  <si>
    <t>OSMAR DA ROCHA</t>
  </si>
  <si>
    <t>MERCADINHO AVENIDA07</t>
  </si>
  <si>
    <t>RUA RUA CAFARNAUM</t>
  </si>
  <si>
    <t>-11.856776</t>
  </si>
  <si>
    <t>-41.310464</t>
  </si>
  <si>
    <t>(075) 98353-6905</t>
  </si>
  <si>
    <t>0205-0262</t>
  </si>
  <si>
    <t>CENTRAL SUPERMERCADO E LOCACOES LTDA</t>
  </si>
  <si>
    <t>SUPERMERCADO ATAKAD</t>
  </si>
  <si>
    <t>AV AVENIDA UTINGA 135, 135</t>
  </si>
  <si>
    <t>-11.971584</t>
  </si>
  <si>
    <t>-41.265186</t>
  </si>
  <si>
    <t>(075) 99816-6696</t>
  </si>
  <si>
    <t>0205-0263</t>
  </si>
  <si>
    <t>PATRICIA MARIA LIMA ROCHA</t>
  </si>
  <si>
    <t>C W P AGUA OU GAS</t>
  </si>
  <si>
    <t>RUA RUA DOMINGOS BARBOSA</t>
  </si>
  <si>
    <t>-11.858436</t>
  </si>
  <si>
    <t>-41.310269</t>
  </si>
  <si>
    <t>(047) 98841-3180</t>
  </si>
  <si>
    <t>0205-0264</t>
  </si>
  <si>
    <t>ANTONNY MACIEL FAGUNDES</t>
  </si>
  <si>
    <t>O AVISTAO         01</t>
  </si>
  <si>
    <t>RUA RUA ANTONIO OLIVEIRA SEIXAS, 13</t>
  </si>
  <si>
    <t>-94.000000</t>
  </si>
  <si>
    <t>-41.309221</t>
  </si>
  <si>
    <t>(075) 98341-0680</t>
  </si>
  <si>
    <t>0206-0004</t>
  </si>
  <si>
    <t>JOAO ACACIO BROTAS</t>
  </si>
  <si>
    <t>MERC NOVO CACOAR</t>
  </si>
  <si>
    <t>CAFARNAUM</t>
  </si>
  <si>
    <t>RUA PERICLES COELHO, 163 / 02060004</t>
  </si>
  <si>
    <t>-11.689996</t>
  </si>
  <si>
    <t>-41.468376</t>
  </si>
  <si>
    <t>(074) 98842-8841</t>
  </si>
  <si>
    <t>0206-0010</t>
  </si>
  <si>
    <t>LINDENA MARIA SOUZA</t>
  </si>
  <si>
    <t>DELICATESSE BELLA</t>
  </si>
  <si>
    <t>RUA RUA CASTRO ALVES</t>
  </si>
  <si>
    <t>-11.693654</t>
  </si>
  <si>
    <t>-41.468414</t>
  </si>
  <si>
    <t>(740) 08821-6999</t>
  </si>
  <si>
    <t>0206-0012</t>
  </si>
  <si>
    <t>CLOVIS DE MIRANDA SOUSA</t>
  </si>
  <si>
    <t>CHURRASCARIA SOUZA</t>
  </si>
  <si>
    <t>AV AV CONTORNO, 120</t>
  </si>
  <si>
    <t>-11.689319</t>
  </si>
  <si>
    <t>-41.473940</t>
  </si>
  <si>
    <t>(740) 98816-0889</t>
  </si>
  <si>
    <t>0206-0023</t>
  </si>
  <si>
    <t>JOAQUIM BARBOSA CEDRO</t>
  </si>
  <si>
    <t>BIG LANCHES ACAI</t>
  </si>
  <si>
    <t>PRC CIRILO TOME, 340 / 02060023</t>
  </si>
  <si>
    <t>-11.692931</t>
  </si>
  <si>
    <t>-41.469110</t>
  </si>
  <si>
    <t>(074) 98807-9596</t>
  </si>
  <si>
    <t>0206-0035</t>
  </si>
  <si>
    <t>JOSE FRANCISCO PEREIRA</t>
  </si>
  <si>
    <t>BAR PEREIRA 0047</t>
  </si>
  <si>
    <t>RUA RUA CASTRO ALVES, 6677 / 02060035</t>
  </si>
  <si>
    <t>-11.693579</t>
  </si>
  <si>
    <t>-41.468500</t>
  </si>
  <si>
    <t>(740) 08854-2414</t>
  </si>
  <si>
    <t>0206-0061</t>
  </si>
  <si>
    <t>SANDRA RIBEIRO DE CARVALHO LTDA</t>
  </si>
  <si>
    <t>SUPERMERCADO MEGA MI</t>
  </si>
  <si>
    <t>PRC PRACA PEDRO GUIMARAES, 73</t>
  </si>
  <si>
    <t>-11.694021</t>
  </si>
  <si>
    <t>-41.468870</t>
  </si>
  <si>
    <t>(074) 98823-1350</t>
  </si>
  <si>
    <t>0206-0087</t>
  </si>
  <si>
    <t>RAVILANDA ROSA DA SILVA</t>
  </si>
  <si>
    <t>PESTAURANTE RICO SAB</t>
  </si>
  <si>
    <t>RUA DEJALMA RIOS / CASA</t>
  </si>
  <si>
    <t>POVOADO CANAL</t>
  </si>
  <si>
    <t>-11.822857</t>
  </si>
  <si>
    <t>-41.597650</t>
  </si>
  <si>
    <t>(074) 99937-5608</t>
  </si>
  <si>
    <t>0206-0112</t>
  </si>
  <si>
    <t>JULIANA BARRETO TENORIO</t>
  </si>
  <si>
    <t>SUPERMERCADO JJ KELY</t>
  </si>
  <si>
    <t>RUA RUA JOSE PEREIRA NOVAIS, 110 / 02060112</t>
  </si>
  <si>
    <t>-11.699103</t>
  </si>
  <si>
    <t>-41.469612</t>
  </si>
  <si>
    <t>(074) 98835-3455</t>
  </si>
  <si>
    <t>0206-0118</t>
  </si>
  <si>
    <t>GENIVALDO PEDREIRA DE CARVALHO</t>
  </si>
  <si>
    <t>MERCA E ACOUGUE BARR</t>
  </si>
  <si>
    <t>RUA CORIOLANO NEVES GUIMARAES, 38</t>
  </si>
  <si>
    <t>-11.695229</t>
  </si>
  <si>
    <t>-41.471270</t>
  </si>
  <si>
    <t>(740) 98821-9389</t>
  </si>
  <si>
    <t>0206-0124</t>
  </si>
  <si>
    <t>GABRIEL OLIVEIRA CAMACAM</t>
  </si>
  <si>
    <t>DIST.CASA DE BEBIDAS</t>
  </si>
  <si>
    <t>RUA R EUCLIDES DA CUNHA, 107</t>
  </si>
  <si>
    <t>-11.694075</t>
  </si>
  <si>
    <t>-41.470074</t>
  </si>
  <si>
    <t>(074) 08836-6126</t>
  </si>
  <si>
    <t>0206-0128</t>
  </si>
  <si>
    <t>RISIA DA SILVA PIRES</t>
  </si>
  <si>
    <t>MERCADINHO RISIA</t>
  </si>
  <si>
    <t>RUA ARLINDO MOITINHO, 300</t>
  </si>
  <si>
    <t>-11.688767</t>
  </si>
  <si>
    <t>-41.468124</t>
  </si>
  <si>
    <t>(074) 98842-1723</t>
  </si>
  <si>
    <t>0206-0130</t>
  </si>
  <si>
    <t>MARIA DE LURDES DA SILVA PEREIRA</t>
  </si>
  <si>
    <t>LANCHONETE E SORVETE</t>
  </si>
  <si>
    <t>RUA RUA RODOPIANDO, 70</t>
  </si>
  <si>
    <t>-11.693442</t>
  </si>
  <si>
    <t>-41.469273</t>
  </si>
  <si>
    <t>(074) 98821-6434</t>
  </si>
  <si>
    <t>0206-0145</t>
  </si>
  <si>
    <t>ALEX FERREIRA NUNES</t>
  </si>
  <si>
    <t>DISNEY LANCHES 01</t>
  </si>
  <si>
    <t>RUA ALMERINDO PORTUGAL, 11</t>
  </si>
  <si>
    <t>-11.694427</t>
  </si>
  <si>
    <t>-41.468945</t>
  </si>
  <si>
    <t>(074) 98841-4572</t>
  </si>
  <si>
    <t>0206-0146</t>
  </si>
  <si>
    <t>SIDNEIDE SOUZA CRUZ E CIA LTDA</t>
  </si>
  <si>
    <t>MERCANFRIOS</t>
  </si>
  <si>
    <t>PRC PRACA PEDRO GUIMARAES S N</t>
  </si>
  <si>
    <t>-11.694330</t>
  </si>
  <si>
    <t>-41.468605</t>
  </si>
  <si>
    <t>(074) 98851-3179</t>
  </si>
  <si>
    <t>0206-0151</t>
  </si>
  <si>
    <t>ODAIR DE SOUZA VIANA</t>
  </si>
  <si>
    <t>H E A DISTRIBUIDORA</t>
  </si>
  <si>
    <t>PRC PRACA JOSE GONCALVES, 352</t>
  </si>
  <si>
    <t>-11.691894</t>
  </si>
  <si>
    <t>-41.469147</t>
  </si>
  <si>
    <t>(074) 98835-2705</t>
  </si>
  <si>
    <t>0206-0159</t>
  </si>
  <si>
    <t>MARCO ANTONIO BORGES DOS SANTOS</t>
  </si>
  <si>
    <t>CASA DE CARNE DUAS B</t>
  </si>
  <si>
    <t>PRC PRACA JOSE GONCALVES, 428</t>
  </si>
  <si>
    <t>-11.692059</t>
  </si>
  <si>
    <t>-41.468580</t>
  </si>
  <si>
    <t>(071) 98602-4177</t>
  </si>
  <si>
    <t>0206-0165</t>
  </si>
  <si>
    <t>ELIENE ROSA DE SOUZA</t>
  </si>
  <si>
    <t>REST E PETIS AVENIDA</t>
  </si>
  <si>
    <t>AV AVENIDA DO CONTORNO</t>
  </si>
  <si>
    <t>-11.690278</t>
  </si>
  <si>
    <t>(074) 98806-4484</t>
  </si>
  <si>
    <t>0206-0167</t>
  </si>
  <si>
    <t>DIOMARCOS DE SOUZA VIANA</t>
  </si>
  <si>
    <t>DISTRIBUIDORA HI</t>
  </si>
  <si>
    <t>RUA JOSE GONSALVES, 352</t>
  </si>
  <si>
    <t>-11.691910</t>
  </si>
  <si>
    <t>-41.469204</t>
  </si>
  <si>
    <t>(074) 98858-2966</t>
  </si>
  <si>
    <t>0206-0169</t>
  </si>
  <si>
    <t>JOSE VASCONCELOS FILHO</t>
  </si>
  <si>
    <t>ARENA BEER 01</t>
  </si>
  <si>
    <t>PRC PRACA PEDRO GUIMARAES, 204</t>
  </si>
  <si>
    <t>-11.694432</t>
  </si>
  <si>
    <t>-41.468998</t>
  </si>
  <si>
    <t>(074) 98806-3758</t>
  </si>
  <si>
    <t>0206-0170</t>
  </si>
  <si>
    <t>ELIELTON MATOS DOS ANJOS</t>
  </si>
  <si>
    <t>BILA SUPERMERCADO</t>
  </si>
  <si>
    <t>RUA RUA CASIANO MARTINS</t>
  </si>
  <si>
    <t>-11.823523</t>
  </si>
  <si>
    <t>-41.597380</t>
  </si>
  <si>
    <t>(074) 99982-1053</t>
  </si>
  <si>
    <t>0206-0171</t>
  </si>
  <si>
    <t>SOLANGE BARBOSA DE ALENCAR</t>
  </si>
  <si>
    <t>ESPETO E COMPANHIA</t>
  </si>
  <si>
    <t>PRC DOM MAXIMO, 113</t>
  </si>
  <si>
    <t>-10.822784</t>
  </si>
  <si>
    <t>-42.732444</t>
  </si>
  <si>
    <t>(077) 99936-1114</t>
  </si>
  <si>
    <t>0206-0176</t>
  </si>
  <si>
    <t>JOSE NALTO GOMES DE LIMA</t>
  </si>
  <si>
    <t>MERCADO VALORIZE</t>
  </si>
  <si>
    <t>RUA RUA DAVID FERREIRA DE ARAUJO, 56</t>
  </si>
  <si>
    <t>-11.696667</t>
  </si>
  <si>
    <t>-41.472500</t>
  </si>
  <si>
    <t>(074) 98827-5407</t>
  </si>
  <si>
    <t>0206-0182</t>
  </si>
  <si>
    <t>MARIA ELIONEIDE RODRIGUES</t>
  </si>
  <si>
    <t>NEIDE LANCHES</t>
  </si>
  <si>
    <t>AV AVENIDA AMERINO PORTUGAL, 99</t>
  </si>
  <si>
    <t>-11.694497</t>
  </si>
  <si>
    <t>-41.468120</t>
  </si>
  <si>
    <t>(074) 98809-8106</t>
  </si>
  <si>
    <t>0206-0187</t>
  </si>
  <si>
    <t>GESSICA CAVALCANTE DOS SANTOS LTDA</t>
  </si>
  <si>
    <t>SUP E ACOUGUE DOS SA</t>
  </si>
  <si>
    <t>RUA RUA CORIOLANO NEVES GUIMARAES</t>
  </si>
  <si>
    <t>-11.697016</t>
  </si>
  <si>
    <t>-41.471409</t>
  </si>
  <si>
    <t>(074) 98129-7578</t>
  </si>
  <si>
    <t>0206-0191</t>
  </si>
  <si>
    <t>GESSICA DOURADO CALADO</t>
  </si>
  <si>
    <t>DISTRIBUIDORA KIKI</t>
  </si>
  <si>
    <t>PRC PRACA PEDRO GUIMARAES, 152</t>
  </si>
  <si>
    <t>-11.694228</t>
  </si>
  <si>
    <t>-41.469135</t>
  </si>
  <si>
    <t>(074) 98847-7631</t>
  </si>
  <si>
    <t>0206-0192</t>
  </si>
  <si>
    <t>IOLANDA FERREIRA DA SILVA</t>
  </si>
  <si>
    <t>FACULDADE DAS BEBIDA</t>
  </si>
  <si>
    <t>RUA RUA GUTEMBERG LIMA, 95</t>
  </si>
  <si>
    <t>-11.691490</t>
  </si>
  <si>
    <t>-41.470474</t>
  </si>
  <si>
    <t>(074) 98841-6221</t>
  </si>
  <si>
    <t>0206-0198</t>
  </si>
  <si>
    <t>NORMACI GOMES VASCONCELOS</t>
  </si>
  <si>
    <t>JF EMPORIO</t>
  </si>
  <si>
    <t>PRC PRACA PEDRO GUIMARAES SN</t>
  </si>
  <si>
    <t>-11.690222</t>
  </si>
  <si>
    <t>-41.470905</t>
  </si>
  <si>
    <t>(074) 98854-5372</t>
  </si>
  <si>
    <t>0206-0201</t>
  </si>
  <si>
    <t>LUCAS SOUZA DAMASCENO</t>
  </si>
  <si>
    <t>REST E LANCH MALUKAO</t>
  </si>
  <si>
    <t>RUA RUA ERNESTO PEREIRA BORGES, 45</t>
  </si>
  <si>
    <t>-11.690960</t>
  </si>
  <si>
    <t>-41.474564</t>
  </si>
  <si>
    <t>(074) 98817-8400</t>
  </si>
  <si>
    <t>0206-0203</t>
  </si>
  <si>
    <t>MARIA RODRIGUES E SILVA</t>
  </si>
  <si>
    <t>CASA DE CARNES CEN01</t>
  </si>
  <si>
    <t>RUA RUA JOSE GONSALVES, 6</t>
  </si>
  <si>
    <t>-11.691958</t>
  </si>
  <si>
    <t>-41.468400</t>
  </si>
  <si>
    <t>(074) 98829-8856</t>
  </si>
  <si>
    <t>0206-0207</t>
  </si>
  <si>
    <t>DANILO BARRETO CRUZ</t>
  </si>
  <si>
    <t>TUPETE BEBIDAS E EMB</t>
  </si>
  <si>
    <t>PRC PRACA PEDRO GUIMARAES, 100</t>
  </si>
  <si>
    <t>-11.694259</t>
  </si>
  <si>
    <t>0206-0208</t>
  </si>
  <si>
    <t>SUPERMERCADO ESTRELA DE CAFARNAUM LTDA</t>
  </si>
  <si>
    <t>SUPERMERCADO ESTRELA</t>
  </si>
  <si>
    <t>RUA RUA JOSE GONCALVES, 52 / CASA</t>
  </si>
  <si>
    <t>-11.691467</t>
  </si>
  <si>
    <t>-41.468850</t>
  </si>
  <si>
    <t>(074) 98801-2232</t>
  </si>
  <si>
    <t>0206-0210</t>
  </si>
  <si>
    <t>REINALDO OLIVEIRA BARRETO</t>
  </si>
  <si>
    <t>REST RANCHO DAS MANG</t>
  </si>
  <si>
    <t>POV OLHOS DAGUA, 107</t>
  </si>
  <si>
    <t>-11.677084</t>
  </si>
  <si>
    <t>-41.470610</t>
  </si>
  <si>
    <t>(074) 98839-4640</t>
  </si>
  <si>
    <t>0206-0211</t>
  </si>
  <si>
    <t>ARIEL SOUZA DAS NEVES</t>
  </si>
  <si>
    <t>CHURRASCARIA NORDE01</t>
  </si>
  <si>
    <t>AV AVENIDA PREFEITO EDIMARIO NERES DE S, 122</t>
  </si>
  <si>
    <t>-11.689688</t>
  </si>
  <si>
    <t>-41.474667</t>
  </si>
  <si>
    <t>(074) 98141-6528</t>
  </si>
  <si>
    <t>0206-0213</t>
  </si>
  <si>
    <t>MARCELA MESSIAS DE ARAUJO</t>
  </si>
  <si>
    <t>ROSE RESTAURANTE E P</t>
  </si>
  <si>
    <t>RUA RUA DJALMA RIOS, 14</t>
  </si>
  <si>
    <t>-11.694990</t>
  </si>
  <si>
    <t>-41.468357</t>
  </si>
  <si>
    <t>(074) 98853-2494</t>
  </si>
  <si>
    <t>0206-0214</t>
  </si>
  <si>
    <t>GIVALDO PEDREIRA DE CARVALHO</t>
  </si>
  <si>
    <t>ACOUGUE E MERCERAIA</t>
  </si>
  <si>
    <t>AV AVENIDA PREFEITO EDIMARIO NERES DE SOUZA, 196</t>
  </si>
  <si>
    <t>-11.690421</t>
  </si>
  <si>
    <t>-41.471970</t>
  </si>
  <si>
    <t>(074) 98122-0076</t>
  </si>
  <si>
    <t>0206-0217</t>
  </si>
  <si>
    <t>ANDRE NASCIMENTO DOS SANTOS</t>
  </si>
  <si>
    <t>MERCADINHO E BORRACH</t>
  </si>
  <si>
    <t>RUA RUA JUBILINO JOSE DE ARAUJO, 5</t>
  </si>
  <si>
    <t>CASAS POPULARES/CAFA</t>
  </si>
  <si>
    <t>-11.702210</t>
  </si>
  <si>
    <t>-41.470460</t>
  </si>
  <si>
    <t>(074) 98836-3673</t>
  </si>
  <si>
    <t>0206-0218</t>
  </si>
  <si>
    <t>ALTAIR BUIATI MENDONCA LTDA</t>
  </si>
  <si>
    <t>DISTRIBUIDORA VITRIN</t>
  </si>
  <si>
    <t>RUA RUA EUCLIDES DA CUNHA 164, 164</t>
  </si>
  <si>
    <t>-11.693716</t>
  </si>
  <si>
    <t>-41.470642</t>
  </si>
  <si>
    <t>0206-0222</t>
  </si>
  <si>
    <t>ADAO ARAUJO DA SILVA JUNIOR</t>
  </si>
  <si>
    <t>ADEGA JR</t>
  </si>
  <si>
    <t>RUA RUA EUCLIDES DA CUNHA, 45</t>
  </si>
  <si>
    <t>-11.693397</t>
  </si>
  <si>
    <t>-41.471783</t>
  </si>
  <si>
    <t>(074) 98826-1832</t>
  </si>
  <si>
    <t>0206-0223</t>
  </si>
  <si>
    <t>MARIVALDO JOSE BATISTA</t>
  </si>
  <si>
    <t>CHURRASCARIA BATISTA</t>
  </si>
  <si>
    <t>RUA RUA ERONILDES SOUZA SANTOS, 101</t>
  </si>
  <si>
    <t>-11.825528</t>
  </si>
  <si>
    <t>(074) 09999-7350</t>
  </si>
  <si>
    <t>0206-0224</t>
  </si>
  <si>
    <t>JUCILENE FERREIRA DA SILVA</t>
  </si>
  <si>
    <t>MERC E PADARIA NOSSO</t>
  </si>
  <si>
    <t>RUA RUA DJALMA RIOS, 164</t>
  </si>
  <si>
    <t>-11.822935</t>
  </si>
  <si>
    <t>-41.597626</t>
  </si>
  <si>
    <t>(074) 99958-4750</t>
  </si>
  <si>
    <t>0206-0225</t>
  </si>
  <si>
    <t>PALOMA DA SILVA FONSECA</t>
  </si>
  <si>
    <t>ADEGA BAR</t>
  </si>
  <si>
    <t>RUA RUA CASSIANO MARTINS</t>
  </si>
  <si>
    <t>-11.823618</t>
  </si>
  <si>
    <t>-41.597347</t>
  </si>
  <si>
    <t>(074) 99999-9999</t>
  </si>
  <si>
    <t>0206-0226</t>
  </si>
  <si>
    <t>GSN MERCADO BOM PRECO LTDA</t>
  </si>
  <si>
    <t>MERCADO BOM PRECO 09</t>
  </si>
  <si>
    <t>PRC PRACA EMIDIO JOSE DE SOUZA, 2 / TERREO</t>
  </si>
  <si>
    <t>-11.823085</t>
  </si>
  <si>
    <t>-41.597477</t>
  </si>
  <si>
    <t>(074) 99904-7368</t>
  </si>
  <si>
    <t>0206-0228</t>
  </si>
  <si>
    <t>ROBERTA FERNANDES BANDEIRA OLIVEIRA</t>
  </si>
  <si>
    <t>MERC FERNANDES    01</t>
  </si>
  <si>
    <t>RUA CARLOS XAVIER, 307</t>
  </si>
  <si>
    <t>-11.692473</t>
  </si>
  <si>
    <t>-41.471096</t>
  </si>
  <si>
    <t>(074) 98829-7131</t>
  </si>
  <si>
    <t>0206-0230</t>
  </si>
  <si>
    <t>FERNANDA GOMES VASCONCELOS PEREIRA</t>
  </si>
  <si>
    <t>EMPORIO JF</t>
  </si>
  <si>
    <t>RUA RUA LARGO DO CAMPO</t>
  </si>
  <si>
    <t>-11.697984</t>
  </si>
  <si>
    <t>-41.468967</t>
  </si>
  <si>
    <t>(074) 98153-4026</t>
  </si>
  <si>
    <t>0206-0231</t>
  </si>
  <si>
    <t>JOSE RAIMUNDO DOS SANTOS C. DE ALIMENTOS</t>
  </si>
  <si>
    <t>CIA DAS BEBIDAS   01</t>
  </si>
  <si>
    <t>PRC PRACA PEDRO GUIMARAES, 119</t>
  </si>
  <si>
    <t>-11.694380</t>
  </si>
  <si>
    <t>-41.468760</t>
  </si>
  <si>
    <t>(074) 98853-3190</t>
  </si>
  <si>
    <t>0206-0232</t>
  </si>
  <si>
    <t>QUELI SAHARA ALCANTRA DA SILVA</t>
  </si>
  <si>
    <t>VILA ORIENTE</t>
  </si>
  <si>
    <t>AV JOSE CRISPIM PEREIRA DE NOVAIS, 17</t>
  </si>
  <si>
    <t>-11.703608</t>
  </si>
  <si>
    <t>-41.470120</t>
  </si>
  <si>
    <t>(074) 98863-0251</t>
  </si>
  <si>
    <t>0206-0233</t>
  </si>
  <si>
    <t>ANTHONNY SATELES DOS SANTOS BROTAS</t>
  </si>
  <si>
    <t>ADEGA DO VAQUEIRO 01</t>
  </si>
  <si>
    <t>RUA GUTEMBERG LIMA, 19</t>
  </si>
  <si>
    <t>-11.690857</t>
  </si>
  <si>
    <t>-41.471443</t>
  </si>
  <si>
    <t>(074) 98101-5205</t>
  </si>
  <si>
    <t>0206-0235</t>
  </si>
  <si>
    <t>CASSIA REJANE GOMES BASTOS DE OLIVEIRA</t>
  </si>
  <si>
    <t>HORA EXTRA CAF 105</t>
  </si>
  <si>
    <t>AV AVENIDA ALMERINO PORTUGAL, 8</t>
  </si>
  <si>
    <t>-11.693367</t>
  </si>
  <si>
    <t>-41.467995</t>
  </si>
  <si>
    <t>(074) 98832-1150</t>
  </si>
  <si>
    <t>0206-0238</t>
  </si>
  <si>
    <t>RITA DE CASSIA LIMA DE SOUZA</t>
  </si>
  <si>
    <t>POINT DAS BEBI CONVE</t>
  </si>
  <si>
    <t>AV ALMERINDO PORTUGAL</t>
  </si>
  <si>
    <t>-11.694088</t>
  </si>
  <si>
    <t>-41.467901</t>
  </si>
  <si>
    <t>(074) 98122-3584</t>
  </si>
  <si>
    <t>0206-0239</t>
  </si>
  <si>
    <t>IVANICE PEREIRA DE SOUZA</t>
  </si>
  <si>
    <t>ADEGA SOUZA</t>
  </si>
  <si>
    <t>RUA CORIOLANO NOVES GUIMARAES, 113</t>
  </si>
  <si>
    <t>-11.697057</t>
  </si>
  <si>
    <t>-41.471581</t>
  </si>
  <si>
    <t>(074) 09933-0868</t>
  </si>
  <si>
    <t>0206-0240</t>
  </si>
  <si>
    <t>SUPERMERCADO E BOMBONIERE SOUSA LTDA</t>
  </si>
  <si>
    <t>SUPERM E BOMBONIER S</t>
  </si>
  <si>
    <t>RUA CASTRO ALVES, 139</t>
  </si>
  <si>
    <t>-11.693172</t>
  </si>
  <si>
    <t>-41.468293</t>
  </si>
  <si>
    <t>(074) 98813-3017</t>
  </si>
  <si>
    <t>0206-0241</t>
  </si>
  <si>
    <t>JOAO BARBOSA DOS SANTOS</t>
  </si>
  <si>
    <t>MERCEARIA J B S</t>
  </si>
  <si>
    <t>RUA DA COMUNICACAO, 1000</t>
  </si>
  <si>
    <t>CENTRO CAFARNAUM/CAF</t>
  </si>
  <si>
    <t>-11.694739</t>
  </si>
  <si>
    <t>-41.472922</t>
  </si>
  <si>
    <t>(074) 98156-8361</t>
  </si>
  <si>
    <t>0206-0242</t>
  </si>
  <si>
    <t>M FERNANDES DO NASCIMENTO LTDA</t>
  </si>
  <si>
    <t>RESTAURANTE E PIZZAR</t>
  </si>
  <si>
    <t>AV AVENIDA EDIMARIO NERES DE SOUZA</t>
  </si>
  <si>
    <t>-11.689234</t>
  </si>
  <si>
    <t>-41.474050</t>
  </si>
  <si>
    <t>(083) 98220-1891</t>
  </si>
  <si>
    <t>0206-0243</t>
  </si>
  <si>
    <t>MALENA GOIS OLIVEIRA</t>
  </si>
  <si>
    <t>MERCADO GALDINO   01</t>
  </si>
  <si>
    <t>RUA JOAO DURVAL, 63</t>
  </si>
  <si>
    <t>-11.688831</t>
  </si>
  <si>
    <t>(074) 98150-0271</t>
  </si>
  <si>
    <t>0207-0006</t>
  </si>
  <si>
    <t>MARIA DE FATIMA OLIVEIRA BRITO</t>
  </si>
  <si>
    <t>CHURRASCARI PALADAR</t>
  </si>
  <si>
    <t>CANARANA</t>
  </si>
  <si>
    <t>RUA CEL DIAS COELHO RUA, 97</t>
  </si>
  <si>
    <t>-11.683727</t>
  </si>
  <si>
    <t>-41.766390</t>
  </si>
  <si>
    <t>(740) 99995-5527</t>
  </si>
  <si>
    <t>0207-0007</t>
  </si>
  <si>
    <t>JOELSON ANDRADE DE PIMENTA</t>
  </si>
  <si>
    <t>PANIF FLOR DO TRIGO</t>
  </si>
  <si>
    <t>RUA FAUSTINIANO LOPES RIBEIR</t>
  </si>
  <si>
    <t>-11.684880</t>
  </si>
  <si>
    <t>-41.769516</t>
  </si>
  <si>
    <t>(074) 99991-2315</t>
  </si>
  <si>
    <t>0207-0008</t>
  </si>
  <si>
    <t>ANDREIA MARQUES DE SOUZA</t>
  </si>
  <si>
    <t>DEP MARQUES</t>
  </si>
  <si>
    <t>RUA FAUSTINO LOPES RIBEIRO, 100</t>
  </si>
  <si>
    <t>-11.685137</t>
  </si>
  <si>
    <t>-41.768944</t>
  </si>
  <si>
    <t>(740) 99979-8987</t>
  </si>
  <si>
    <t>0207-0009</t>
  </si>
  <si>
    <t>PATRICIA JESUS DOS SANTOS</t>
  </si>
  <si>
    <t>MERCADO VAREJISTA</t>
  </si>
  <si>
    <t>RUA FRANCISCO BARBOSA R, 18</t>
  </si>
  <si>
    <t>-11.684627</t>
  </si>
  <si>
    <t>-41.766990</t>
  </si>
  <si>
    <t>(074) 99997-8194</t>
  </si>
  <si>
    <t>0207-0020</t>
  </si>
  <si>
    <t>EDINALVA TELES DE SOUZA</t>
  </si>
  <si>
    <t>LANCHONETE DA ROSA</t>
  </si>
  <si>
    <t>RUA RUA FRANCISCO BARBOSA NASCIMENTO 8, 8</t>
  </si>
  <si>
    <t>CENTRO-CANAR.</t>
  </si>
  <si>
    <t>-11.690511</t>
  </si>
  <si>
    <t>-41.764782</t>
  </si>
  <si>
    <t>0207-0021</t>
  </si>
  <si>
    <t>MARIO SERGIO C LIMA</t>
  </si>
  <si>
    <t>BAR LIMA 01</t>
  </si>
  <si>
    <t>RUA DA PCA MATRIZ, 162</t>
  </si>
  <si>
    <t>CENTROCANAR.</t>
  </si>
  <si>
    <t>-11.683787</t>
  </si>
  <si>
    <t>-41.769104</t>
  </si>
  <si>
    <t>(740) 99977-3847</t>
  </si>
  <si>
    <t>0207-0024</t>
  </si>
  <si>
    <t>REINALDO OLIVEIRA PIRES</t>
  </si>
  <si>
    <t>SORVETERIA E BOMBONI</t>
  </si>
  <si>
    <t>RUA CASTRO ALVES, 208</t>
  </si>
  <si>
    <t>-11.685461</t>
  </si>
  <si>
    <t>-41.769290</t>
  </si>
  <si>
    <t>(740) 99961-9948</t>
  </si>
  <si>
    <t>0207-0026</t>
  </si>
  <si>
    <t>ROSENI MARIA DA SILVA RODRIGUES</t>
  </si>
  <si>
    <t>CREPIOCA LANCHONETE</t>
  </si>
  <si>
    <t>RUA RUA BARRO ALTO, 100</t>
  </si>
  <si>
    <t>-11.685443</t>
  </si>
  <si>
    <t>-41.771810</t>
  </si>
  <si>
    <t>(074) 99978-2211</t>
  </si>
  <si>
    <t>0207-0035</t>
  </si>
  <si>
    <t>JONAELSON BOAVENTURA PAIVA</t>
  </si>
  <si>
    <t>MERCADINHO DOIS</t>
  </si>
  <si>
    <t>RUA RUA HONORATO VIANA</t>
  </si>
  <si>
    <t>LAGOA VELHA</t>
  </si>
  <si>
    <t>-11.830956</t>
  </si>
  <si>
    <t>-41.640390</t>
  </si>
  <si>
    <t>(074) 99942-4024</t>
  </si>
  <si>
    <t>0207-0038</t>
  </si>
  <si>
    <t>ISRAEL PEREIRA SOUZA</t>
  </si>
  <si>
    <t>MERCADINHO CASA REAL</t>
  </si>
  <si>
    <t>RUA POV LAGOA VELHA</t>
  </si>
  <si>
    <t>-11.828814</t>
  </si>
  <si>
    <t>-41.641262</t>
  </si>
  <si>
    <t>(740) 03684-5059</t>
  </si>
  <si>
    <t>0207-0047</t>
  </si>
  <si>
    <t>DURVAL CARDOSO DOURADO</t>
  </si>
  <si>
    <t>SUP.IRMAOS DOURADOS</t>
  </si>
  <si>
    <t>RUA MANUEL MARTINS R, 26</t>
  </si>
  <si>
    <t>SALOBRO</t>
  </si>
  <si>
    <t>-11.861237</t>
  </si>
  <si>
    <t>-41.753720</t>
  </si>
  <si>
    <t>(074) 03658-2230</t>
  </si>
  <si>
    <t>0207-0053</t>
  </si>
  <si>
    <t>ISAC GOMES MIRANDA</t>
  </si>
  <si>
    <t>CHURRAS DO ISAC</t>
  </si>
  <si>
    <t>RUA JULHO CARNEIRO, 30</t>
  </si>
  <si>
    <t>-11.860935</t>
  </si>
  <si>
    <t>-41.751743</t>
  </si>
  <si>
    <t>(740) 00658-2074</t>
  </si>
  <si>
    <t>0207-0055</t>
  </si>
  <si>
    <t>EVERALDO CARNEIRO DOURADO</t>
  </si>
  <si>
    <t>COML DE ESTIVAS CARN</t>
  </si>
  <si>
    <t>PRC DO PRACA DA FEIRA, 59</t>
  </si>
  <si>
    <t>-11.860988</t>
  </si>
  <si>
    <t>-41.752045</t>
  </si>
  <si>
    <t>0207-0069</t>
  </si>
  <si>
    <t>DIORGE RELISTOM OLIVEIRA SALES</t>
  </si>
  <si>
    <t>BAR BARRACA DO MATEU</t>
  </si>
  <si>
    <t>AV PLANALTO, 27</t>
  </si>
  <si>
    <t>-11.859723</t>
  </si>
  <si>
    <t>-41.750360</t>
  </si>
  <si>
    <t>(740) 03658-2264</t>
  </si>
  <si>
    <t>0207-0071</t>
  </si>
  <si>
    <t>JAIR RODRIGUES DE OLIVEIRA</t>
  </si>
  <si>
    <t>PANIFICADO NOSSO PAO</t>
  </si>
  <si>
    <t>RUA RUA JOSE FERREIRA, 33</t>
  </si>
  <si>
    <t>-11.863272</t>
  </si>
  <si>
    <t>-41.750870</t>
  </si>
  <si>
    <t>(074) 99988-8899</t>
  </si>
  <si>
    <t>0207-0081</t>
  </si>
  <si>
    <t>JOSIVALDO ALVES DA SILVA</t>
  </si>
  <si>
    <t>FELIPE LANCHES</t>
  </si>
  <si>
    <t>PRC PRACA DA FEIRAAA</t>
  </si>
  <si>
    <t>-11.855908</t>
  </si>
  <si>
    <t>-41.749504</t>
  </si>
  <si>
    <t>(074) 09934-9011</t>
  </si>
  <si>
    <t>0207-0099</t>
  </si>
  <si>
    <t>PAULO HENRIQUE BATISTA DOS SANTOS</t>
  </si>
  <si>
    <t>REST CHURRA AMERICA</t>
  </si>
  <si>
    <t>ROD BA 122, 9992</t>
  </si>
  <si>
    <t>-12.243299</t>
  </si>
  <si>
    <t>-41.615665</t>
  </si>
  <si>
    <t>(074) 99928-0118</t>
  </si>
  <si>
    <t>0207-0107</t>
  </si>
  <si>
    <t>EDIVAN CLAUDIO DE SOUZA PASSOS</t>
  </si>
  <si>
    <t>CONVENIENCIA 3 IRMAO</t>
  </si>
  <si>
    <t>AV AV JOSE FERREIRA NUNES, 50 / 02070107</t>
  </si>
  <si>
    <t>FAZENDA BAIXA DO VIG</t>
  </si>
  <si>
    <t>-11.767187</t>
  </si>
  <si>
    <t>-41.684663</t>
  </si>
  <si>
    <t>(074) 99963-5077</t>
  </si>
  <si>
    <t>0207-0111</t>
  </si>
  <si>
    <t>VALTER HENRIQUE ALVES</t>
  </si>
  <si>
    <t>VALTINHO LANCHES</t>
  </si>
  <si>
    <t>TRV TRAVESSA VITURINO BORGES II, 405</t>
  </si>
  <si>
    <t>-11.854500</t>
  </si>
  <si>
    <t>-41.749033</t>
  </si>
  <si>
    <t>(740) 03658-2230</t>
  </si>
  <si>
    <t>0207-0130</t>
  </si>
  <si>
    <t>FABIO OLIVEIRA MENDES</t>
  </si>
  <si>
    <t>COML DE BEB OLIVEIRA</t>
  </si>
  <si>
    <t>AV PLANALTO 0</t>
  </si>
  <si>
    <t>-11.857505</t>
  </si>
  <si>
    <t>-41.750210</t>
  </si>
  <si>
    <t>3658-2422</t>
  </si>
  <si>
    <t>0207-0131</t>
  </si>
  <si>
    <t>ROMARIO MARQUES DO NASCIMENTO</t>
  </si>
  <si>
    <t>MERCADO IRECEZINHO</t>
  </si>
  <si>
    <t>PRC IRECEZINHO SN</t>
  </si>
  <si>
    <t>IRECEZINHO</t>
  </si>
  <si>
    <t>-11.675941</t>
  </si>
  <si>
    <t>-41.768787</t>
  </si>
  <si>
    <t>(074) 99982-9125</t>
  </si>
  <si>
    <t>0207-0132</t>
  </si>
  <si>
    <t>CICINATO FERREIRA LEAL JUNIOR</t>
  </si>
  <si>
    <t>PANIF PAO FRANCES</t>
  </si>
  <si>
    <t>RUA VITAL GUANAIS DOURADO, 32</t>
  </si>
  <si>
    <t>-11.685773</t>
  </si>
  <si>
    <t>-41.770230</t>
  </si>
  <si>
    <t>(074) 99981-5584</t>
  </si>
  <si>
    <t>0207-0201</t>
  </si>
  <si>
    <t>OSVALDINA ROSA MEDEIROS</t>
  </si>
  <si>
    <t>SOUZA MERCADINHO 01</t>
  </si>
  <si>
    <t>RUA RUA LADEIRA VERMELHA, 60</t>
  </si>
  <si>
    <t>-11.846666</t>
  </si>
  <si>
    <t>-41.744446</t>
  </si>
  <si>
    <t>9999-0712</t>
  </si>
  <si>
    <t>0207-0207</t>
  </si>
  <si>
    <t>WELTON NUNES SANTANA</t>
  </si>
  <si>
    <t>COMERCIAL WELTON</t>
  </si>
  <si>
    <t>RUA R BARRO ALTO, 43</t>
  </si>
  <si>
    <t>-11.686228</t>
  </si>
  <si>
    <t>-41.773960</t>
  </si>
  <si>
    <t>(074) 99994-7090</t>
  </si>
  <si>
    <t>0207-0208</t>
  </si>
  <si>
    <t>LUANA CARDOSO PIMENTA BARRETO</t>
  </si>
  <si>
    <t>SUPER NOSSA CASA</t>
  </si>
  <si>
    <t>RUA R VIDEVAL SEIXAS DOURADO, 100</t>
  </si>
  <si>
    <t>-11.687530</t>
  </si>
  <si>
    <t>-41.771027</t>
  </si>
  <si>
    <t>(074) 99936-2486</t>
  </si>
  <si>
    <t>0207-0211</t>
  </si>
  <si>
    <t>ELIANE ROSA ALVES</t>
  </si>
  <si>
    <t>OBA DELICIAS RESTAU</t>
  </si>
  <si>
    <t>AV AV PLANALTO, 1510</t>
  </si>
  <si>
    <t>-11.862558</t>
  </si>
  <si>
    <t>-41.751408</t>
  </si>
  <si>
    <t>(074) 99937-6361</t>
  </si>
  <si>
    <t>0207-0215</t>
  </si>
  <si>
    <t>GIOVANE GUARDIANO</t>
  </si>
  <si>
    <t>MERC SUPER SIMPLES</t>
  </si>
  <si>
    <t>PRC PC SAO FRANCISCO, 99</t>
  </si>
  <si>
    <t>-11.688590</t>
  </si>
  <si>
    <t>-41.766506</t>
  </si>
  <si>
    <t>(074) 99942-1611</t>
  </si>
  <si>
    <t>0207-0225</t>
  </si>
  <si>
    <t>JOSUE DE OLIVEIRA PIRES</t>
  </si>
  <si>
    <t>ESTACAO DO PEIXE 01</t>
  </si>
  <si>
    <t>RUA FRANCISCO BARBOSA, 48</t>
  </si>
  <si>
    <t>-11.684979</t>
  </si>
  <si>
    <t>-41.767220</t>
  </si>
  <si>
    <t>(074) 99944-7811</t>
  </si>
  <si>
    <t>0207-0244</t>
  </si>
  <si>
    <t>JOAO PEDRO GOMES DOS SANTOS</t>
  </si>
  <si>
    <t>MERCADINHO RJ</t>
  </si>
  <si>
    <t>RUA R BARRO ALTO, 342</t>
  </si>
  <si>
    <t>-11.686261</t>
  </si>
  <si>
    <t>-41.773937</t>
  </si>
  <si>
    <t>(074) 99995-3022</t>
  </si>
  <si>
    <t>0207-0248</t>
  </si>
  <si>
    <t>TAISIO PATRICIO PINHO DE SOUZA</t>
  </si>
  <si>
    <t>BUTECO DO TATA</t>
  </si>
  <si>
    <t>AV AVENIDA PLANALTO, 412</t>
  </si>
  <si>
    <t>-11.864126</t>
  </si>
  <si>
    <t>-41.751637</t>
  </si>
  <si>
    <t>(074) 99915-8967</t>
  </si>
  <si>
    <t>0207-0251</t>
  </si>
  <si>
    <t>OSVALDINO RODRIGUES DE OLIVEIRA</t>
  </si>
  <si>
    <t>BAR OLIVEIRA 2</t>
  </si>
  <si>
    <t>RUA R FRANCISCO RODRIGUES DE OLIVEIRA, 90</t>
  </si>
  <si>
    <t>-11.690251</t>
  </si>
  <si>
    <t>-41.764927</t>
  </si>
  <si>
    <t>(074) 99930-0639</t>
  </si>
  <si>
    <t>0207-0253</t>
  </si>
  <si>
    <t>KENEDY SANTOS DE AMORIM</t>
  </si>
  <si>
    <t>LAZ BEBIDAS</t>
  </si>
  <si>
    <t>RUA RUA CASTRO ALVES, 40</t>
  </si>
  <si>
    <t>MULUNGU DO MORRO</t>
  </si>
  <si>
    <t>-11.885542</t>
  </si>
  <si>
    <t>-41.657413</t>
  </si>
  <si>
    <t>(074) 99919-5252</t>
  </si>
  <si>
    <t>0207-0254</t>
  </si>
  <si>
    <t>EDINACIO BATISTA SANTOS</t>
  </si>
  <si>
    <t>MERC BOAS COMPRAS</t>
  </si>
  <si>
    <t>RUA R MAXIMINIO MARTINS, 7</t>
  </si>
  <si>
    <t>-11.859138</t>
  </si>
  <si>
    <t>-41.750584</t>
  </si>
  <si>
    <t>(074) 99957-6224</t>
  </si>
  <si>
    <t>0207-0255</t>
  </si>
  <si>
    <t>HENRIQUE NOVAES DA SILVA</t>
  </si>
  <si>
    <t>MERCADO DIA A DIA</t>
  </si>
  <si>
    <t>RUA R CORONEL DIAS COELHO</t>
  </si>
  <si>
    <t>-11.683745</t>
  </si>
  <si>
    <t>-41.766735</t>
  </si>
  <si>
    <t>(074) 99906-0964</t>
  </si>
  <si>
    <t>0207-0257</t>
  </si>
  <si>
    <t>JOSE DE SOUSA NETO</t>
  </si>
  <si>
    <t>NANY ACAI</t>
  </si>
  <si>
    <t>AV AVENIDA PLANALTO, 51</t>
  </si>
  <si>
    <t>-11.861895</t>
  </si>
  <si>
    <t>-41.751140</t>
  </si>
  <si>
    <t>(074) 99933-4817</t>
  </si>
  <si>
    <t>0207-0260</t>
  </si>
  <si>
    <t>JAQUELINE ALVES PEREIRA</t>
  </si>
  <si>
    <t>PIZZARIA BELA PIZZA</t>
  </si>
  <si>
    <t>AV AVENIDA PLANALTO, 231</t>
  </si>
  <si>
    <t>PAZ / SALOBRO</t>
  </si>
  <si>
    <t>-11.859591</t>
  </si>
  <si>
    <t>-41.750282</t>
  </si>
  <si>
    <t>(074) 99950-9091</t>
  </si>
  <si>
    <t>0207-0265</t>
  </si>
  <si>
    <t>EDINELMA MEDEIROS DA SILVA</t>
  </si>
  <si>
    <t>MERCADO MARTINS</t>
  </si>
  <si>
    <t>AV TANCREDO NEVES, 253</t>
  </si>
  <si>
    <t>-11.688056</t>
  </si>
  <si>
    <t>-41.772220</t>
  </si>
  <si>
    <t>(074) 99958-7016</t>
  </si>
  <si>
    <t>0207-0266</t>
  </si>
  <si>
    <t>JANICLEIA BARRETO DAMASCENO</t>
  </si>
  <si>
    <t>COMERCIAL CARVALHO02</t>
  </si>
  <si>
    <t>TRV RIO BRANCO, 4587</t>
  </si>
  <si>
    <t>-11.689445</t>
  </si>
  <si>
    <t>-41.770000</t>
  </si>
  <si>
    <t>(074) 99980-8848</t>
  </si>
  <si>
    <t>0207-0267</t>
  </si>
  <si>
    <t>MAIKON DIEGO OLIVEIRA DE SOUZA</t>
  </si>
  <si>
    <t>D CASA MERCADINHO</t>
  </si>
  <si>
    <t>AV AVENIDA PLANALTO, 138</t>
  </si>
  <si>
    <t>-11.860556</t>
  </si>
  <si>
    <t>-41.750557</t>
  </si>
  <si>
    <t>(074) 99951-2872</t>
  </si>
  <si>
    <t>0207-0268</t>
  </si>
  <si>
    <t>AILTON ROSA DE SOUZA</t>
  </si>
  <si>
    <t>MERCADO AILTON</t>
  </si>
  <si>
    <t>POV RURAL GERMINIANO II</t>
  </si>
  <si>
    <t>GERMINIANO II</t>
  </si>
  <si>
    <t>-11.802761</t>
  </si>
  <si>
    <t>-41.668243</t>
  </si>
  <si>
    <t>(074) 99994-3413</t>
  </si>
  <si>
    <t>0207-0269</t>
  </si>
  <si>
    <t>CLEMILTON DE SOUSA SOBRINHO</t>
  </si>
  <si>
    <t>CHOPP BURGUER</t>
  </si>
  <si>
    <t>TRV PLANALTO, 87</t>
  </si>
  <si>
    <t>-11.860833</t>
  </si>
  <si>
    <t>-41.750280</t>
  </si>
  <si>
    <t>(074) 99907-4949</t>
  </si>
  <si>
    <t>0207-0270</t>
  </si>
  <si>
    <t>SUPERMERCADO PRIMICIA LTDA</t>
  </si>
  <si>
    <t>SUPERMER PRIMICIA</t>
  </si>
  <si>
    <t>RUA LAURO DOURADO, 421</t>
  </si>
  <si>
    <t>-11.689167</t>
  </si>
  <si>
    <t>-41.766666</t>
  </si>
  <si>
    <t>(074) 99919-1174</t>
  </si>
  <si>
    <t>0207-0272</t>
  </si>
  <si>
    <t>SAVIO SILVA CERQUEIRA</t>
  </si>
  <si>
    <t>BOUTIQUE DO PAO</t>
  </si>
  <si>
    <t>RUA RUA 16 DE JULHO, 379</t>
  </si>
  <si>
    <t>-11.687777</t>
  </si>
  <si>
    <t>-41.768612</t>
  </si>
  <si>
    <t>(074) 99980-1085</t>
  </si>
  <si>
    <t>0207-0280</t>
  </si>
  <si>
    <t>MARCLEI OLIVEIRA SILVA</t>
  </si>
  <si>
    <t>MP BEER COMER E SERV</t>
  </si>
  <si>
    <t>PRC PRACA CIRINO NETO, 76</t>
  </si>
  <si>
    <t>-11.862500</t>
  </si>
  <si>
    <t>-41.755280</t>
  </si>
  <si>
    <t>(074) 99966-3852</t>
  </si>
  <si>
    <t>0207-0281</t>
  </si>
  <si>
    <t>JOSE RAIMUNDO DA SILVA</t>
  </si>
  <si>
    <t>GS BEBIDAS</t>
  </si>
  <si>
    <t>RUA RUA VITAL GUANAES, 128</t>
  </si>
  <si>
    <t>-11.686111</t>
  </si>
  <si>
    <t>-41.771110</t>
  </si>
  <si>
    <t>(074) 99997-7030</t>
  </si>
  <si>
    <t>0207-0282</t>
  </si>
  <si>
    <t>MARIA CLAUDIA SOUZA OLIVEIRA</t>
  </si>
  <si>
    <t>MENU DIARIO SB CASEI</t>
  </si>
  <si>
    <t>RUA JOSE MARTINS, 19</t>
  </si>
  <si>
    <t>-11.683333</t>
  </si>
  <si>
    <t>-41.769444</t>
  </si>
  <si>
    <t>(074) 99931-9549</t>
  </si>
  <si>
    <t>0207-0286</t>
  </si>
  <si>
    <t>MARCOS SERGIO BISPO SOUZA</t>
  </si>
  <si>
    <t>ACOUGUE MENOR PRECO</t>
  </si>
  <si>
    <t>AV AVENIDA PLANALTO, 17</t>
  </si>
  <si>
    <t>-11.858746</t>
  </si>
  <si>
    <t>-41.750458</t>
  </si>
  <si>
    <t>(074) 99939-8091</t>
  </si>
  <si>
    <t>0207-0287</t>
  </si>
  <si>
    <t>MARIA SENHORINHA BORGES</t>
  </si>
  <si>
    <t>PONTO DOS LANCHES</t>
  </si>
  <si>
    <t>POV POVOADO LAGOA BONITA, 999999</t>
  </si>
  <si>
    <t>LAGOA BONITA / CANAR</t>
  </si>
  <si>
    <t>-11.685555</t>
  </si>
  <si>
    <t>-41.770832</t>
  </si>
  <si>
    <t>(074) 99931-6869</t>
  </si>
  <si>
    <t>0207-0293</t>
  </si>
  <si>
    <t>JOICE SOUSA NOVAIS</t>
  </si>
  <si>
    <t>PIZZARIA JK</t>
  </si>
  <si>
    <t>PRC PRACA DOIS PODERES, 224</t>
  </si>
  <si>
    <t>-11.685265</t>
  </si>
  <si>
    <t>-41.769680</t>
  </si>
  <si>
    <t>(074) 99937-6884</t>
  </si>
  <si>
    <t>0207-0294</t>
  </si>
  <si>
    <t>IRANILSON CEDRO PIMENTA</t>
  </si>
  <si>
    <t>MERC E ACOUG PIMENTA</t>
  </si>
  <si>
    <t>RUA JURACY MAGALHAES, 100</t>
  </si>
  <si>
    <t>-11.684506</t>
  </si>
  <si>
    <t>-41.769401</t>
  </si>
  <si>
    <t>(074) 99994-5203</t>
  </si>
  <si>
    <t>0207-0295</t>
  </si>
  <si>
    <t>ARMANDINA ROSA DOS ANJOS</t>
  </si>
  <si>
    <t>RESTAUR PANELA VELHA</t>
  </si>
  <si>
    <t>AV AVENIDA PLANALTO, 450</t>
  </si>
  <si>
    <t>-11.863255</t>
  </si>
  <si>
    <t>-41.751480</t>
  </si>
  <si>
    <t>(074) 99948-6737</t>
  </si>
  <si>
    <t>0207-0301</t>
  </si>
  <si>
    <t>DEUSNI DE ARAUJO SOUZA</t>
  </si>
  <si>
    <t>DESTACK SUPERMERCA01</t>
  </si>
  <si>
    <t>RUA RUA JURACY MAGALHAES JUNIOR, 189</t>
  </si>
  <si>
    <t>-11.685000</t>
  </si>
  <si>
    <t>-41.770245</t>
  </si>
  <si>
    <t>(074) 99951-2973</t>
  </si>
  <si>
    <t>0207-0303</t>
  </si>
  <si>
    <t>EDVAM LIMA MENDONCA</t>
  </si>
  <si>
    <t>MERCADO MENDONCA</t>
  </si>
  <si>
    <t>PRC PRACA CASTRO ALVES, 203</t>
  </si>
  <si>
    <t>-11.684439</t>
  </si>
  <si>
    <t>-41.770680</t>
  </si>
  <si>
    <t>(074) 99979-8163</t>
  </si>
  <si>
    <t>0207-0306</t>
  </si>
  <si>
    <t>VALFREDO GOMES BARRETO</t>
  </si>
  <si>
    <t>RESTAURANTE DO PEIXE</t>
  </si>
  <si>
    <t>RUA RUA FRANCISCO BARBOSA NASCIMENTO, 114</t>
  </si>
  <si>
    <t>-11.684667</t>
  </si>
  <si>
    <t>-41.767180</t>
  </si>
  <si>
    <t>0207-0309</t>
  </si>
  <si>
    <t>CAIO NOVAES ALVES</t>
  </si>
  <si>
    <t>MANU MERCADO</t>
  </si>
  <si>
    <t>POV POVOADO DESCOBERTA, 7</t>
  </si>
  <si>
    <t>POVOADO DESCOBERTA/C</t>
  </si>
  <si>
    <t>-11.905433</t>
  </si>
  <si>
    <t>-41.682480</t>
  </si>
  <si>
    <t>(074) 99928-0531</t>
  </si>
  <si>
    <t>0207-0310</t>
  </si>
  <si>
    <t>JOSIANE PEREIRA DE SOUSA</t>
  </si>
  <si>
    <t>LANCHONETE AVENIDA01</t>
  </si>
  <si>
    <t>AV AVENIDA PLANALTO, 250</t>
  </si>
  <si>
    <t>-11.863187</t>
  </si>
  <si>
    <t>-41.751415</t>
  </si>
  <si>
    <t>(074) 99951-8288</t>
  </si>
  <si>
    <t>0207-0311</t>
  </si>
  <si>
    <t>OLDAQUE MIRANDA DE SOUZA FILHO</t>
  </si>
  <si>
    <t>MERCADO BELA VIS  01</t>
  </si>
  <si>
    <t>PRA DO COMERCIO, 114</t>
  </si>
  <si>
    <t>-11.861423</t>
  </si>
  <si>
    <t>-41.752751</t>
  </si>
  <si>
    <t>(074) 99938-9558</t>
  </si>
  <si>
    <t>0207-0312</t>
  </si>
  <si>
    <t>UEBES MARTINS DE OLIVEIRA</t>
  </si>
  <si>
    <t>DISTRIBUIDORA UEBES</t>
  </si>
  <si>
    <t>RUA RUA IZIDORIO BISPO, 218</t>
  </si>
  <si>
    <t>-11.857569</t>
  </si>
  <si>
    <t>-41.749875</t>
  </si>
  <si>
    <t>(074) 99979-5859</t>
  </si>
  <si>
    <t>0207-0313</t>
  </si>
  <si>
    <t>MERCADINHO BARATAO COMERCIAL DE ALIMENTO</t>
  </si>
  <si>
    <t>BARATAO MERCADINHO</t>
  </si>
  <si>
    <t>RUA RUA BARRO ALTO, 276</t>
  </si>
  <si>
    <t>-11.685820</t>
  </si>
  <si>
    <t>-41.772675</t>
  </si>
  <si>
    <t>(074) 99935-9173</t>
  </si>
  <si>
    <t>0207-0315</t>
  </si>
  <si>
    <t>ISAIAS RODRIGUES PORTO LELIS</t>
  </si>
  <si>
    <t>SERTAO BEBIDAS</t>
  </si>
  <si>
    <t>POV POVOADO UMBURANA DO QUERER, 134 / A</t>
  </si>
  <si>
    <t>UMBURANA DO QUERER</t>
  </si>
  <si>
    <t>-11.884345</t>
  </si>
  <si>
    <t>-41.653725</t>
  </si>
  <si>
    <t>(074) 99937-1351</t>
  </si>
  <si>
    <t>0207-0316</t>
  </si>
  <si>
    <t>KEDMA DOS SANTOS SOUZA</t>
  </si>
  <si>
    <t>PK SALGADOS E LANCHE</t>
  </si>
  <si>
    <t>RUA RUA 7 DE SETEMBRO, 86</t>
  </si>
  <si>
    <t>-11.684748</t>
  </si>
  <si>
    <t>-41.769590</t>
  </si>
  <si>
    <t>(074) 99961-3322</t>
  </si>
  <si>
    <t>0207-0318</t>
  </si>
  <si>
    <t>ITANA NUNES DA SILVA</t>
  </si>
  <si>
    <t>DELICIAS GOURMET</t>
  </si>
  <si>
    <t>TRV TRAVESSA RIO BRANCO, 166</t>
  </si>
  <si>
    <t>-11.688745</t>
  </si>
  <si>
    <t>-41.769604</t>
  </si>
  <si>
    <t>(074) 99906-9424</t>
  </si>
  <si>
    <t>0207-0319</t>
  </si>
  <si>
    <t>CAPIVARA COMERCIO DE COMBUSTIVEIS LTDA</t>
  </si>
  <si>
    <t>POSTO CAPIVARA</t>
  </si>
  <si>
    <t>AV AVENIDA FRANCISCO BARBOSA DO NASCIMENTO, 5</t>
  </si>
  <si>
    <t>-11.683589</t>
  </si>
  <si>
    <t>-41.767310</t>
  </si>
  <si>
    <t>(074) 98126-9642</t>
  </si>
  <si>
    <t>0207-0322</t>
  </si>
  <si>
    <t>HIPER MERCADO CORACA</t>
  </si>
  <si>
    <t>AV AVENIDA FRANCISCO BARBOSA DO NASCIMENTO, 100 / PREDIO</t>
  </si>
  <si>
    <t>-11.685833</t>
  </si>
  <si>
    <t>-41.766556</t>
  </si>
  <si>
    <t>0207-0323</t>
  </si>
  <si>
    <t>BUDEGA DO GALEGO REPRESENTACAO LTDA</t>
  </si>
  <si>
    <t>GABRIEL ALVES LIMA</t>
  </si>
  <si>
    <t>PRC PRACA DA MATRIZZ, 120</t>
  </si>
  <si>
    <t>-11.829285</t>
  </si>
  <si>
    <t>-41.641929</t>
  </si>
  <si>
    <t>(074) 99948-3503</t>
  </si>
  <si>
    <t>0207-0327</t>
  </si>
  <si>
    <t>MARIA DA GLORIA MARTINS DOS ANJOS</t>
  </si>
  <si>
    <t>RESTAURANTE BUXIXO</t>
  </si>
  <si>
    <t>PRC PRACA SAO FRANCISCO, 22</t>
  </si>
  <si>
    <t>-11.688342</t>
  </si>
  <si>
    <t>-41.767111</t>
  </si>
  <si>
    <t>(074) 99915-4871</t>
  </si>
  <si>
    <t>0207-0328</t>
  </si>
  <si>
    <t>RAPHAEL RODRIGUES DE SOUZA</t>
  </si>
  <si>
    <t>LANCHONET KI LANCHES</t>
  </si>
  <si>
    <t>PRC PRACA DA MATRIZ, 1028</t>
  </si>
  <si>
    <t>-11.884710</t>
  </si>
  <si>
    <t>-41.654015</t>
  </si>
  <si>
    <t>(074) 99943-6643</t>
  </si>
  <si>
    <t>0207-0329</t>
  </si>
  <si>
    <t>IUCARE DE SOUZA PEREIRA</t>
  </si>
  <si>
    <t>ADEGA PEREIRA     01</t>
  </si>
  <si>
    <t>POV POVOADO LAGOA NOVA, 10</t>
  </si>
  <si>
    <t>-11.863264</t>
  </si>
  <si>
    <t>-41.732827</t>
  </si>
  <si>
    <t>(074) 99999-2078</t>
  </si>
  <si>
    <t>0207-0335</t>
  </si>
  <si>
    <t>ANA CLEIA DE NOVAIS</t>
  </si>
  <si>
    <t>MERCADO NOVAIS    01</t>
  </si>
  <si>
    <t>RUA 7 DE SETEMBRO, 20</t>
  </si>
  <si>
    <t>-11.688195</t>
  </si>
  <si>
    <t>-41.768684</t>
  </si>
  <si>
    <t>0207-0336</t>
  </si>
  <si>
    <t>ELISANGELA ALVES DE SOUZA</t>
  </si>
  <si>
    <t>MERCADO MIRANDA   04</t>
  </si>
  <si>
    <t>RUA RUA NOVO HORIZONTEE, 136</t>
  </si>
  <si>
    <t>-11.859742</t>
  </si>
  <si>
    <t>-41.753326</t>
  </si>
  <si>
    <t>(074) 99982-3712</t>
  </si>
  <si>
    <t>0207-0337</t>
  </si>
  <si>
    <t>ERICK DANTE DOS SANTOS MELO</t>
  </si>
  <si>
    <t>PIZZARIA DOIS IRMAOS</t>
  </si>
  <si>
    <t>TRV LAURO DOURADO II, 148</t>
  </si>
  <si>
    <t>-11.690576</t>
  </si>
  <si>
    <t>-41.765675</t>
  </si>
  <si>
    <t>(074) 99932-8882</t>
  </si>
  <si>
    <t>0207-0338</t>
  </si>
  <si>
    <t>VANUZA PEREIRA DOS SANTOS</t>
  </si>
  <si>
    <t>BRAVONE BAR</t>
  </si>
  <si>
    <t>RUA LAURO DOURADO, 200</t>
  </si>
  <si>
    <t>-11.691142</t>
  </si>
  <si>
    <t>-41.764538</t>
  </si>
  <si>
    <t>(074) 99801-9866</t>
  </si>
  <si>
    <t>0207-0339</t>
  </si>
  <si>
    <t>MARCOS GUARDIANO</t>
  </si>
  <si>
    <t>MERCADO 21 DE ABRIL</t>
  </si>
  <si>
    <t>RUA ALTO DO PARAISO, 9998</t>
  </si>
  <si>
    <t>-11.686631</t>
  </si>
  <si>
    <t>-41.764347</t>
  </si>
  <si>
    <t>(074) 99945-1353</t>
  </si>
  <si>
    <t>0207-0341</t>
  </si>
  <si>
    <t>RODRIGO SOUZA DE OLIVEIRA</t>
  </si>
  <si>
    <t>O CAIPIRAO COMIDA CA</t>
  </si>
  <si>
    <t>POV BA 432 KM 55, 10</t>
  </si>
  <si>
    <t>PLANALTO/CANARANA</t>
  </si>
  <si>
    <t>-11.798132</t>
  </si>
  <si>
    <t>-41.736275</t>
  </si>
  <si>
    <t>(074) 99949-8800</t>
  </si>
  <si>
    <t>0207-0343</t>
  </si>
  <si>
    <t>CAROLINE PIRES PIMENTA</t>
  </si>
  <si>
    <t>CARA PRETA BURGUE</t>
  </si>
  <si>
    <t>RUA JOSE MARTINSS, 4</t>
  </si>
  <si>
    <t>-11.684048</t>
  </si>
  <si>
    <t>-41.768500</t>
  </si>
  <si>
    <t>(074) 99934-2011</t>
  </si>
  <si>
    <t>0207-0346</t>
  </si>
  <si>
    <t>VAGNER JOSE ROCHA</t>
  </si>
  <si>
    <t>CASA DE CARNES W E M</t>
  </si>
  <si>
    <t>AV PLANALTO, 2</t>
  </si>
  <si>
    <t>-11.859506</t>
  </si>
  <si>
    <t>-41.750355</t>
  </si>
  <si>
    <t>(074) 98845-0662</t>
  </si>
  <si>
    <t>0207-0347</t>
  </si>
  <si>
    <t>EVERTON OLIVEIRA DE LIMA</t>
  </si>
  <si>
    <t>MERCADO IRMAOS OLIVE</t>
  </si>
  <si>
    <t>RUA VITORINO BORGES, 6</t>
  </si>
  <si>
    <t>-11.857490</t>
  </si>
  <si>
    <t>-41.748418</t>
  </si>
  <si>
    <t>(074) 09983-1568</t>
  </si>
  <si>
    <t>0207-0349</t>
  </si>
  <si>
    <t>FREDSON DOS SANTOS SILVA</t>
  </si>
  <si>
    <t>RESTAURA BIG RANGO</t>
  </si>
  <si>
    <t>TRV VITURINO BORGES II, 405</t>
  </si>
  <si>
    <t>-11.863633</t>
  </si>
  <si>
    <t>-41.751205</t>
  </si>
  <si>
    <t>(074) 99994-1005</t>
  </si>
  <si>
    <t>0207-0350</t>
  </si>
  <si>
    <t>TAINA BRITO DOS SANTOS</t>
  </si>
  <si>
    <t>MERC BEM MAIS PERTO</t>
  </si>
  <si>
    <t>AV BARRO ALTO, 798</t>
  </si>
  <si>
    <t>-11.710405</t>
  </si>
  <si>
    <t>-41.793212</t>
  </si>
  <si>
    <t>(074) 99816-9416</t>
  </si>
  <si>
    <t>0207-0351</t>
  </si>
  <si>
    <t>SAMARA MENDES DOS SANTOS</t>
  </si>
  <si>
    <t>J S PASTELARIA</t>
  </si>
  <si>
    <t>PRC DO COMERCIO, 27</t>
  </si>
  <si>
    <t>-11.861553</t>
  </si>
  <si>
    <t>-41.752244</t>
  </si>
  <si>
    <t>(074) 99919-0183</t>
  </si>
  <si>
    <t>0207-0352</t>
  </si>
  <si>
    <t>ADIANA ROCHA DOS ANJOS</t>
  </si>
  <si>
    <t>RESTAURANTE SABOR C</t>
  </si>
  <si>
    <t>RUA RUA FRANCISCO BARBOSA NASCIMENTO 486, 486</t>
  </si>
  <si>
    <t>-11.686945</t>
  </si>
  <si>
    <t>-41.766259</t>
  </si>
  <si>
    <t>(074) 99932-5078</t>
  </si>
  <si>
    <t>0207-0353</t>
  </si>
  <si>
    <t>CLEMENCIA ROSA DE JESUS</t>
  </si>
  <si>
    <t>MERCADINHO PLANALTO</t>
  </si>
  <si>
    <t>AV PLANALTO, 406</t>
  </si>
  <si>
    <t>-11.862893</t>
  </si>
  <si>
    <t>-41.751337</t>
  </si>
  <si>
    <t>(074) 99929-3002</t>
  </si>
  <si>
    <t>0207-0354</t>
  </si>
  <si>
    <t>VALQUIRIA APARECIDA DE ALMEIDA</t>
  </si>
  <si>
    <t>P H DO COCO</t>
  </si>
  <si>
    <t>AV PLANALTO, 412</t>
  </si>
  <si>
    <t>-11.862984</t>
  </si>
  <si>
    <t>-41.751174</t>
  </si>
  <si>
    <t>(074) 99404-7847</t>
  </si>
  <si>
    <t>0207-0355</t>
  </si>
  <si>
    <t>HUMBERTO HENRIQUE NUNES DOS ANJOS</t>
  </si>
  <si>
    <t>MERCADO PRIMICIA  01</t>
  </si>
  <si>
    <t>RUA LAURO DOURADO 02, 421</t>
  </si>
  <si>
    <t>-11.688904</t>
  </si>
  <si>
    <t>-41.766638</t>
  </si>
  <si>
    <t>(074) 98106-2068</t>
  </si>
  <si>
    <t>0207-0356</t>
  </si>
  <si>
    <t>HELENO RODRIGUES DE SOUZA</t>
  </si>
  <si>
    <t>MERCADINHO J P</t>
  </si>
  <si>
    <t>PRC NOVO COLEGIO, 70</t>
  </si>
  <si>
    <t>POV SALOBRO</t>
  </si>
  <si>
    <t>-11.860228</t>
  </si>
  <si>
    <t>-41.756542</t>
  </si>
  <si>
    <t>(074) 99929-9403</t>
  </si>
  <si>
    <t>0207-0357</t>
  </si>
  <si>
    <t>WISLLEY GUANAES DE MELO</t>
  </si>
  <si>
    <t>CHURR ACONCHEGO</t>
  </si>
  <si>
    <t>RUA FRANCISCO BARBOSA NASCIMENTO, 360</t>
  </si>
  <si>
    <t>-11.685518</t>
  </si>
  <si>
    <t>-41.766865</t>
  </si>
  <si>
    <t>(074) 99975-3694</t>
  </si>
  <si>
    <t>0207-0358</t>
  </si>
  <si>
    <t>LEONARDO SEIXAS PIMENTA</t>
  </si>
  <si>
    <t>ARMAZEM BOM PRECO</t>
  </si>
  <si>
    <t>RUA R MARECHAL DEODORO, 8</t>
  </si>
  <si>
    <t>-11.684190</t>
  </si>
  <si>
    <t>-41.767226</t>
  </si>
  <si>
    <t>(074) 99974-8058</t>
  </si>
  <si>
    <t>0207-0359</t>
  </si>
  <si>
    <t>JANILDE RODRIGUES SOUZA</t>
  </si>
  <si>
    <t>COMERCIAL RODRIGUE03</t>
  </si>
  <si>
    <t>PRC DA MATRIZ, 190</t>
  </si>
  <si>
    <t>-11.884779</t>
  </si>
  <si>
    <t>-41.654163</t>
  </si>
  <si>
    <t>(074) 09943-6643</t>
  </si>
  <si>
    <t>0207-0360</t>
  </si>
  <si>
    <t>UILLIAN RODRIGUES SOUSA</t>
  </si>
  <si>
    <t>POINT BEER</t>
  </si>
  <si>
    <t>POV UMBURANA DO QUERER, 134</t>
  </si>
  <si>
    <t>-11.884080</t>
  </si>
  <si>
    <t>-41.654204</t>
  </si>
  <si>
    <t>(074) 99930-4865</t>
  </si>
  <si>
    <t>0207-0361</t>
  </si>
  <si>
    <t>SANDRO CARLOS NUNES DOS ANJOS</t>
  </si>
  <si>
    <t>MERCADO DESTAK    01</t>
  </si>
  <si>
    <t>RUA JURACY MAGALHAES JUNIOR, 159</t>
  </si>
  <si>
    <t>-11.684890</t>
  </si>
  <si>
    <t>-41.770198</t>
  </si>
  <si>
    <t>0207-0362</t>
  </si>
  <si>
    <t>WIKLES BORGES ARAUJO</t>
  </si>
  <si>
    <t>BAR E PETIS PE NA RO</t>
  </si>
  <si>
    <t>PRC MIGUEL BOA VENTURA, 94</t>
  </si>
  <si>
    <t>BAIXA DO VIGARIO</t>
  </si>
  <si>
    <t>-11.760706</t>
  </si>
  <si>
    <t>-41.683457</t>
  </si>
  <si>
    <t>(019) 99506-1289</t>
  </si>
  <si>
    <t>0207-0363</t>
  </si>
  <si>
    <t>NEVITON ARCANJO DE SOUZA</t>
  </si>
  <si>
    <t>MERCADO YSLLA</t>
  </si>
  <si>
    <t>POV LAGOA NOVA, 5</t>
  </si>
  <si>
    <t>RURAL SALOBRO/SALOBR</t>
  </si>
  <si>
    <t>-11.863010</t>
  </si>
  <si>
    <t>-41.736238</t>
  </si>
  <si>
    <t>(074) 99978-9748</t>
  </si>
  <si>
    <t>0207-0364</t>
  </si>
  <si>
    <t>WESLEY FRANCISCO DE OLIVEIRA</t>
  </si>
  <si>
    <t>MERCADO IMPERIO</t>
  </si>
  <si>
    <t>RUA 10A RUA PRACA CERINO NETO, 65</t>
  </si>
  <si>
    <t>-11.862949</t>
  </si>
  <si>
    <t>-41.754239</t>
  </si>
  <si>
    <t>(074) 99979-2405</t>
  </si>
  <si>
    <t>0207-0365</t>
  </si>
  <si>
    <t>PEDRO AUGUSTO BATISTA DE OLIVEIRA</t>
  </si>
  <si>
    <t>PEDRO AUGUSTO</t>
  </si>
  <si>
    <t>TRV DO PLANALTO, 50</t>
  </si>
  <si>
    <t>-11.860912</t>
  </si>
  <si>
    <t>-41.750107</t>
  </si>
  <si>
    <t>(074) 99998-4297</t>
  </si>
  <si>
    <t>0207-0366</t>
  </si>
  <si>
    <t>LUCAS RODRIGUES DA SILVA</t>
  </si>
  <si>
    <t>ESPETINHO DO GORDINH</t>
  </si>
  <si>
    <t>AV PLANALTO, 948</t>
  </si>
  <si>
    <t>-11.859407</t>
  </si>
  <si>
    <t>-41.750611</t>
  </si>
  <si>
    <t>(077) 99902-5457</t>
  </si>
  <si>
    <t>0208-0014</t>
  </si>
  <si>
    <t>SERGIO MARCOS ALVES LARANJEIRA</t>
  </si>
  <si>
    <t>MERCADINHO VINICIUS</t>
  </si>
  <si>
    <t>AV AVENIDA MANOEL NOVAIS, 447</t>
  </si>
  <si>
    <t>-11.137901</t>
  </si>
  <si>
    <t>-42.107384</t>
  </si>
  <si>
    <t>(074) 99991-3904</t>
  </si>
  <si>
    <t>0208-0024</t>
  </si>
  <si>
    <t>JOELSON NUNES DA SILVA</t>
  </si>
  <si>
    <t>SUPERMERCADO NUNES</t>
  </si>
  <si>
    <t>PRC DO COMERCIO PCA, 22</t>
  </si>
  <si>
    <t>-11.138222</t>
  </si>
  <si>
    <t>-42.112663</t>
  </si>
  <si>
    <t>(074) 99966-2234</t>
  </si>
  <si>
    <t>0208-0032</t>
  </si>
  <si>
    <t>ENOC MENDES CORREIA</t>
  </si>
  <si>
    <t>BAR DO ENOC</t>
  </si>
  <si>
    <t>RUA DO PCA POSTO DE SAUDE PO</t>
  </si>
  <si>
    <t>POVOADO MAXIXE</t>
  </si>
  <si>
    <t>-11.078015</t>
  </si>
  <si>
    <t>-42.131233</t>
  </si>
  <si>
    <t>(740) 09961-9766</t>
  </si>
  <si>
    <t>0208-0033</t>
  </si>
  <si>
    <t>RUY PORTO ROCHA</t>
  </si>
  <si>
    <t>PANIFICADORA SAO PED</t>
  </si>
  <si>
    <t>RUA DA PCA MATRIZ, 43</t>
  </si>
  <si>
    <t>-11.136620</t>
  </si>
  <si>
    <t>-42.112730</t>
  </si>
  <si>
    <t>(740) 99964-8909</t>
  </si>
  <si>
    <t>0208-0034</t>
  </si>
  <si>
    <t>EZEVALDO PIRES CARVALHO</t>
  </si>
  <si>
    <t>BAR DO ZE VALDO</t>
  </si>
  <si>
    <t>PRC PRAAA COMERCIO, 33</t>
  </si>
  <si>
    <t>-11.137142</t>
  </si>
  <si>
    <t>-42.112770</t>
  </si>
  <si>
    <t>(074) 09962-8331</t>
  </si>
  <si>
    <t>0208-0035</t>
  </si>
  <si>
    <t>NAILSON GONCALVES DE SANTANA ME</t>
  </si>
  <si>
    <t>MERCADO N SANTANA</t>
  </si>
  <si>
    <t>PRC PRACA JOSE CASTRO DOURADO, 222</t>
  </si>
  <si>
    <t>-11.133713</t>
  </si>
  <si>
    <t>-42.109560</t>
  </si>
  <si>
    <t>(074) 99948-9894</t>
  </si>
  <si>
    <t>0208-0037</t>
  </si>
  <si>
    <t>JOAQUIM MAGALHAES NETO</t>
  </si>
  <si>
    <t>CHURRASCARIA DO NETO</t>
  </si>
  <si>
    <t>POV DE QUEIMADA CENTRAL</t>
  </si>
  <si>
    <t>QUEIMAD CENTRAL</t>
  </si>
  <si>
    <t>-11.178338</t>
  </si>
  <si>
    <t>-42.022808</t>
  </si>
  <si>
    <t>(074) 99951-3713</t>
  </si>
  <si>
    <t>0208-0045</t>
  </si>
  <si>
    <t>MARINEUZA GOMES MARQUES</t>
  </si>
  <si>
    <t>MERC MARQUES</t>
  </si>
  <si>
    <t>RUA RUA MANOEL FERRERIA DOS, 208</t>
  </si>
  <si>
    <t>-11.134658</t>
  </si>
  <si>
    <t>-42.112995</t>
  </si>
  <si>
    <t>(074) 09981-1035</t>
  </si>
  <si>
    <t>0208-0046</t>
  </si>
  <si>
    <t>MARIA DE JESUS BATISTA</t>
  </si>
  <si>
    <t>MERC PADRE CICERO 01</t>
  </si>
  <si>
    <t>10R RUA MANOEL NOVAES, 449</t>
  </si>
  <si>
    <t>-11.137845</t>
  </si>
  <si>
    <t>-42.107830</t>
  </si>
  <si>
    <t>(074) 99918-1714</t>
  </si>
  <si>
    <t>0208-0051</t>
  </si>
  <si>
    <t>GILVAN PINTO DE CARVALHO</t>
  </si>
  <si>
    <t>BAR E REST DA VO</t>
  </si>
  <si>
    <t>POV DO POVOADO DOS BRINCOS, 178</t>
  </si>
  <si>
    <t>-11.200397</t>
  </si>
  <si>
    <t>-41.988330</t>
  </si>
  <si>
    <t>(074) 99998-6545</t>
  </si>
  <si>
    <t>0208-0065</t>
  </si>
  <si>
    <t>JOSE ADALBERTO DE FREITAS</t>
  </si>
  <si>
    <t>COMERCIAL FREITAS</t>
  </si>
  <si>
    <t>RUA RUA TIRADENTES, 56 / D:0154</t>
  </si>
  <si>
    <t>-11.134899</t>
  </si>
  <si>
    <t>-42.110900</t>
  </si>
  <si>
    <t>(400) 99964-4990</t>
  </si>
  <si>
    <t>0208-0078</t>
  </si>
  <si>
    <t>RICALDINA RIBEIRO DA SILVA</t>
  </si>
  <si>
    <t>BAR MERC SILVA</t>
  </si>
  <si>
    <t>RUA RUA FRANCISCA FERREIRA DOS SANTOS, 297</t>
  </si>
  <si>
    <t>-11.134050</t>
  </si>
  <si>
    <t>-42.112620</t>
  </si>
  <si>
    <t>(740) 09956-8457</t>
  </si>
  <si>
    <t>0208-0081</t>
  </si>
  <si>
    <t>JOELMA FELIX DOS SANTOS</t>
  </si>
  <si>
    <t>MERC E ACOUG JOELMA</t>
  </si>
  <si>
    <t>RUA ELISIO PEREIRA DE SOUZA, 19</t>
  </si>
  <si>
    <t>-11.137519</t>
  </si>
  <si>
    <t>-42.112564</t>
  </si>
  <si>
    <t>(740) 09968-4883</t>
  </si>
  <si>
    <t>0208-0092</t>
  </si>
  <si>
    <t>DANIELA PEREIRA FRANKLIN</t>
  </si>
  <si>
    <t>MERCADINHO FRANKLIN</t>
  </si>
  <si>
    <t>RUA FRANCISCO FERREIRA DOS SANTOS, 340</t>
  </si>
  <si>
    <t>-11.133999</t>
  </si>
  <si>
    <t>-42.113052</t>
  </si>
  <si>
    <t>(740) 09940-5640</t>
  </si>
  <si>
    <t>0208-0107</t>
  </si>
  <si>
    <t>EDILEUZA NUNES CUNHA</t>
  </si>
  <si>
    <t>RESTAURANTE VITORI01</t>
  </si>
  <si>
    <t>RUA ESTRADA VELHA DO ROCHEDO</t>
  </si>
  <si>
    <t>-11.133375</t>
  </si>
  <si>
    <t>-42.095505</t>
  </si>
  <si>
    <t>(074) 99859-1506</t>
  </si>
  <si>
    <t>0208-0134</t>
  </si>
  <si>
    <t>HAMILTON DE CARVALHO</t>
  </si>
  <si>
    <t>COMERCIAL MARTINS 02</t>
  </si>
  <si>
    <t>PRC CENTRAL, 178</t>
  </si>
  <si>
    <t>-11.138877</t>
  </si>
  <si>
    <t>-42.111850</t>
  </si>
  <si>
    <t>0208-0139</t>
  </si>
  <si>
    <t>SALETE SANTOS DE ALCANTARA</t>
  </si>
  <si>
    <t>CHURRASCARIA SAZE</t>
  </si>
  <si>
    <t>POV QUEIMADA DE CENTRAL</t>
  </si>
  <si>
    <t>QUEIMADA</t>
  </si>
  <si>
    <t>-11.180355</t>
  </si>
  <si>
    <t>-42.019558</t>
  </si>
  <si>
    <t>(740) 99933-1302</t>
  </si>
  <si>
    <t>0208-0147</t>
  </si>
  <si>
    <t>JOEL CARDOSO DA CRUZ FILHO</t>
  </si>
  <si>
    <t>MERCADINHO UNIAO 02</t>
  </si>
  <si>
    <t>AV CENTRAL, 97</t>
  </si>
  <si>
    <t>-11.135776</t>
  </si>
  <si>
    <t>-42.111904</t>
  </si>
  <si>
    <t>(740) 99968-6302</t>
  </si>
  <si>
    <t>0208-0174</t>
  </si>
  <si>
    <t>ROBINSON DOS SANTOS SOUZA</t>
  </si>
  <si>
    <t>MERCADO SAO PEDRO 01</t>
  </si>
  <si>
    <t>PRC PRACA SANTO ANTONIO</t>
  </si>
  <si>
    <t>MUNDINHO</t>
  </si>
  <si>
    <t>-11.028780</t>
  </si>
  <si>
    <t>-42.178350</t>
  </si>
  <si>
    <t>(740) 09949-0870</t>
  </si>
  <si>
    <t>0208-0180</t>
  </si>
  <si>
    <t>JERONIMO DA SILVA XAVIER</t>
  </si>
  <si>
    <t>MERC DO JERONIMO</t>
  </si>
  <si>
    <t>TRV TRAV DOS AMARAL, 210</t>
  </si>
  <si>
    <t>-11.178336</t>
  </si>
  <si>
    <t>-42.022675</t>
  </si>
  <si>
    <t>(740) 99973-2959</t>
  </si>
  <si>
    <t>0208-0187</t>
  </si>
  <si>
    <t>BRUNNA BRITO FRANKLIN</t>
  </si>
  <si>
    <t>COMERCIAL FRANKLIN01</t>
  </si>
  <si>
    <t>PRC PRAC JOSE CASTRO DOURADO, 132</t>
  </si>
  <si>
    <t>-11.134196</t>
  </si>
  <si>
    <t>-42.110320</t>
  </si>
  <si>
    <t>(074) 99901-0094</t>
  </si>
  <si>
    <t>0208-0192</t>
  </si>
  <si>
    <t>VITORIA PEREIRA MENDES DA SILVA</t>
  </si>
  <si>
    <t>MERCADO MARCIANO</t>
  </si>
  <si>
    <t>RUA R SILVEIRA MARTINS, 1036</t>
  </si>
  <si>
    <t>LARGA DO MENDES</t>
  </si>
  <si>
    <t>-11.107501</t>
  </si>
  <si>
    <t>-42.027020</t>
  </si>
  <si>
    <t>(074) 99966-6609</t>
  </si>
  <si>
    <t>0208-0201</t>
  </si>
  <si>
    <t>IDAEL SILVA ROCHA</t>
  </si>
  <si>
    <t>KI BAGETE</t>
  </si>
  <si>
    <t>AV AV CENTRAL, 235</t>
  </si>
  <si>
    <t>-11.134989</t>
  </si>
  <si>
    <t>-42.111160</t>
  </si>
  <si>
    <t>(074) 99963-6844</t>
  </si>
  <si>
    <t>0208-0210</t>
  </si>
  <si>
    <t>JOANA AMELIA SILVA MACIEL</t>
  </si>
  <si>
    <t>MERCADO DUDA</t>
  </si>
  <si>
    <t>AV TANCREDO NEVES, 996</t>
  </si>
  <si>
    <t>-11.133581</t>
  </si>
  <si>
    <t>-42.099937</t>
  </si>
  <si>
    <t>0208-0219</t>
  </si>
  <si>
    <t>ANDRE SILAS RIBEIRO MACIEL</t>
  </si>
  <si>
    <t>MERCADO CANAA 01</t>
  </si>
  <si>
    <t>PRC DA MATRIZ, 6</t>
  </si>
  <si>
    <t>-11.136508</t>
  </si>
  <si>
    <t>-42.112610</t>
  </si>
  <si>
    <t>(074) 09968-5182</t>
  </si>
  <si>
    <t>0208-0228</t>
  </si>
  <si>
    <t>RENATO NAUDINGUE DA SILVA</t>
  </si>
  <si>
    <t>PIZZARIA GOSPEL 02</t>
  </si>
  <si>
    <t>AV AVENIDA ANTONIO CARLOS MAGALHAES, 121 / A</t>
  </si>
  <si>
    <t>-11.132498</t>
  </si>
  <si>
    <t>-42.110065</t>
  </si>
  <si>
    <t>(074) 99972-1705</t>
  </si>
  <si>
    <t>0208-0236</t>
  </si>
  <si>
    <t>MIRACI MACHADO DE CARVALHO</t>
  </si>
  <si>
    <t>MERCADINHO AVENIDA06</t>
  </si>
  <si>
    <t>AV AVENIDA CENTRALL, 81</t>
  </si>
  <si>
    <t>-11.136125</t>
  </si>
  <si>
    <t>-42.112070</t>
  </si>
  <si>
    <t>(074) 99981-0051</t>
  </si>
  <si>
    <t>0208-0237</t>
  </si>
  <si>
    <t>ELZA PIRES DE SOUZA</t>
  </si>
  <si>
    <t>LANCHONETE DA ELZA</t>
  </si>
  <si>
    <t>AV ANTONIO CARLOS MAGALHAES, 579</t>
  </si>
  <si>
    <t>-11.128441</t>
  </si>
  <si>
    <t>-42.110000</t>
  </si>
  <si>
    <t>(074) 99949-9160</t>
  </si>
  <si>
    <t>0208-0240</t>
  </si>
  <si>
    <t>SIDECLEI SOUZA CAMBUI</t>
  </si>
  <si>
    <t>ACARAJE DA VANESSA</t>
  </si>
  <si>
    <t>RUA RUA PROJETADA, 64</t>
  </si>
  <si>
    <t>-11.134108</t>
  </si>
  <si>
    <t>-42.109375</t>
  </si>
  <si>
    <t>(074) 99926-8563</t>
  </si>
  <si>
    <t>0208-0243</t>
  </si>
  <si>
    <t>ANA AMELIA ALENCAR MACIEL</t>
  </si>
  <si>
    <t>BRAVOS BURGUER</t>
  </si>
  <si>
    <t>RUA RUA MARIA MEDEIROS DA SILVA, 101</t>
  </si>
  <si>
    <t>-11.254030</t>
  </si>
  <si>
    <t>-40.947590</t>
  </si>
  <si>
    <t>(074) 98101-5328</t>
  </si>
  <si>
    <t>0208-0251</t>
  </si>
  <si>
    <t>DHYOGO PEREIRA DA SILVA</t>
  </si>
  <si>
    <t>MERCADO BATISTA   01</t>
  </si>
  <si>
    <t>RUA RUA CANDIDO P BRITO, 49</t>
  </si>
  <si>
    <t>-11.137074</t>
  </si>
  <si>
    <t>-42.113796</t>
  </si>
  <si>
    <t>(074) 99968-1175</t>
  </si>
  <si>
    <t>0208-0253</t>
  </si>
  <si>
    <t>G GAMA DE CARVALHO</t>
  </si>
  <si>
    <t>MER E DIST DE BEBIDA</t>
  </si>
  <si>
    <t>EST ESTRADA BA 052 NA ALTURA DO KM 370</t>
  </si>
  <si>
    <t>NOVA VISTA</t>
  </si>
  <si>
    <t>-11.201385</t>
  </si>
  <si>
    <t>-41.985996</t>
  </si>
  <si>
    <t>(074) 99978-2115</t>
  </si>
  <si>
    <t>0208-0255</t>
  </si>
  <si>
    <t>HAMILTON FERREIRA DE ASSUNCAO</t>
  </si>
  <si>
    <t>A MURALHA</t>
  </si>
  <si>
    <t>RUA RUA DA PAZ, 156</t>
  </si>
  <si>
    <t>-11.136037</t>
  </si>
  <si>
    <t>-42.109947</t>
  </si>
  <si>
    <t>(074) 99966-5538</t>
  </si>
  <si>
    <t>0208-0257</t>
  </si>
  <si>
    <t>KAROLAYNE KAIZA ALVES TEIXEIRA</t>
  </si>
  <si>
    <t>RESTAURANTE DA KAROL</t>
  </si>
  <si>
    <t>AV AVENIDA ACM, 190</t>
  </si>
  <si>
    <t>-11.132071</t>
  </si>
  <si>
    <t>-42.109673</t>
  </si>
  <si>
    <t>(074) 99956-9638</t>
  </si>
  <si>
    <t>0208-0258</t>
  </si>
  <si>
    <t>NAARA VIEIRA LANDINO</t>
  </si>
  <si>
    <t>MERCADO ECONOMICO 02</t>
  </si>
  <si>
    <t>RUA RUA LIDIA F SANTOSS, 64</t>
  </si>
  <si>
    <t>-11.138387</t>
  </si>
  <si>
    <t>-42.112827</t>
  </si>
  <si>
    <t>(011) 93030-0207</t>
  </si>
  <si>
    <t>0208-0259</t>
  </si>
  <si>
    <t>ANA ARLETE PEREIRA DOS SANTOS</t>
  </si>
  <si>
    <t>QUIOSQUE ENVEREDAD01</t>
  </si>
  <si>
    <t>POV POVOADO DE ENVEREDADO, 71</t>
  </si>
  <si>
    <t>ROCADINHO/ENVEREDADO</t>
  </si>
  <si>
    <t>-11.157308</t>
  </si>
  <si>
    <t>-42.054520</t>
  </si>
  <si>
    <t>(074) 99945-1019</t>
  </si>
  <si>
    <t>0208-0261</t>
  </si>
  <si>
    <t>GILMARIO JUNIOR CARVALHO DE FREITAS</t>
  </si>
  <si>
    <t>JM DISTRIBUIDORA  01</t>
  </si>
  <si>
    <t>RUA RUA VILA NOVA, 8</t>
  </si>
  <si>
    <t>LARGA DOS MENDES/CEN</t>
  </si>
  <si>
    <t>-11.107402</t>
  </si>
  <si>
    <t>-42.028270</t>
  </si>
  <si>
    <t>(074) 99942-9380</t>
  </si>
  <si>
    <t>0208-0263</t>
  </si>
  <si>
    <t>ARTUR GABRIEL GOMES SILVA</t>
  </si>
  <si>
    <t>PASTEL DO BOB 02  01</t>
  </si>
  <si>
    <t>PRC DP DOUTOR MARIO DOURADO SOB, 56</t>
  </si>
  <si>
    <t>-11.302983</t>
  </si>
  <si>
    <t>-41.855567</t>
  </si>
  <si>
    <t>(074) 99808-2406</t>
  </si>
  <si>
    <t>0208-0264</t>
  </si>
  <si>
    <t>ELENITA MARIA BARRETO</t>
  </si>
  <si>
    <t>MERCADO SERVE BEM 01</t>
  </si>
  <si>
    <t>AV AVENIDA CENTRAL, 165</t>
  </si>
  <si>
    <t>-11.134950</t>
  </si>
  <si>
    <t>-42.111423</t>
  </si>
  <si>
    <t>(074) 99974-5539</t>
  </si>
  <si>
    <t>0208-0265</t>
  </si>
  <si>
    <t>CARLITO FERREIRA FILHO</t>
  </si>
  <si>
    <t>ALTO GIRO</t>
  </si>
  <si>
    <t>PRC PRACA DO MERCADO 04, 4</t>
  </si>
  <si>
    <t>-11.138123</t>
  </si>
  <si>
    <t>-42.112630</t>
  </si>
  <si>
    <t>(074) 99959-7380</t>
  </si>
  <si>
    <t>0208-0267</t>
  </si>
  <si>
    <t>DILMA BATISTA DA CRUZ</t>
  </si>
  <si>
    <t>ARENA CENTRAL</t>
  </si>
  <si>
    <t>AV AVENIDA ACM, 35</t>
  </si>
  <si>
    <t>-11.124966</t>
  </si>
  <si>
    <t>-42.110207</t>
  </si>
  <si>
    <t>(074) 99919-8575</t>
  </si>
  <si>
    <t>0208-0269</t>
  </si>
  <si>
    <t>CLARICE PINHEIRO DE OLIVEIRA SILVA</t>
  </si>
  <si>
    <t>MERCADINHO SILVA  02</t>
  </si>
  <si>
    <t>RUA RUA LARGUINHA, 287</t>
  </si>
  <si>
    <t>LARGUINHA/CENTRAL</t>
  </si>
  <si>
    <t>-11.097925</t>
  </si>
  <si>
    <t>-42.149834</t>
  </si>
  <si>
    <t>(074) 99982-1869</t>
  </si>
  <si>
    <t>0208-0270</t>
  </si>
  <si>
    <t>MARIA DO CARMO ALVES DE SOUZA</t>
  </si>
  <si>
    <t>AQUI TEM</t>
  </si>
  <si>
    <t>AV AVENIDA ANTONIO CARLOS MAGALHAES, 1011</t>
  </si>
  <si>
    <t>-11.123765</t>
  </si>
  <si>
    <t>-42.111187</t>
  </si>
  <si>
    <t>(074) 99963-1885</t>
  </si>
  <si>
    <t>0208-0271</t>
  </si>
  <si>
    <t>FABIO DE ANDRADE SILVA</t>
  </si>
  <si>
    <t>BAR E DISTRIBUIDOR02</t>
  </si>
  <si>
    <t>AV AVENIDA CENTRAL 144, 144</t>
  </si>
  <si>
    <t>-11.135647</t>
  </si>
  <si>
    <t>-42.111584</t>
  </si>
  <si>
    <t>(074) 98134-7920</t>
  </si>
  <si>
    <t>0208-0272</t>
  </si>
  <si>
    <t>VANEIDE MOTA DA SILVA NOVAES</t>
  </si>
  <si>
    <t>MERCADO MANDACARU</t>
  </si>
  <si>
    <t>PRC PRACA FLAMENGO, 6</t>
  </si>
  <si>
    <t>MANDACARU / CENTRAL</t>
  </si>
  <si>
    <t>-11.190527</t>
  </si>
  <si>
    <t>-41.930565</t>
  </si>
  <si>
    <t>(074) 99965-6565</t>
  </si>
  <si>
    <t>0208-0273</t>
  </si>
  <si>
    <t>S DA SILVA MACIEL</t>
  </si>
  <si>
    <t>COMERCIAL CANAA</t>
  </si>
  <si>
    <t>AV AVENIDA CENTRAL, 176</t>
  </si>
  <si>
    <t>-11.135258</t>
  </si>
  <si>
    <t>-42.111350</t>
  </si>
  <si>
    <t>(074) 99949-9734</t>
  </si>
  <si>
    <t>0208-0274</t>
  </si>
  <si>
    <t>PATRICIA ROSA BISPO</t>
  </si>
  <si>
    <t>SERTAO DELICIAS</t>
  </si>
  <si>
    <t>AV AVENIDA ACM, 1234 / A</t>
  </si>
  <si>
    <t>-11.130130</t>
  </si>
  <si>
    <t>-42.109585</t>
  </si>
  <si>
    <t>(074) 99938-3799</t>
  </si>
  <si>
    <t>0208-0276</t>
  </si>
  <si>
    <t>MILANE TARRAO NUNES</t>
  </si>
  <si>
    <t>REST SABOR CASEIRO03</t>
  </si>
  <si>
    <t>RUA RUA DA PISTA, 438</t>
  </si>
  <si>
    <t>-11.194818</t>
  </si>
  <si>
    <t>-41.995610</t>
  </si>
  <si>
    <t>(074) 99812-9605</t>
  </si>
  <si>
    <t>0208-0279</t>
  </si>
  <si>
    <t>MARIA LUIZA DE SOUZA MACIEL</t>
  </si>
  <si>
    <t>MERCADO STA MARIA</t>
  </si>
  <si>
    <t>RUA CENTRAL, 316</t>
  </si>
  <si>
    <t>-11.133988</t>
  </si>
  <si>
    <t>-42.112810</t>
  </si>
  <si>
    <t>(074) 99946-2553</t>
  </si>
  <si>
    <t>0208-0280</t>
  </si>
  <si>
    <t>JANDERSON GAMA DE CARVALHO</t>
  </si>
  <si>
    <t>STOP BURGUER</t>
  </si>
  <si>
    <t>ROD RODOVIA BA 052 ALTURA DO KM 370</t>
  </si>
  <si>
    <t>-11.200994</t>
  </si>
  <si>
    <t>-41.986660</t>
  </si>
  <si>
    <t>(074) 99944-4947</t>
  </si>
  <si>
    <t>0208-0282</t>
  </si>
  <si>
    <t>WELTON TARRAO DE ALMEIDA</t>
  </si>
  <si>
    <t>SANDUBA ALTAS HORA01</t>
  </si>
  <si>
    <t>AV CENTRAL, 229</t>
  </si>
  <si>
    <t>-11.135350</t>
  </si>
  <si>
    <t>-42.111385</t>
  </si>
  <si>
    <t>(074) 99800-0083</t>
  </si>
  <si>
    <t>0208-0283</t>
  </si>
  <si>
    <t>JOSE ADALBERTO DE FREITAS JUNIO</t>
  </si>
  <si>
    <t>COMERCIAL FREITAS 01</t>
  </si>
  <si>
    <t>AV CENTRAL, 264</t>
  </si>
  <si>
    <t>-11.134830</t>
  </si>
  <si>
    <t>-42.110830</t>
  </si>
  <si>
    <t>(074) 99964-4990</t>
  </si>
  <si>
    <t>0208-0284</t>
  </si>
  <si>
    <t>NIVANLEI MACHADO DE ALMEIDA</t>
  </si>
  <si>
    <t>ADEGA CENTRAL</t>
  </si>
  <si>
    <t>AV AVENIDA CENTRAL, 244</t>
  </si>
  <si>
    <t>-11.134893</t>
  </si>
  <si>
    <t>-42.110943</t>
  </si>
  <si>
    <t>(074) 99909-0608</t>
  </si>
  <si>
    <t>0208-0285</t>
  </si>
  <si>
    <t>EDIVANIA MARTINS DA SILVA</t>
  </si>
  <si>
    <t>MERCADINHO UNIAO  01</t>
  </si>
  <si>
    <t>PRC PRACA 7 DE SETEMBRO, 431</t>
  </si>
  <si>
    <t>MORRO DO GREGORIO/CE</t>
  </si>
  <si>
    <t>-11.148258</t>
  </si>
  <si>
    <t>-41.985645</t>
  </si>
  <si>
    <t>(074) 99909-7258</t>
  </si>
  <si>
    <t>0208-0286</t>
  </si>
  <si>
    <t>JOANA AMELIA DE CARVALHO FREIRE</t>
  </si>
  <si>
    <t>BAR E MERCADO DA JOA</t>
  </si>
  <si>
    <t>RUA RUA CENTRAL, 9</t>
  </si>
  <si>
    <t>PAU D ARCO/CENTRAL</t>
  </si>
  <si>
    <t>-11.047488</t>
  </si>
  <si>
    <t>-42.145855</t>
  </si>
  <si>
    <t>(074) 99929-8082</t>
  </si>
  <si>
    <t>0208-0287</t>
  </si>
  <si>
    <t>GIVANILSON DOS PASSOS RODRIGUES</t>
  </si>
  <si>
    <t>COMEDORIA 128</t>
  </si>
  <si>
    <t>RUA RUA ANTONIO R DOURADO, 128</t>
  </si>
  <si>
    <t>-11.136280</t>
  </si>
  <si>
    <t>-42.105690</t>
  </si>
  <si>
    <t>(074) 99948-0603</t>
  </si>
  <si>
    <t>0208-0289</t>
  </si>
  <si>
    <t>ELSON RIBEIRO MACIEL</t>
  </si>
  <si>
    <t>MERCADO CENTRO 01 01</t>
  </si>
  <si>
    <t>AV AVENIDA ANTONIO C MAGALHAES, 1</t>
  </si>
  <si>
    <t>-11.133837</t>
  </si>
  <si>
    <t>(074) 99933-7262</t>
  </si>
  <si>
    <t>0208-0291</t>
  </si>
  <si>
    <t>LINDOMAR PEREIRA DE SOUZA</t>
  </si>
  <si>
    <t>PASTELARIA DA JANJA</t>
  </si>
  <si>
    <t>AV CENTRAL, 137</t>
  </si>
  <si>
    <t>-11.135619</t>
  </si>
  <si>
    <t>-42.111654</t>
  </si>
  <si>
    <t>(074) 99957-3039</t>
  </si>
  <si>
    <t>0208-0292</t>
  </si>
  <si>
    <t>DIOGO ALMEIDA MIRANDA</t>
  </si>
  <si>
    <t>PIZZARIA ITALIANA</t>
  </si>
  <si>
    <t>PRC DO COMERCIO, 126</t>
  </si>
  <si>
    <t>-11.137394</t>
  </si>
  <si>
    <t>-42.112001</t>
  </si>
  <si>
    <t>(074) 99979-7941</t>
  </si>
  <si>
    <t>0208-0293</t>
  </si>
  <si>
    <t>SUELI A JESUS LTDA</t>
  </si>
  <si>
    <t>PIZZARIA ITALIANA 01</t>
  </si>
  <si>
    <t>PRC DO COMERCIO, 120</t>
  </si>
  <si>
    <t>-11.137271</t>
  </si>
  <si>
    <t>-42.112241</t>
  </si>
  <si>
    <t>(074) 09979-7941</t>
  </si>
  <si>
    <t>0208-0295</t>
  </si>
  <si>
    <t>CHURRASCARIA SAZE LTDA</t>
  </si>
  <si>
    <t>CHURRASCARIA SAZE 01</t>
  </si>
  <si>
    <t>EST POVOADO QUEIMADAS, 624</t>
  </si>
  <si>
    <t>QUEIMADAS DE CENTRAL</t>
  </si>
  <si>
    <t>-11.180364</t>
  </si>
  <si>
    <t>-42.019550</t>
  </si>
  <si>
    <t>(074) 99933-1302</t>
  </si>
  <si>
    <t>0208-0296</t>
  </si>
  <si>
    <t>MARIZA MIRANDA BASTOS</t>
  </si>
  <si>
    <t>ARMAZEM LOJAM     01</t>
  </si>
  <si>
    <t>TRV III JOAO D CARNEIRO, 33</t>
  </si>
  <si>
    <t>-11.134269</t>
  </si>
  <si>
    <t>-42.103749</t>
  </si>
  <si>
    <t>(074) 99924-1663</t>
  </si>
  <si>
    <t>0208-0297</t>
  </si>
  <si>
    <t>NAIR GOMES CARDOSO</t>
  </si>
  <si>
    <t>PIZZARIA ALTAS HORAS</t>
  </si>
  <si>
    <t>RUA PROJETADA, 45</t>
  </si>
  <si>
    <t>-11.133498</t>
  </si>
  <si>
    <t>-42.109763</t>
  </si>
  <si>
    <t>(074) 99805-7119</t>
  </si>
  <si>
    <t>0209-0018</t>
  </si>
  <si>
    <t>DIONE PEREIRA LOPES</t>
  </si>
  <si>
    <t>LANCHONETE LOPES</t>
  </si>
  <si>
    <t>GENTIO DO OURO</t>
  </si>
  <si>
    <t>RUA ANTONIO MARIANO, 100</t>
  </si>
  <si>
    <t>-11.430083</t>
  </si>
  <si>
    <t>-42.505604</t>
  </si>
  <si>
    <t>(074) 99139-9541</t>
  </si>
  <si>
    <t>0209-0029</t>
  </si>
  <si>
    <t>JOSE BEZERRA DOS SANTOS</t>
  </si>
  <si>
    <t>HIPER PAO</t>
  </si>
  <si>
    <t>RUA DJALMA BESSA, 700</t>
  </si>
  <si>
    <t>-11.435068</t>
  </si>
  <si>
    <t>-42.507423</t>
  </si>
  <si>
    <t>(740) 09130-4783</t>
  </si>
  <si>
    <t>0209-0031</t>
  </si>
  <si>
    <t>JARI MOREIRA DIAS</t>
  </si>
  <si>
    <t>CANTINHO DO PASTEL</t>
  </si>
  <si>
    <t>RUA RUA EDMUNDO PEREIRA BASTOS, 139</t>
  </si>
  <si>
    <t>-11.428926</t>
  </si>
  <si>
    <t>-42.506645</t>
  </si>
  <si>
    <t>(074) 99141-6565</t>
  </si>
  <si>
    <t>0209-0037</t>
  </si>
  <si>
    <t>LAILA KATIA RODRIGUES GOMES</t>
  </si>
  <si>
    <t>MERCEARIA DA LAILA</t>
  </si>
  <si>
    <t>RUA R DUQUE DE CAXIAS</t>
  </si>
  <si>
    <t>SANTO INACIO</t>
  </si>
  <si>
    <t>-11.111986</t>
  </si>
  <si>
    <t>-42.721760</t>
  </si>
  <si>
    <t>(074) 99933-1817</t>
  </si>
  <si>
    <t>0209-0047</t>
  </si>
  <si>
    <t>ISA CAMPOS JUVENAL</t>
  </si>
  <si>
    <t>MERCADINHO DI TUDO</t>
  </si>
  <si>
    <t>RUA RUA ANTONIO MARIANO, 248</t>
  </si>
  <si>
    <t>-11.430761</t>
  </si>
  <si>
    <t>-42.506027</t>
  </si>
  <si>
    <t>(074) 99107-2179</t>
  </si>
  <si>
    <t>0209-0059</t>
  </si>
  <si>
    <t>IEDA CARVALHO DURAES</t>
  </si>
  <si>
    <t>ACOGUE CASA DO CHURR</t>
  </si>
  <si>
    <t>10R SANTO RUA JOAO MARIANO BENTO, 93</t>
  </si>
  <si>
    <t>SANTO AMARO</t>
  </si>
  <si>
    <t>-11.429500</t>
  </si>
  <si>
    <t>-42.504880</t>
  </si>
  <si>
    <t>(074) 99107-6880</t>
  </si>
  <si>
    <t>0209-0061</t>
  </si>
  <si>
    <t>DANIELA CARVALHO DE QUEIROZ LIMA</t>
  </si>
  <si>
    <t>MERCADO SAO JOAO 02</t>
  </si>
  <si>
    <t>RUA RUA OTACILIO SENA, 107</t>
  </si>
  <si>
    <t>ITAJUBAQUARA</t>
  </si>
  <si>
    <t>-11.400833</t>
  </si>
  <si>
    <t>-42.664722</t>
  </si>
  <si>
    <t>(074) 98139-9418</t>
  </si>
  <si>
    <t>0209-0063</t>
  </si>
  <si>
    <t>GUILHERME MACHADO SOUZA</t>
  </si>
  <si>
    <t>PICANHA PRIME</t>
  </si>
  <si>
    <t>RUA RUA JOAO MARIANO BENTO, 9999</t>
  </si>
  <si>
    <t>-11.429444</t>
  </si>
  <si>
    <t>-42.505280</t>
  </si>
  <si>
    <t>(087) 99816-5841</t>
  </si>
  <si>
    <t>0209-0064</t>
  </si>
  <si>
    <t>ISIS MODESTO DE OLIVEIRA</t>
  </si>
  <si>
    <t>DISTRIB BARRETO   01</t>
  </si>
  <si>
    <t>RUA RUA JOSE VICENTE SANTANA, 87</t>
  </si>
  <si>
    <t>-11.430762</t>
  </si>
  <si>
    <t>-42.508050</t>
  </si>
  <si>
    <t>(074) 99961-5805</t>
  </si>
  <si>
    <t>0209-0067</t>
  </si>
  <si>
    <t>DIOVALDO PAIVA VIEIRA</t>
  </si>
  <si>
    <t>MERCADO ARAUJO 2</t>
  </si>
  <si>
    <t>RUA RUA DJAUMA BESSA, 486</t>
  </si>
  <si>
    <t>-11.432404</t>
  </si>
  <si>
    <t>-42.506153</t>
  </si>
  <si>
    <t>(074) 99131-0011</t>
  </si>
  <si>
    <t>0209-0068</t>
  </si>
  <si>
    <t>SABRINA ARAUJO DURAES</t>
  </si>
  <si>
    <t>ADEGA SD</t>
  </si>
  <si>
    <t>RUA JOAO MARIANO BENTO, 29</t>
  </si>
  <si>
    <t>-11.429618</t>
  </si>
  <si>
    <t>-42.504800</t>
  </si>
  <si>
    <t>(074) 98107-6655</t>
  </si>
  <si>
    <t>0209-0069</t>
  </si>
  <si>
    <t>RAQUEL DE SOUZA CARVALHO</t>
  </si>
  <si>
    <t>MERC E DISTRI CARVAL</t>
  </si>
  <si>
    <t>POV PEDRA VERMELHA, 69</t>
  </si>
  <si>
    <t>POV PEDRA VERMELHA</t>
  </si>
  <si>
    <t>-11.045498</t>
  </si>
  <si>
    <t>-42.734942</t>
  </si>
  <si>
    <t>(074) 98139-7594</t>
  </si>
  <si>
    <t>0209-0070</t>
  </si>
  <si>
    <t>VANESSA SANTOS DE SOUZA</t>
  </si>
  <si>
    <t>BOTEQUIM SOUZA</t>
  </si>
  <si>
    <t>RUA FEBRONIO DE SOUZA, 520</t>
  </si>
  <si>
    <t>-11.431726</t>
  </si>
  <si>
    <t>-42.505406</t>
  </si>
  <si>
    <t>(074) 98144-6244</t>
  </si>
  <si>
    <t>0209-0071</t>
  </si>
  <si>
    <t>ROBERIO VITORIO DE OLIVEIRA</t>
  </si>
  <si>
    <t>MERCADO M M E</t>
  </si>
  <si>
    <t>RUA DA IGREJA, 168</t>
  </si>
  <si>
    <t>-11.401423</t>
  </si>
  <si>
    <t>-42.663974</t>
  </si>
  <si>
    <t>(074) 99805-2941</t>
  </si>
  <si>
    <t>0210-0006</t>
  </si>
  <si>
    <t>GERLANE MARQUES SOUZA</t>
  </si>
  <si>
    <t>J GOMES MERCADINHO</t>
  </si>
  <si>
    <t>RUA RUA SANTA MARIA, 171 / 02100006</t>
  </si>
  <si>
    <t>CANOAO</t>
  </si>
  <si>
    <t>-11.498484</t>
  </si>
  <si>
    <t>-42.007526</t>
  </si>
  <si>
    <t>(074) 98113-8840</t>
  </si>
  <si>
    <t>0210-0026</t>
  </si>
  <si>
    <t>LUIZ FELIX MACHADO</t>
  </si>
  <si>
    <t>COMERCIAL RIACHUELO</t>
  </si>
  <si>
    <t>RUA RJOSE ARLINDO, 25</t>
  </si>
  <si>
    <t>-11.547568</t>
  </si>
  <si>
    <t>-41.980070</t>
  </si>
  <si>
    <t>(740) 03652-1087</t>
  </si>
  <si>
    <t>0210-0032</t>
  </si>
  <si>
    <t>MARIA SELMA PINHEIRO DE OLIVEIRA ALMEIDA</t>
  </si>
  <si>
    <t>DISTRIBUIDORA ROCHED</t>
  </si>
  <si>
    <t>RUA RUA SAO MIGUEL, 9</t>
  </si>
  <si>
    <t>-11.546942</t>
  </si>
  <si>
    <t>-41.978817</t>
  </si>
  <si>
    <t>(074) 99978-5558</t>
  </si>
  <si>
    <t>0210-0043</t>
  </si>
  <si>
    <t>ROBERTO JOSE DE OLIVEIRA</t>
  </si>
  <si>
    <t>MERCADINHO ROBERTO</t>
  </si>
  <si>
    <t>AV LARANJEIRA AV, 40</t>
  </si>
  <si>
    <t>RIACHO</t>
  </si>
  <si>
    <t>-11.546425</t>
  </si>
  <si>
    <t>-41.983337</t>
  </si>
  <si>
    <t>(740) 98124-8364</t>
  </si>
  <si>
    <t>0210-0051</t>
  </si>
  <si>
    <t>MARIA ILVA DE LIMA DOURADO</t>
  </si>
  <si>
    <t>REST PONTO DO MOCO01</t>
  </si>
  <si>
    <t>RUA VISTA ALEGRE R, 167 / 02100051</t>
  </si>
  <si>
    <t>-11.546467</t>
  </si>
  <si>
    <t>-41.978880</t>
  </si>
  <si>
    <t>(740) 98107-2404</t>
  </si>
  <si>
    <t>0210-0053</t>
  </si>
  <si>
    <t>APARECIDO GALDINO PEDROZA</t>
  </si>
  <si>
    <t>MERCADINHO PEDROZA</t>
  </si>
  <si>
    <t>RUA DO GELO, 35</t>
  </si>
  <si>
    <t>-11.544363</t>
  </si>
  <si>
    <t>-41.971462</t>
  </si>
  <si>
    <t>(074) 99904-4475</t>
  </si>
  <si>
    <t>0210-0094</t>
  </si>
  <si>
    <t>OTONIEL BRITO DA SILVA</t>
  </si>
  <si>
    <t>MECADINHO SAO FRANCI</t>
  </si>
  <si>
    <t>RUA MCHL RUA SAO FRANCISCO</t>
  </si>
  <si>
    <t>-11.543418</t>
  </si>
  <si>
    <t>-41.981251</t>
  </si>
  <si>
    <t>(074) 98111-1763</t>
  </si>
  <si>
    <t>0210-0107</t>
  </si>
  <si>
    <t>COMERCIAL RADAR COMUSTIVEIS LTDA - ME</t>
  </si>
  <si>
    <t>POSTO ROCHEDO</t>
  </si>
  <si>
    <t>AV JOSE DE ANTERIO 59 A, 59 / 02100107</t>
  </si>
  <si>
    <t>-11.545005</t>
  </si>
  <si>
    <t>-41.979290</t>
  </si>
  <si>
    <t>(074) 03652-1549</t>
  </si>
  <si>
    <t>0210-0109</t>
  </si>
  <si>
    <t>ALTEMAR SEIXAS VILELA</t>
  </si>
  <si>
    <t>LANCHONETE E SORVET</t>
  </si>
  <si>
    <t>AV LARANJEIRA SN, 155</t>
  </si>
  <si>
    <t>-11.546413</t>
  </si>
  <si>
    <t>-41.983353</t>
  </si>
  <si>
    <t>(074) 99910-0817</t>
  </si>
  <si>
    <t>0210-0132</t>
  </si>
  <si>
    <t>JOSE RICARDO SILVA DOURADO</t>
  </si>
  <si>
    <t>MERC E PANIF BETEL</t>
  </si>
  <si>
    <t>RUA RUA MANOEL QUIRINO, 30</t>
  </si>
  <si>
    <t>-11.546383</t>
  </si>
  <si>
    <t>-41.977913</t>
  </si>
  <si>
    <t>(074) 99198-2829</t>
  </si>
  <si>
    <t>0210-0140</t>
  </si>
  <si>
    <t>EDIMILSON GALDINO DA SILVA</t>
  </si>
  <si>
    <t>MERCADINHO DO POVO01</t>
  </si>
  <si>
    <t>RUA R DO GELO, 12</t>
  </si>
  <si>
    <t>-11.545423</t>
  </si>
  <si>
    <t>-41.975510</t>
  </si>
  <si>
    <t>(074) 99140-3796</t>
  </si>
  <si>
    <t>0210-0141</t>
  </si>
  <si>
    <t>CLAUDIANA GOMES DINIZ</t>
  </si>
  <si>
    <t>BAR DA SOCORRO 01</t>
  </si>
  <si>
    <t>AV LARANJEIRA, 42</t>
  </si>
  <si>
    <t>-11.545690</t>
  </si>
  <si>
    <t>-41.985184</t>
  </si>
  <si>
    <t>(074) 09902-5728</t>
  </si>
  <si>
    <t>0210-0142</t>
  </si>
  <si>
    <t>FABIO GOMES DOS SANTOS</t>
  </si>
  <si>
    <t>MERCADO SANTOS 05</t>
  </si>
  <si>
    <t>PRC PRAC DO COMERCIO, 50</t>
  </si>
  <si>
    <t>-11.492283</t>
  </si>
  <si>
    <t>-42.009182</t>
  </si>
  <si>
    <t>(074) 99948-0864</t>
  </si>
  <si>
    <t>0210-0150</t>
  </si>
  <si>
    <t>ARY GOMES FERREIRA</t>
  </si>
  <si>
    <t>COMERCIAL 3 IRMAOS01</t>
  </si>
  <si>
    <t>RUA RUA DO RIACHO, 1258</t>
  </si>
  <si>
    <t>-11.547718</t>
  </si>
  <si>
    <t>-41.982050</t>
  </si>
  <si>
    <t>(074) 99920-5054</t>
  </si>
  <si>
    <t>0210-0153</t>
  </si>
  <si>
    <t>NATANAEL RICARDO DOS SANTOS COSTA</t>
  </si>
  <si>
    <t>COMERCIAL NATAN</t>
  </si>
  <si>
    <t>RUA RUA DO GELO, 88</t>
  </si>
  <si>
    <t>-11.542950</t>
  </si>
  <si>
    <t>-41.981491</t>
  </si>
  <si>
    <t>(074) 99901-9826</t>
  </si>
  <si>
    <t>0210-0164</t>
  </si>
  <si>
    <t>ELISAMA ROCHA RAMOS</t>
  </si>
  <si>
    <t>MERCADINHO MANA</t>
  </si>
  <si>
    <t>RUA R LUIZ VIANA FILHO, 56</t>
  </si>
  <si>
    <t>-11.547593</t>
  </si>
  <si>
    <t>-41.978350</t>
  </si>
  <si>
    <t>(074) 99139-7994</t>
  </si>
  <si>
    <t>0210-0165</t>
  </si>
  <si>
    <t>RAFAEL ZIDANE OLIVEIRA</t>
  </si>
  <si>
    <t>DISTRIBUIDORA ZIDANE</t>
  </si>
  <si>
    <t>RUA RUA VIVALDO DA SILVA DOURADO, 11</t>
  </si>
  <si>
    <t>-11.543719</t>
  </si>
  <si>
    <t>-41.978146</t>
  </si>
  <si>
    <t>(074) 99907-1472</t>
  </si>
  <si>
    <t>0210-0168</t>
  </si>
  <si>
    <t>HERICA SEIXAS DOURADO</t>
  </si>
  <si>
    <t>SUPERM BOM PRECO</t>
  </si>
  <si>
    <t>AV AV JOSE ANTERRO DA ROCHA, 370</t>
  </si>
  <si>
    <t>-11.547050</t>
  </si>
  <si>
    <t>-41.979088</t>
  </si>
  <si>
    <t>(074) 99989-6952</t>
  </si>
  <si>
    <t>0210-0172</t>
  </si>
  <si>
    <t>FELIPE CARDOSO VIANA DOURADO</t>
  </si>
  <si>
    <t>SUPERMERCADO MAIS BA</t>
  </si>
  <si>
    <t>PRC PRACA URBANO MACEDO, 51</t>
  </si>
  <si>
    <t>-11.546806</t>
  </si>
  <si>
    <t>-41.976570</t>
  </si>
  <si>
    <t>(074) 99952-3080</t>
  </si>
  <si>
    <t>0210-0182</t>
  </si>
  <si>
    <t>GENI PAIVA BASTOS</t>
  </si>
  <si>
    <t>BAR DA GENI</t>
  </si>
  <si>
    <t>RUA VIEIRA MATOS, 2</t>
  </si>
  <si>
    <t>-11.547004</t>
  </si>
  <si>
    <t>-41.979340</t>
  </si>
  <si>
    <t>(074) 99110-7291</t>
  </si>
  <si>
    <t>0210-0193</t>
  </si>
  <si>
    <t>RANEI VILELA DOURADO</t>
  </si>
  <si>
    <t>DESTAKE LANCHONETE</t>
  </si>
  <si>
    <t>RUA RUA DO COMERCIO, 63</t>
  </si>
  <si>
    <t>-11.546536</t>
  </si>
  <si>
    <t>-41.977220</t>
  </si>
  <si>
    <t>(074) 99901-8260</t>
  </si>
  <si>
    <t>0210-0210</t>
  </si>
  <si>
    <t>BEATRIZ ANDRADE DOS SANTOS</t>
  </si>
  <si>
    <t>MERC E ACOUG ANDRADE</t>
  </si>
  <si>
    <t>RUA RUA 2 DE JULHO, 208</t>
  </si>
  <si>
    <t>-11.547378</t>
  </si>
  <si>
    <t>-41.976400</t>
  </si>
  <si>
    <t>(074) 99941-6930</t>
  </si>
  <si>
    <t>0210-0211</t>
  </si>
  <si>
    <t>EWERSSON GOMES CARVALHO</t>
  </si>
  <si>
    <t>PARAGUAI MATERIAL DE</t>
  </si>
  <si>
    <t>RUA RUA CANOAO 113, 113</t>
  </si>
  <si>
    <t>-11.542348</t>
  </si>
  <si>
    <t>-41.980434</t>
  </si>
  <si>
    <t>(074) 99954-0410</t>
  </si>
  <si>
    <t>0210-0212</t>
  </si>
  <si>
    <t>DANIEL RODRIGUES DOS SANTOS</t>
  </si>
  <si>
    <t>BAR MERC DO VAQUEIRO</t>
  </si>
  <si>
    <t>RUA RUA SAO LUIZ</t>
  </si>
  <si>
    <t>-11.499064</t>
  </si>
  <si>
    <t>-42.007256</t>
  </si>
  <si>
    <t>(074) 98126-1454</t>
  </si>
  <si>
    <t>0210-0215</t>
  </si>
  <si>
    <t>LUCAS GOMES NEVES</t>
  </si>
  <si>
    <t>RESTAURANTE PONTO 01</t>
  </si>
  <si>
    <t>RUA RUA VISTA ALEGRE, 9</t>
  </si>
  <si>
    <t>-11.546411</t>
  </si>
  <si>
    <t>-41.978973</t>
  </si>
  <si>
    <t>(074) 98107-2404</t>
  </si>
  <si>
    <t>0210-0218</t>
  </si>
  <si>
    <t>ROSALVO PEREIRA DE ALMEIDA</t>
  </si>
  <si>
    <t>NENECA</t>
  </si>
  <si>
    <t>RUA RUA NOVA BRASILIA, 22</t>
  </si>
  <si>
    <t>-41.978920</t>
  </si>
  <si>
    <t>0210-0222</t>
  </si>
  <si>
    <t>CAROLINA NOVAES DE OLIVEIRA RODRIGUES</t>
  </si>
  <si>
    <t>COMERCIAL BOAS COMPR</t>
  </si>
  <si>
    <t>RUA RUA 2 DE JULHO, 101</t>
  </si>
  <si>
    <t>-11.547281</t>
  </si>
  <si>
    <t>-41.977690</t>
  </si>
  <si>
    <t>0210-0223</t>
  </si>
  <si>
    <t>GEOVANI JOAO DE OLIVEIRA</t>
  </si>
  <si>
    <t>MERCADINHO X</t>
  </si>
  <si>
    <t>RUA RUA A LOTEAMENTO IBITITAZINHO, 66</t>
  </si>
  <si>
    <t>IBITITAZINHO</t>
  </si>
  <si>
    <t>-11.534328</t>
  </si>
  <si>
    <t>-41.977380</t>
  </si>
  <si>
    <t>(074) 99915-7801</t>
  </si>
  <si>
    <t>0210-0224</t>
  </si>
  <si>
    <t>DANIEL ELOI DOURADO BARROSO</t>
  </si>
  <si>
    <t>MERCADO ROCHEDO   01</t>
  </si>
  <si>
    <t>RUA 13 DE MAIO, 204</t>
  </si>
  <si>
    <t>-11.546485</t>
  </si>
  <si>
    <t>-41.973324</t>
  </si>
  <si>
    <t>(074) 98135-4504</t>
  </si>
  <si>
    <t>0210-0225</t>
  </si>
  <si>
    <t>MIZA CRISTINA M DOURADO</t>
  </si>
  <si>
    <t>PIZZARIA P ALICE</t>
  </si>
  <si>
    <t>RUA 2 DE JULHO, 73</t>
  </si>
  <si>
    <t>-11.547265</t>
  </si>
  <si>
    <t>-41.976180</t>
  </si>
  <si>
    <t>(074) 99959-3076</t>
  </si>
  <si>
    <t>0210-0226</t>
  </si>
  <si>
    <t>ANA IZABEL SILVA RAMOS</t>
  </si>
  <si>
    <t>MERCADO BEL</t>
  </si>
  <si>
    <t>RUA CASTRO ALVES, 66</t>
  </si>
  <si>
    <t>-11.492610</t>
  </si>
  <si>
    <t>-42.009705</t>
  </si>
  <si>
    <t>(074) 98143-8248</t>
  </si>
  <si>
    <t>0210-0228</t>
  </si>
  <si>
    <t>GUILHERME BASTOS NOBREGA DOURADO</t>
  </si>
  <si>
    <t>DONNA ABELHA ACAITER</t>
  </si>
  <si>
    <t>RUA DO COMERCIO, 61</t>
  </si>
  <si>
    <t>-11.546591</t>
  </si>
  <si>
    <t>-41.977215</t>
  </si>
  <si>
    <t>(074) 09819-9135</t>
  </si>
  <si>
    <t>0210-0229</t>
  </si>
  <si>
    <t>GILSON MENDES</t>
  </si>
  <si>
    <t>GREGO MASTER</t>
  </si>
  <si>
    <t>RUA DO COMERCIO, 27</t>
  </si>
  <si>
    <t>-11.546639</t>
  </si>
  <si>
    <t>-41.977273</t>
  </si>
  <si>
    <t>(074) 98104-8343</t>
  </si>
  <si>
    <t>0210-0230</t>
  </si>
  <si>
    <t>MERCADINHO VILELA LTDA</t>
  </si>
  <si>
    <t>MERCADINHO VILELA 02</t>
  </si>
  <si>
    <t>PRC PRACA DO COMERCIO A, 36</t>
  </si>
  <si>
    <t>-11.546875</t>
  </si>
  <si>
    <t>-41.976973</t>
  </si>
  <si>
    <t>(074) 99100-2731</t>
  </si>
  <si>
    <t>0210-0231</t>
  </si>
  <si>
    <t>JOSEFA GRACILENE DE SOUZA</t>
  </si>
  <si>
    <t>MERCADINHO GABRIEL03</t>
  </si>
  <si>
    <t>RUA DO GELO, 54623</t>
  </si>
  <si>
    <t>-11.546878</t>
  </si>
  <si>
    <t>-41.972079</t>
  </si>
  <si>
    <t>(074) 99949-9007</t>
  </si>
  <si>
    <t>0210-0232</t>
  </si>
  <si>
    <t>QUELY JANE RODRIGUES DA CUNHA</t>
  </si>
  <si>
    <t>MERCA NASCER DO SOL</t>
  </si>
  <si>
    <t>RUA DO GELO, 96532</t>
  </si>
  <si>
    <t>-11.545075</t>
  </si>
  <si>
    <t>-41.972152</t>
  </si>
  <si>
    <t>(074) 99934-9525</t>
  </si>
  <si>
    <t>0210-0233</t>
  </si>
  <si>
    <t>CARLOS DANIEL MARQUES DOURADO GOMES</t>
  </si>
  <si>
    <t>LAISA PIZZARIA</t>
  </si>
  <si>
    <t>RUA ABILIO MARQUES DOURADO, 27</t>
  </si>
  <si>
    <t>-11.548577</t>
  </si>
  <si>
    <t>-41.975932</t>
  </si>
  <si>
    <t>(074) 98111-6377</t>
  </si>
  <si>
    <t>0210-0235</t>
  </si>
  <si>
    <t>ELIZANGELA DA SILVA RAMOS LOPES</t>
  </si>
  <si>
    <t>ACOUGUE RAMOS</t>
  </si>
  <si>
    <t>RUA VIEIRA MATOS, 43</t>
  </si>
  <si>
    <t>-11.546921</t>
  </si>
  <si>
    <t>-41.979687</t>
  </si>
  <si>
    <t>(074) 99810-4219</t>
  </si>
  <si>
    <t>0210-0239</t>
  </si>
  <si>
    <t>BRUNO SOUZA ALECRIM</t>
  </si>
  <si>
    <t>PASTELARIA ALECRING</t>
  </si>
  <si>
    <t>RUA LARANJEIRA, 395</t>
  </si>
  <si>
    <t>-11.545730</t>
  </si>
  <si>
    <t>-41.985398</t>
  </si>
  <si>
    <t>(074) 99965-9983</t>
  </si>
  <si>
    <t>0210-0240</t>
  </si>
  <si>
    <t>JOSE PAULO SEIXAS PIMENTA</t>
  </si>
  <si>
    <t>RESTAURANTE PEPPER</t>
  </si>
  <si>
    <t>ROD RO BA, 4331</t>
  </si>
  <si>
    <t>RURAL IBITITA</t>
  </si>
  <si>
    <t>-11.547734</t>
  </si>
  <si>
    <t>-41.978765</t>
  </si>
  <si>
    <t>(011) 96250-4478</t>
  </si>
  <si>
    <t>0210-0241</t>
  </si>
  <si>
    <t>FRANCISCO CIPRIANO PEREIRA</t>
  </si>
  <si>
    <t>FAFAN M P DISTRIBUID</t>
  </si>
  <si>
    <t>AV LARANJEIRAS</t>
  </si>
  <si>
    <t>RIACHO IBITITA</t>
  </si>
  <si>
    <t>-11.545435</t>
  </si>
  <si>
    <t>-41.985706</t>
  </si>
  <si>
    <t>(074) 99985-9332</t>
  </si>
  <si>
    <t>0210-0243</t>
  </si>
  <si>
    <t>RESTAURANTE E PETISCARIA RECAN CASEIRO L</t>
  </si>
  <si>
    <t>RESTAURANTE RECAN CA</t>
  </si>
  <si>
    <t>FAZ FAZENDA NOVA JERUSALEM</t>
  </si>
  <si>
    <t>AREA RURAL DE IRECE</t>
  </si>
  <si>
    <t>-11.346562</t>
  </si>
  <si>
    <t>-41.892449</t>
  </si>
  <si>
    <t>(074) 99952-4800</t>
  </si>
  <si>
    <t>0210-0245</t>
  </si>
  <si>
    <t>LEANDRO DA SILVA VENANCIO</t>
  </si>
  <si>
    <t>DISTRIBUI CASA DAS B</t>
  </si>
  <si>
    <t>AV ZENAIDA MARQUES DOURADO, 85210</t>
  </si>
  <si>
    <t>-11.542033</t>
  </si>
  <si>
    <t>-41.981133</t>
  </si>
  <si>
    <t>(074) 99959-5511</t>
  </si>
  <si>
    <t>0210-0246</t>
  </si>
  <si>
    <t>LAYZA CARDOSO DOURADO MATOS</t>
  </si>
  <si>
    <t>CASA DE CARNES TEM T</t>
  </si>
  <si>
    <t>RUA 02 DE JULHO, 45</t>
  </si>
  <si>
    <t>-11.547018</t>
  </si>
  <si>
    <t>-41.978681</t>
  </si>
  <si>
    <t>(074) 99940-7308</t>
  </si>
  <si>
    <t>0210-0247</t>
  </si>
  <si>
    <t>MERCADINHO E PANF BE</t>
  </si>
  <si>
    <t>RUA MANOEL QUIRINO DE MATOS, 30</t>
  </si>
  <si>
    <t>-11.546480</t>
  </si>
  <si>
    <t>-41.977854</t>
  </si>
  <si>
    <t>0211-0006</t>
  </si>
  <si>
    <t>LUCIANO FERREIRA NUNES</t>
  </si>
  <si>
    <t>MERCADINHO NUNES</t>
  </si>
  <si>
    <t>RUA DEOCLECIANO OLIVEIRA FEL</t>
  </si>
  <si>
    <t>CENTRO IRAQUARA</t>
  </si>
  <si>
    <t>-12.247628</t>
  </si>
  <si>
    <t>-41.619442</t>
  </si>
  <si>
    <t>(750) 03364-2240</t>
  </si>
  <si>
    <t>0211-0008</t>
  </si>
  <si>
    <t>LEONICE DE SOUZA CARVALHO</t>
  </si>
  <si>
    <t>MERCADO POPULAR 2</t>
  </si>
  <si>
    <t>RUA JOSE ALVES DE ALMEIDA R</t>
  </si>
  <si>
    <t>CENTRO-IRAQUA</t>
  </si>
  <si>
    <t>-12.245012</t>
  </si>
  <si>
    <t>-41.618416</t>
  </si>
  <si>
    <t>(075) 99869-9113</t>
  </si>
  <si>
    <t>0211-0010</t>
  </si>
  <si>
    <t>ELIZABETE DE SOUSA ALVES</t>
  </si>
  <si>
    <t>MERCADINHO ZE LEBETA</t>
  </si>
  <si>
    <t>PRC MANUEL TEIXEIRA, 13</t>
  </si>
  <si>
    <t>-12.247543</t>
  </si>
  <si>
    <t>-41.617830</t>
  </si>
  <si>
    <t>(750) 03364-2151</t>
  </si>
  <si>
    <t>0211-0011</t>
  </si>
  <si>
    <t>MARIA DOS ANJOS FERNANDES NOVA</t>
  </si>
  <si>
    <t>MERCADINHO NOVAIS</t>
  </si>
  <si>
    <t>RUA RUA PARNAIBA, 77</t>
  </si>
  <si>
    <t>-12.247537</t>
  </si>
  <si>
    <t>-41.617523</t>
  </si>
  <si>
    <t>(750) 03364-2108</t>
  </si>
  <si>
    <t>0211-0015</t>
  </si>
  <si>
    <t>DIDACIA ALVES COSTA</t>
  </si>
  <si>
    <t>MERCADINHO NOGUEIRA</t>
  </si>
  <si>
    <t>RUA RUA TITO LUNA FREIRE, 14</t>
  </si>
  <si>
    <t>-12.245967</t>
  </si>
  <si>
    <t>-41.617413</t>
  </si>
  <si>
    <t>(075) 03364-2592</t>
  </si>
  <si>
    <t>0211-0019</t>
  </si>
  <si>
    <t>ELIVAN FERNANDES LOPS</t>
  </si>
  <si>
    <t>MERCADO PRAKASA</t>
  </si>
  <si>
    <t>RUA PRC PERICLES GAMA</t>
  </si>
  <si>
    <t>-12.247005</t>
  </si>
  <si>
    <t>-41.617134</t>
  </si>
  <si>
    <t>(075) 99936-8506</t>
  </si>
  <si>
    <t>0211-0020</t>
  </si>
  <si>
    <t>GILMAR DE JESUS</t>
  </si>
  <si>
    <t>BAR MIMI</t>
  </si>
  <si>
    <t>RUA ROD BA 122 KM 27</t>
  </si>
  <si>
    <t>-12.242376</t>
  </si>
  <si>
    <t>-41.616898</t>
  </si>
  <si>
    <t>(075) 99811-2487</t>
  </si>
  <si>
    <t>0211-0023</t>
  </si>
  <si>
    <t>RAIMUNDO ARAUJO RIOS</t>
  </si>
  <si>
    <t>PADARIA E LANC CENTR</t>
  </si>
  <si>
    <t>RUA SAO SEBASTIAO, 999</t>
  </si>
  <si>
    <t>-11.965601</t>
  </si>
  <si>
    <t>-41.642220</t>
  </si>
  <si>
    <t>(750) 03364-2383</t>
  </si>
  <si>
    <t>0211-0025</t>
  </si>
  <si>
    <t>VAGNER FERNANDES NUNES</t>
  </si>
  <si>
    <t>BAR E LANCHONET KEN0</t>
  </si>
  <si>
    <t>RUA RUA SILVA ALMEIDA, 3</t>
  </si>
  <si>
    <t>-12.246778</t>
  </si>
  <si>
    <t>-41.616703</t>
  </si>
  <si>
    <t>(750) 03364-2235</t>
  </si>
  <si>
    <t>0211-0033</t>
  </si>
  <si>
    <t>SANDRO RODRIGUES ALVES</t>
  </si>
  <si>
    <t>PADARIA PRINCESA DA</t>
  </si>
  <si>
    <t>RUA SIMPLICIANO LIMA RUA, 58</t>
  </si>
  <si>
    <t>CENTRO IRAQUA</t>
  </si>
  <si>
    <t>-12.247182</t>
  </si>
  <si>
    <t>-41.617245</t>
  </si>
  <si>
    <t>(750) 03364-2470</t>
  </si>
  <si>
    <t>0211-0036</t>
  </si>
  <si>
    <t>SHIRLEY DOS REIS</t>
  </si>
  <si>
    <t>LANCH PARADA CERTA</t>
  </si>
  <si>
    <t>RUA PAU BRASIL R, 9976</t>
  </si>
  <si>
    <t>-12.247048</t>
  </si>
  <si>
    <t>-41.617080</t>
  </si>
  <si>
    <t>(075) 99866-2465</t>
  </si>
  <si>
    <t>0211-0038</t>
  </si>
  <si>
    <t>EDGAR MIRANDA SOUZA</t>
  </si>
  <si>
    <t>RESTAURANTE MIRANDA</t>
  </si>
  <si>
    <t>ROD BA 122 KM ROD BIO DISEL, 5</t>
  </si>
  <si>
    <t>-12.198665</t>
  </si>
  <si>
    <t>-41.615280</t>
  </si>
  <si>
    <t>(075) 09938-9779</t>
  </si>
  <si>
    <t>0211-0039</t>
  </si>
  <si>
    <t>ROBERTO TADEU PEREIRA DE AMARA</t>
  </si>
  <si>
    <t>MERCADINHO AMARAL</t>
  </si>
  <si>
    <t>RUA GEOVANE VIEIRA R, 2</t>
  </si>
  <si>
    <t>-12.246013</t>
  </si>
  <si>
    <t>-41.620636</t>
  </si>
  <si>
    <t>(750) 09942-0489</t>
  </si>
  <si>
    <t>0211-0042</t>
  </si>
  <si>
    <t>MANOEL MESSIAS OLIVEIRA MENDES</t>
  </si>
  <si>
    <t>MERCADO POPULAR</t>
  </si>
  <si>
    <t>RUA RUA POVOADO SANTA RITA</t>
  </si>
  <si>
    <t>SANTA RITA</t>
  </si>
  <si>
    <t>-12.346612</t>
  </si>
  <si>
    <t>-41.585506</t>
  </si>
  <si>
    <t>0211-0050</t>
  </si>
  <si>
    <t>CLAUDIA REJANE LOPES DE SOUZA</t>
  </si>
  <si>
    <t>MERCADINHO ANDRADE01</t>
  </si>
  <si>
    <t>RUA RODOVIA BA 122</t>
  </si>
  <si>
    <t>-12.243995</t>
  </si>
  <si>
    <t>-41.615356</t>
  </si>
  <si>
    <t>(750) 09812-8102</t>
  </si>
  <si>
    <t>0211-0063</t>
  </si>
  <si>
    <t>JAIRO GONCALVES PIRES</t>
  </si>
  <si>
    <t>COMERCIAL MORUMBI</t>
  </si>
  <si>
    <t>RUA RUA TIBURTINO S N</t>
  </si>
  <si>
    <t>MORUMBI</t>
  </si>
  <si>
    <t>-12.238416</t>
  </si>
  <si>
    <t>-41.618324</t>
  </si>
  <si>
    <t>(075) 09811-2393</t>
  </si>
  <si>
    <t>0211-0066</t>
  </si>
  <si>
    <t>DEUSDETE PEREIRA NUNES</t>
  </si>
  <si>
    <t>DIST POV SANTA RITA</t>
  </si>
  <si>
    <t>RUA POV SANTA RITA</t>
  </si>
  <si>
    <t>POV SANTA RITA</t>
  </si>
  <si>
    <t>-12.346108</t>
  </si>
  <si>
    <t>-41.585870</t>
  </si>
  <si>
    <t>(500) 03365-5012</t>
  </si>
  <si>
    <t>0211-0072</t>
  </si>
  <si>
    <t>ELCIO NERY DA ROCHA</t>
  </si>
  <si>
    <t>BAR NATIVO</t>
  </si>
  <si>
    <t>RUA RUA DA QUADRA, 8</t>
  </si>
  <si>
    <t>-12.346571</t>
  </si>
  <si>
    <t>-41.584720</t>
  </si>
  <si>
    <t>(075) 99950-7404</t>
  </si>
  <si>
    <t>0211-0087</t>
  </si>
  <si>
    <t>RAIMUNDO MARCELINO DOS ANJOS</t>
  </si>
  <si>
    <t>MERC ZABELE</t>
  </si>
  <si>
    <t>RUA POV ZABELE</t>
  </si>
  <si>
    <t>POV ZABELE</t>
  </si>
  <si>
    <t>-12.342977</t>
  </si>
  <si>
    <t>-41.661520</t>
  </si>
  <si>
    <t>(075) 99829-7964</t>
  </si>
  <si>
    <t>0211-0119</t>
  </si>
  <si>
    <t>JOAQUIM LOPES MARINHO FILHO</t>
  </si>
  <si>
    <t>CHURRASCARIA MARINHA</t>
  </si>
  <si>
    <t>RUA SILVIO ALMEIDA, 9976</t>
  </si>
  <si>
    <t>-12.243627</t>
  </si>
  <si>
    <t>-41.615910</t>
  </si>
  <si>
    <t>(075) 09916-5511</t>
  </si>
  <si>
    <t>0211-0125</t>
  </si>
  <si>
    <t>MARLUCI DE SOUZA CARVALHO</t>
  </si>
  <si>
    <t>SABRINA BAR</t>
  </si>
  <si>
    <t>RUA MANOEL FELIX, 190</t>
  </si>
  <si>
    <t>-12.248921</t>
  </si>
  <si>
    <t>-41.619953</t>
  </si>
  <si>
    <t>0211-0130</t>
  </si>
  <si>
    <t>SOCRATES SOARES DA SILVA</t>
  </si>
  <si>
    <t>PIZZA BELA NAPOLLY</t>
  </si>
  <si>
    <t>RUA JOSE ALVES DE ALMEIDA, 96</t>
  </si>
  <si>
    <t>-12.244911</t>
  </si>
  <si>
    <t>-41.618443</t>
  </si>
  <si>
    <t>(075) 99939-4150</t>
  </si>
  <si>
    <t>0211-0132</t>
  </si>
  <si>
    <t>MARILURDES CONCEICAO RIBEIRO</t>
  </si>
  <si>
    <t>MERC BOCA DA MATA</t>
  </si>
  <si>
    <t>PRC BOCA DA MATA</t>
  </si>
  <si>
    <t>POV BOCA DA MATA</t>
  </si>
  <si>
    <t>-12.320375</t>
  </si>
  <si>
    <t>-41.682835</t>
  </si>
  <si>
    <t>(075) 99800-0690</t>
  </si>
  <si>
    <t>0211-0134</t>
  </si>
  <si>
    <t>MANOEL MESSIAS JESUS SANTOS</t>
  </si>
  <si>
    <t>MERC E ACUGUE SANTOS</t>
  </si>
  <si>
    <t>RUA HORMINDA, 9986</t>
  </si>
  <si>
    <t>CEASA /IRAQUARA</t>
  </si>
  <si>
    <t>-12.236820</t>
  </si>
  <si>
    <t>-41.617466</t>
  </si>
  <si>
    <t>9813-2251</t>
  </si>
  <si>
    <t>0211-0145</t>
  </si>
  <si>
    <t>CLAUDIO FRANCISCO DE OLIVEIRA</t>
  </si>
  <si>
    <t>MERCADO OLIVEIRA</t>
  </si>
  <si>
    <t>RUA RUA JOAO DURVAL, 19</t>
  </si>
  <si>
    <t>-12.247410</t>
  </si>
  <si>
    <t>-41.616375</t>
  </si>
  <si>
    <t>(750) 09870-6377</t>
  </si>
  <si>
    <t>0211-0162</t>
  </si>
  <si>
    <t>DRIELLE CASSIA ALVES NUNES</t>
  </si>
  <si>
    <t>MERCADO BRASIL 01</t>
  </si>
  <si>
    <t>RUA R 7 DE SETEMBRO</t>
  </si>
  <si>
    <t>-12.247759</t>
  </si>
  <si>
    <t>-41.618267</t>
  </si>
  <si>
    <t>(074) 99916-7814</t>
  </si>
  <si>
    <t>0211-0163</t>
  </si>
  <si>
    <t>LUIZ ANTONIO PINHEIRO DE SOUZA ME</t>
  </si>
  <si>
    <t>CH E RT SAL NA BRASA</t>
  </si>
  <si>
    <t>RUA R MORUMBI, 112</t>
  </si>
  <si>
    <t>-12.246032</t>
  </si>
  <si>
    <t>-41.618070</t>
  </si>
  <si>
    <t>(075) 99807-2333</t>
  </si>
  <si>
    <t>0211-0168</t>
  </si>
  <si>
    <t>MARINALVA DE SOUZA PEREIRA</t>
  </si>
  <si>
    <t>LANCH E PAST PEREIRA</t>
  </si>
  <si>
    <t>RUA NOVA IRAQUARA, 20</t>
  </si>
  <si>
    <t>NOVA IRAQUARA</t>
  </si>
  <si>
    <t>-12.256407</t>
  </si>
  <si>
    <t>-41.607350</t>
  </si>
  <si>
    <t>(075) 99939-4097</t>
  </si>
  <si>
    <t>0211-0169</t>
  </si>
  <si>
    <t>CRISTIANE RIBEIRO DE OLIVEIRA</t>
  </si>
  <si>
    <t>CRIS SALGADOS     01</t>
  </si>
  <si>
    <t>RUA 7 DE SETEMBRO, 1</t>
  </si>
  <si>
    <t>-12.247002</t>
  </si>
  <si>
    <t>-41.618057</t>
  </si>
  <si>
    <t>(011) 99808-9071</t>
  </si>
  <si>
    <t>0211-0178</t>
  </si>
  <si>
    <t>LEONILSON SA TELES CRUZ</t>
  </si>
  <si>
    <t>RESTAURANTE DO POCO</t>
  </si>
  <si>
    <t>PRC MANOEL T LEITE, 21</t>
  </si>
  <si>
    <t>-12.247445</t>
  </si>
  <si>
    <t>-41.617737</t>
  </si>
  <si>
    <t>(075) 99808-4641</t>
  </si>
  <si>
    <t>0211-0181</t>
  </si>
  <si>
    <t>MARCOS SILVA BISPO</t>
  </si>
  <si>
    <t>ACO MERC NOSSA CESTA</t>
  </si>
  <si>
    <t>RUA SIMPLICIANO LIMA</t>
  </si>
  <si>
    <t>-12.246942</t>
  </si>
  <si>
    <t>-41.616825</t>
  </si>
  <si>
    <t>(075) 99120-9680</t>
  </si>
  <si>
    <t>0211-0182</t>
  </si>
  <si>
    <t>SIMONE DE SOUSA ALVES</t>
  </si>
  <si>
    <t>RESTAURANTE O PAULIS</t>
  </si>
  <si>
    <t>RUA RUA 07 DE SETEMBRO, 234</t>
  </si>
  <si>
    <t>-12.244852</t>
  </si>
  <si>
    <t>-41.618797</t>
  </si>
  <si>
    <t>(075) 99702-9969</t>
  </si>
  <si>
    <t>0211-0183</t>
  </si>
  <si>
    <t>MARIA ISABEL SALES</t>
  </si>
  <si>
    <t>COM NOVA IRAQUARA</t>
  </si>
  <si>
    <t>RUA AV BRASIL BA 122</t>
  </si>
  <si>
    <t>-12.256543</t>
  </si>
  <si>
    <t>(075) 99980-2571</t>
  </si>
  <si>
    <t>0211-0192</t>
  </si>
  <si>
    <t>ITAMAR SOUZA FEREIRA</t>
  </si>
  <si>
    <t>MERCADO BOM SUCESS0</t>
  </si>
  <si>
    <t>RUA RUA 7 DE SETEMBRO, 9984</t>
  </si>
  <si>
    <t>-12.246294</t>
  </si>
  <si>
    <t>-41.617966</t>
  </si>
  <si>
    <t>(077) 99973-1330</t>
  </si>
  <si>
    <t>0211-0195</t>
  </si>
  <si>
    <t>FERNANDO DE AZEVEDO VIANA</t>
  </si>
  <si>
    <t>FARMACIA SAO PAULO</t>
  </si>
  <si>
    <t>PRC PRACA MANOEL TEIXEIRA LEITE, 3</t>
  </si>
  <si>
    <t>-12.247622</t>
  </si>
  <si>
    <t>-41.617839</t>
  </si>
  <si>
    <t>(075) 03364-2044</t>
  </si>
  <si>
    <t>0211-0204</t>
  </si>
  <si>
    <t>WALTERLUCIA SANTOS SILVA RIBEIRO</t>
  </si>
  <si>
    <t>MERCADO IRAPORANGA</t>
  </si>
  <si>
    <t>RUA RUA TEODOLINO RIBERO, 9999</t>
  </si>
  <si>
    <t>POV IRAPORANGA</t>
  </si>
  <si>
    <t>-12.278512</t>
  </si>
  <si>
    <t>-41.511818</t>
  </si>
  <si>
    <t>(075) 99971-8715</t>
  </si>
  <si>
    <t>0211-0207</t>
  </si>
  <si>
    <t>ILMA PIRES MENDES</t>
  </si>
  <si>
    <t>BOLEVARD CONVENIENCI</t>
  </si>
  <si>
    <t>RUA RUA SIMPLICIANO LIMAA, 166</t>
  </si>
  <si>
    <t>-12.246155</t>
  </si>
  <si>
    <t>-41.615456</t>
  </si>
  <si>
    <t>(075) 99811-2492</t>
  </si>
  <si>
    <t>0211-0209</t>
  </si>
  <si>
    <t>IVANILTON SANTOS DE SOUZA</t>
  </si>
  <si>
    <t>MERCADO PONTO CERT04</t>
  </si>
  <si>
    <t>ROD RODOVIA BA 122, 5689</t>
  </si>
  <si>
    <t>-12.246880</t>
  </si>
  <si>
    <t>-41.611620</t>
  </si>
  <si>
    <t>(075) 98349-6131</t>
  </si>
  <si>
    <t>0211-0219</t>
  </si>
  <si>
    <t>MONICA NOVAES</t>
  </si>
  <si>
    <t>MERCADINH GAMELEIRA</t>
  </si>
  <si>
    <t>RUA SILVIO AALMEIDA, 7</t>
  </si>
  <si>
    <t>-12.246570</t>
  </si>
  <si>
    <t>-41.616890</t>
  </si>
  <si>
    <t>(075) 99998-3881</t>
  </si>
  <si>
    <t>0211-0220</t>
  </si>
  <si>
    <t>LUIS CARLOS DOS SANTOS</t>
  </si>
  <si>
    <t>PAST FOGO NO TACHO</t>
  </si>
  <si>
    <t>RUA JOSE ALVES DE ALMEIDA, 127</t>
  </si>
  <si>
    <t>-12.244504</t>
  </si>
  <si>
    <t>-41.620384</t>
  </si>
  <si>
    <t>(075) 99702-8808</t>
  </si>
  <si>
    <t>0211-0224</t>
  </si>
  <si>
    <t>AGNALDO JUNIOR SANTOS DE SOUZA</t>
  </si>
  <si>
    <t>DIST LA GELADA</t>
  </si>
  <si>
    <t>RUA JOSE ALVES DE ALMEIDA, 45</t>
  </si>
  <si>
    <t>-12.245277</t>
  </si>
  <si>
    <t>-41.616943</t>
  </si>
  <si>
    <t>(075) 99993-5591</t>
  </si>
  <si>
    <t>0211-0229</t>
  </si>
  <si>
    <t>RAIRAM DE ARAUJO DOS SANTOS</t>
  </si>
  <si>
    <t>ACOUGUE DA VIDA</t>
  </si>
  <si>
    <t>RUA RUA DO COMERCIO, 29</t>
  </si>
  <si>
    <t>IRAPORANGA</t>
  </si>
  <si>
    <t>-12.278334</t>
  </si>
  <si>
    <t>-41.512222</t>
  </si>
  <si>
    <t>(075) 99920-9088</t>
  </si>
  <si>
    <t>0211-0230</t>
  </si>
  <si>
    <t>UESLEI DOS ANJOS PEREIRA</t>
  </si>
  <si>
    <t>UTON PIZZARIA</t>
  </si>
  <si>
    <t>RUA RUA JOAO DURVAL, 209</t>
  </si>
  <si>
    <t>-12.247778</t>
  </si>
  <si>
    <t>-41.615276</t>
  </si>
  <si>
    <t>(075) 99991-8608</t>
  </si>
  <si>
    <t>0211-0238</t>
  </si>
  <si>
    <t>UBIRANY MOREIRA RIOS CUNHA E CIA LTDA</t>
  </si>
  <si>
    <t>POUSADA E RESTAURANT</t>
  </si>
  <si>
    <t>RUA RUA JOAO DURVAL CARNEIRO</t>
  </si>
  <si>
    <t>-12.248571</t>
  </si>
  <si>
    <t>-41.613773</t>
  </si>
  <si>
    <t>(075) 99706-0466</t>
  </si>
  <si>
    <t>0211-0247</t>
  </si>
  <si>
    <t>SAMUEL PIRES LESSA SENNA EIRELI</t>
  </si>
  <si>
    <t>SACOLAO DO POVO FILI</t>
  </si>
  <si>
    <t>ROD RODOVIA BA 122, 53</t>
  </si>
  <si>
    <t>-12.242918</t>
  </si>
  <si>
    <t>-41.619920</t>
  </si>
  <si>
    <t>(075) 99903-7320</t>
  </si>
  <si>
    <t>0211-0248</t>
  </si>
  <si>
    <t>IDALTO EVANGELISTA BARAUNA</t>
  </si>
  <si>
    <t>ACOUGUE BOI GORDO 02</t>
  </si>
  <si>
    <t>RUA RUA BR 122</t>
  </si>
  <si>
    <t>-12.246438</t>
  </si>
  <si>
    <t>-41.613030</t>
  </si>
  <si>
    <t>(075) 99999-6488</t>
  </si>
  <si>
    <t>0211-0253</t>
  </si>
  <si>
    <t>EMERSON NOVAES DE SOUZA</t>
  </si>
  <si>
    <t>BISSON CHURRASCO</t>
  </si>
  <si>
    <t>RUA RUA BR 122, 122</t>
  </si>
  <si>
    <t>-12.246066</t>
  </si>
  <si>
    <t>-41.613300</t>
  </si>
  <si>
    <t>(075) 99825-4289</t>
  </si>
  <si>
    <t>0211-0254</t>
  </si>
  <si>
    <t>WILLIAMS DE JESUS</t>
  </si>
  <si>
    <t>BARRACA BIODISEL</t>
  </si>
  <si>
    <t>FAZ FAZENDA CARNEIRO GRANDE, 715</t>
  </si>
  <si>
    <t>-12.199312</t>
  </si>
  <si>
    <t>-41.615326</t>
  </si>
  <si>
    <t>(075) 99989-6734</t>
  </si>
  <si>
    <t>0211-0256</t>
  </si>
  <si>
    <t>MURILO QUEIROZ BORACINI</t>
  </si>
  <si>
    <t>LANC E PAST TIPICO</t>
  </si>
  <si>
    <t>RUA RUA GUILHERMINA DOS SANTOS PINTO, 28</t>
  </si>
  <si>
    <t>-12.345637</t>
  </si>
  <si>
    <t>-41.584415</t>
  </si>
  <si>
    <t>(011) 87224-9021</t>
  </si>
  <si>
    <t>0211-0261</t>
  </si>
  <si>
    <t>ANDRE CARVALHO LIMA</t>
  </si>
  <si>
    <t>CHURRA NOVA IRAQUARA</t>
  </si>
  <si>
    <t>LOT LOTEAMENTO NOVA IRAQUARA</t>
  </si>
  <si>
    <t>-12.256107</t>
  </si>
  <si>
    <t>-41.606930</t>
  </si>
  <si>
    <t>(075) 99809-6704</t>
  </si>
  <si>
    <t>0211-0262</t>
  </si>
  <si>
    <t>GILVAN BOAVENTURA DOS SANTOS</t>
  </si>
  <si>
    <t>MERCADO E ACOUGUE</t>
  </si>
  <si>
    <t>RUA RUA SIMPLICIANO LIMA, 9962</t>
  </si>
  <si>
    <t>-12.246252</t>
  </si>
  <si>
    <t>-41.615590</t>
  </si>
  <si>
    <t>(075) 99702-5278</t>
  </si>
  <si>
    <t>0211-0263</t>
  </si>
  <si>
    <t>SILAS DA SILVA ALEXANDRINO</t>
  </si>
  <si>
    <t>SILAS BARBEARIA</t>
  </si>
  <si>
    <t>FAZ FAZENDA UMBURANA</t>
  </si>
  <si>
    <t>SANTISSIMO ZABELE BA</t>
  </si>
  <si>
    <t>-12.346614</t>
  </si>
  <si>
    <t>-41.615555</t>
  </si>
  <si>
    <t>(075) 99959-4242</t>
  </si>
  <si>
    <t>0211-0268</t>
  </si>
  <si>
    <t>POUSADA E RESTAURANTE IRMAOS MEDEIROS LT</t>
  </si>
  <si>
    <t>POUSADA E REST MKE01</t>
  </si>
  <si>
    <t>RUA RUA JOSE ALVES DE ALMEIDAA</t>
  </si>
  <si>
    <t>-12.245094</t>
  </si>
  <si>
    <t>-41.618200</t>
  </si>
  <si>
    <t>(075) 99805-3414</t>
  </si>
  <si>
    <t>0211-0269</t>
  </si>
  <si>
    <t>AUREA DOS SANTOS SILVA NETA</t>
  </si>
  <si>
    <t>LANCH E REST AUREA</t>
  </si>
  <si>
    <t>RUA RUA RIO CORUMBA 406, 406</t>
  </si>
  <si>
    <t>-11.312502</t>
  </si>
  <si>
    <t>-41.851850</t>
  </si>
  <si>
    <t>(074) 09975-4132</t>
  </si>
  <si>
    <t>0211-0271</t>
  </si>
  <si>
    <t>COMERCIAL DE GENEROS ALIMENTICIOS 5 IRMA</t>
  </si>
  <si>
    <t>MERCADINHO FAMILIA01</t>
  </si>
  <si>
    <t>PRC PRACA DR REINALDO VIANA</t>
  </si>
  <si>
    <t>ZABELE</t>
  </si>
  <si>
    <t>-12.342908</t>
  </si>
  <si>
    <t>-41.661533</t>
  </si>
  <si>
    <t>(075) 99811-3165</t>
  </si>
  <si>
    <t>0211-0274</t>
  </si>
  <si>
    <t>ARIOVALDO BRAGA NUNES</t>
  </si>
  <si>
    <t>CASA DAS EMBALAGEN01</t>
  </si>
  <si>
    <t>PRC PRACA PERICLES GAMA, 30</t>
  </si>
  <si>
    <t>-12.245914</t>
  </si>
  <si>
    <t>-41.617510</t>
  </si>
  <si>
    <t>(075) 99999-9435</t>
  </si>
  <si>
    <t>0211-0275</t>
  </si>
  <si>
    <t>GABRIELA NAYANE LOPES DE MIRANDA</t>
  </si>
  <si>
    <t>COMERCIAL ENIO</t>
  </si>
  <si>
    <t>POV POVOADO MULUNGU DOS PIRES, 420</t>
  </si>
  <si>
    <t>MULUNGU DOS PIRES</t>
  </si>
  <si>
    <t>-12.293213</t>
  </si>
  <si>
    <t>-41.598267</t>
  </si>
  <si>
    <t>(075) 99807-4598</t>
  </si>
  <si>
    <t>0211-0277</t>
  </si>
  <si>
    <t>NILCELIA PEDREIRA LAPA</t>
  </si>
  <si>
    <t>COMERCIAL N N</t>
  </si>
  <si>
    <t>RUA RUA DO CAMPO, 9970</t>
  </si>
  <si>
    <t>MURUMBI / IRAQUARA</t>
  </si>
  <si>
    <t>-12.238325</t>
  </si>
  <si>
    <t>-41.618923</t>
  </si>
  <si>
    <t>(075) 99811-1970</t>
  </si>
  <si>
    <t>0211-0278</t>
  </si>
  <si>
    <t>MERCADO PARA TODOS LTDA</t>
  </si>
  <si>
    <t>MERCADO PARA TODOS</t>
  </si>
  <si>
    <t>PRC PRACA DAS ARVORES, 222</t>
  </si>
  <si>
    <t>-12.248382</t>
  </si>
  <si>
    <t>-41.617443</t>
  </si>
  <si>
    <t>0211-0282</t>
  </si>
  <si>
    <t>COMERCIAL ALBERTINO COMERCIO DE PRODUTOS</t>
  </si>
  <si>
    <t>SACOLAO DO POVO   01</t>
  </si>
  <si>
    <t>RUA RUA SILVIO ALMEIDA, 62</t>
  </si>
  <si>
    <t>-12.256216</t>
  </si>
  <si>
    <t>-41.607857</t>
  </si>
  <si>
    <t>(075) 99710-2586</t>
  </si>
  <si>
    <t>0211-0285</t>
  </si>
  <si>
    <t>EC EMPORIO COMERCIO DE PRODUTOS ALIMENTI</t>
  </si>
  <si>
    <t>EMPORIO DA VILLA  01</t>
  </si>
  <si>
    <t>RUA RUA SILVIO ALMEIDA 26 B, 26</t>
  </si>
  <si>
    <t>-12.243577</t>
  </si>
  <si>
    <t>-41.615920</t>
  </si>
  <si>
    <t>(075) 99861-2123</t>
  </si>
  <si>
    <t>0211-0286</t>
  </si>
  <si>
    <t>ITALA PAMELA RIBEIRO SILVA</t>
  </si>
  <si>
    <t>COMERCIAL JB      01</t>
  </si>
  <si>
    <t>PRA PRACA RUA</t>
  </si>
  <si>
    <t>-12.342876</t>
  </si>
  <si>
    <t>-41.660940</t>
  </si>
  <si>
    <t>(075) 99895-0977</t>
  </si>
  <si>
    <t>0211-0289</t>
  </si>
  <si>
    <t>ALEXANDRE MENDES DE SOUSA</t>
  </si>
  <si>
    <t>RESTAURANTE PALADA01</t>
  </si>
  <si>
    <t>RUA RUA POVOADO SANTA RITA, 378</t>
  </si>
  <si>
    <t>POVOADO SANTA RITA</t>
  </si>
  <si>
    <t>-12.345937</t>
  </si>
  <si>
    <t>-41.586350</t>
  </si>
  <si>
    <t>(075) 99868-6071</t>
  </si>
  <si>
    <t>0211-0290</t>
  </si>
  <si>
    <t>ROSEMARY RIBEIRO DA SILVA</t>
  </si>
  <si>
    <t>RECANTO DAS GREVILLE</t>
  </si>
  <si>
    <t>POV POVOADO BAIXA DO CEDRO, 9989</t>
  </si>
  <si>
    <t>POV, BAIXA DO CEDRO/</t>
  </si>
  <si>
    <t>-12.300573</t>
  </si>
  <si>
    <t>-41.679733</t>
  </si>
  <si>
    <t>(075) 99931-9541</t>
  </si>
  <si>
    <t>0211-0292</t>
  </si>
  <si>
    <t>ORLANDO ALVES DOS SANTOS</t>
  </si>
  <si>
    <t>DISTRIBUIDORA ALVES</t>
  </si>
  <si>
    <t>POV POVOADO QUIXABA, 50</t>
  </si>
  <si>
    <t>QUIXABA / IRAQUARA</t>
  </si>
  <si>
    <t>-12.250318</t>
  </si>
  <si>
    <t>-41.605770</t>
  </si>
  <si>
    <t>(075) 99863-7618</t>
  </si>
  <si>
    <t>0211-0293</t>
  </si>
  <si>
    <t>CASSIANO OLIVEIRA DE SOUSA</t>
  </si>
  <si>
    <t>CASSIANO PIZZAS BURG</t>
  </si>
  <si>
    <t>RUA RUA SIMPLICIANO LIMA, 9930</t>
  </si>
  <si>
    <t>-12.246125</t>
  </si>
  <si>
    <t>-41.615420</t>
  </si>
  <si>
    <t>(075) 99832-7713</t>
  </si>
  <si>
    <t>0211-0294</t>
  </si>
  <si>
    <t>BEATRIZ SOUZA MARQUES SANTOS</t>
  </si>
  <si>
    <t>MANDACARU PIZARIA</t>
  </si>
  <si>
    <t>RUA DA PALMEIRA, 9992</t>
  </si>
  <si>
    <t>-12.244596</t>
  </si>
  <si>
    <t>-41.620228</t>
  </si>
  <si>
    <t>0211-0296</t>
  </si>
  <si>
    <t>CHARLES DOS SANTOS ANJOS</t>
  </si>
  <si>
    <t>DEU FOME</t>
  </si>
  <si>
    <t>RUA RUA CARREIRO GRANDE</t>
  </si>
  <si>
    <t>-12.246700</t>
  </si>
  <si>
    <t>-41.616467</t>
  </si>
  <si>
    <t>(075) 99702-2694</t>
  </si>
  <si>
    <t>0211-0297</t>
  </si>
  <si>
    <t>WILLIAM FERREIRA DOS SANTOS</t>
  </si>
  <si>
    <t>QUITANDA SABOR DO 01</t>
  </si>
  <si>
    <t>RUA RUA SIPLICIANO LIMA, 22</t>
  </si>
  <si>
    <t>-12.247138</t>
  </si>
  <si>
    <t>-41.616974</t>
  </si>
  <si>
    <t>(075) 99871-9913</t>
  </si>
  <si>
    <t>0211-0298</t>
  </si>
  <si>
    <t>INDAYA PIRES DOS ANJOS NEVES</t>
  </si>
  <si>
    <t>MERCADO SACOLA CHEIA</t>
  </si>
  <si>
    <t>RUA RUA VEREADOR ANGELO DE MATOS PEREIRA, 27</t>
  </si>
  <si>
    <t>LOTEAMENTO PRINCESA</t>
  </si>
  <si>
    <t>-12.241913</t>
  </si>
  <si>
    <t>-41.616950</t>
  </si>
  <si>
    <t>(075) 99947-3865</t>
  </si>
  <si>
    <t>0211-0299</t>
  </si>
  <si>
    <t>ROUTE 122 RESTAURANTE E PETISCARIA LTDA</t>
  </si>
  <si>
    <t>ROUTE 122</t>
  </si>
  <si>
    <t>ROD RODOVIA BA 122, 9997</t>
  </si>
  <si>
    <t>-12.244033</t>
  </si>
  <si>
    <t>-41.615723</t>
  </si>
  <si>
    <t>(075) 59977-1518</t>
  </si>
  <si>
    <t>0211-0300</t>
  </si>
  <si>
    <t>DANIEL ALVES DE OLIVEIRA</t>
  </si>
  <si>
    <t>MERCADO ZE DO RIACHO</t>
  </si>
  <si>
    <t>POV POVOADO DE QUIXABA, 8590</t>
  </si>
  <si>
    <t>-12.260050</t>
  </si>
  <si>
    <t>-41.575714</t>
  </si>
  <si>
    <t>(075) 99887-9314</t>
  </si>
  <si>
    <t>0211-0303</t>
  </si>
  <si>
    <t>TAINA SOUSA SANTOS</t>
  </si>
  <si>
    <t>RESTAURANTE O QUINTA</t>
  </si>
  <si>
    <t>ROD RODOVIA BA 1, 122</t>
  </si>
  <si>
    <t>-12.246823</t>
  </si>
  <si>
    <t>-41.612774</t>
  </si>
  <si>
    <t>(075) 99993-9596</t>
  </si>
  <si>
    <t>0211-0305</t>
  </si>
  <si>
    <t>CAPIVARA COMERCIAL DE ALIMENTOS LTDA</t>
  </si>
  <si>
    <t>SUPERMERCADO CAPIVAR</t>
  </si>
  <si>
    <t>POV COMUNIDADE POVOADO DE CAPIVARA</t>
  </si>
  <si>
    <t>CAPIVARA</t>
  </si>
  <si>
    <t>-11.683552</t>
  </si>
  <si>
    <t>-41.767307</t>
  </si>
  <si>
    <t>0211-0307</t>
  </si>
  <si>
    <t>ELAINE NOVAES RIBEIRO LTDA</t>
  </si>
  <si>
    <t>DONA CHICA PIZZAS</t>
  </si>
  <si>
    <t>RUA RUA ARTEMISIA NOGUEIRA</t>
  </si>
  <si>
    <t>-12.245525</t>
  </si>
  <si>
    <t>-41.618996</t>
  </si>
  <si>
    <t>(075) 99993-7522</t>
  </si>
  <si>
    <t>0211-0308</t>
  </si>
  <si>
    <t>DANILO FERREIRA DOS SANTOS</t>
  </si>
  <si>
    <t>ZIG PIZZA</t>
  </si>
  <si>
    <t>SOUTO SOARES</t>
  </si>
  <si>
    <t>RUA RUA NOVA, 999 / AV DOM PED</t>
  </si>
  <si>
    <t>-12.089884</t>
  </si>
  <si>
    <t>-41.648342</t>
  </si>
  <si>
    <t>(075) 98152-1304</t>
  </si>
  <si>
    <t>0211-0309</t>
  </si>
  <si>
    <t>HUBERMALIO BISPO DA SILVA</t>
  </si>
  <si>
    <t>COMERCIAL COSTA</t>
  </si>
  <si>
    <t>RUA RUA SIMPLICIANO LIMA, 23</t>
  </si>
  <si>
    <t>-12.248056</t>
  </si>
  <si>
    <t>-41.613976</t>
  </si>
  <si>
    <t>(075) 99838-6263</t>
  </si>
  <si>
    <t>0211-0311</t>
  </si>
  <si>
    <t>ADRIANO MATUTINO ALVES</t>
  </si>
  <si>
    <t>MERCADINHO AMA    01</t>
  </si>
  <si>
    <t>POV ACESSO POVOADO RIACHO DO MEL</t>
  </si>
  <si>
    <t>RIACHO DO MEL / IRAQ</t>
  </si>
  <si>
    <t>-12.335272</t>
  </si>
  <si>
    <t>-41.493526</t>
  </si>
  <si>
    <t>(075) 99890-1573</t>
  </si>
  <si>
    <t>0211-0314</t>
  </si>
  <si>
    <t>LEILIANE GOMES BRITO LIMA</t>
  </si>
  <si>
    <t>PANILIMA</t>
  </si>
  <si>
    <t>RUA RUA SILVIO DE ALMEIDA 203, 203</t>
  </si>
  <si>
    <t>-12.243683</t>
  </si>
  <si>
    <t>-41.615990</t>
  </si>
  <si>
    <t>(075) 99892-0773</t>
  </si>
  <si>
    <t>0211-0317</t>
  </si>
  <si>
    <t>MARIA CLARA FRANCA DE ARAUJO</t>
  </si>
  <si>
    <t>ADEGA SENSACAO</t>
  </si>
  <si>
    <t>POV POVOADO SANTA RITAA</t>
  </si>
  <si>
    <t>-12.345654</t>
  </si>
  <si>
    <t>-41.584606</t>
  </si>
  <si>
    <t>(075) 99813-4540</t>
  </si>
  <si>
    <t>0211-0319</t>
  </si>
  <si>
    <t>SIVALDINO GASPAR DE SOUZA</t>
  </si>
  <si>
    <t>IRS EMPORIO CHAPADA</t>
  </si>
  <si>
    <t>LOT RODOVIA BR 122 KM 27</t>
  </si>
  <si>
    <t>-12.248278</t>
  </si>
  <si>
    <t>-41.610510</t>
  </si>
  <si>
    <t>(011) 95457-9219</t>
  </si>
  <si>
    <t>0211-0321</t>
  </si>
  <si>
    <t>PIZZARIA DUARTE LTDA</t>
  </si>
  <si>
    <t>PLANETA PIZZA</t>
  </si>
  <si>
    <t>RUA PRATINHA, 96</t>
  </si>
  <si>
    <t>-12.242409</t>
  </si>
  <si>
    <t>-41.615246</t>
  </si>
  <si>
    <t>(074) 36415-0070</t>
  </si>
  <si>
    <t>0211-0322</t>
  </si>
  <si>
    <t>RESTAURANTE E PETISCARIA DO GAUCHO LTDA</t>
  </si>
  <si>
    <t>RESTAURANTE E PETISC</t>
  </si>
  <si>
    <t>ROD RODOVIA BA 122, 103</t>
  </si>
  <si>
    <t>-12.242210</t>
  </si>
  <si>
    <t>-41.615513</t>
  </si>
  <si>
    <t>9976-8824</t>
  </si>
  <si>
    <t>0211-0324</t>
  </si>
  <si>
    <t>KATIA SILVA DE MEDEIROS LTDA</t>
  </si>
  <si>
    <t>KASUAL RESTAURANTE</t>
  </si>
  <si>
    <t>ROD RODOVIA 122</t>
  </si>
  <si>
    <t>-12.237202</t>
  </si>
  <si>
    <t>-41.616962</t>
  </si>
  <si>
    <t>(075) 09805-3414</t>
  </si>
  <si>
    <t>0211-0326</t>
  </si>
  <si>
    <t>ROBERTO ARAUJO DE SOUZA</t>
  </si>
  <si>
    <t>SUSHI IRAS</t>
  </si>
  <si>
    <t>ROD RODOVIA BA 122, 1222</t>
  </si>
  <si>
    <t>-12.245399</t>
  </si>
  <si>
    <t>-41.613564</t>
  </si>
  <si>
    <t>(077) 99414-4474</t>
  </si>
  <si>
    <t>0211-0328</t>
  </si>
  <si>
    <t>MILENA SOUZA DE OLIVEIRA DE IRAQUARA</t>
  </si>
  <si>
    <t>TOSCANO IRAQUARA</t>
  </si>
  <si>
    <t>RUA SILPLICIANO LIMA</t>
  </si>
  <si>
    <t>-12.245305</t>
  </si>
  <si>
    <t>-41.614510</t>
  </si>
  <si>
    <t>(075) 99929-4874</t>
  </si>
  <si>
    <t>0211-0329</t>
  </si>
  <si>
    <t>SOLANGE SA TELES NUNES</t>
  </si>
  <si>
    <t>MERCEARIA SANTA RITA</t>
  </si>
  <si>
    <t>POV SANTA RITA, 207</t>
  </si>
  <si>
    <t>-12.347520</t>
  </si>
  <si>
    <t>-41.584904</t>
  </si>
  <si>
    <t>(759) 00803-8053</t>
  </si>
  <si>
    <t>0211-0331</t>
  </si>
  <si>
    <t>ROSIRENE SANTOS DE SOUZA</t>
  </si>
  <si>
    <t>QUITANDA RAIO DE SOL</t>
  </si>
  <si>
    <t>RUA RUA CARREIRO GRANDE, 4590</t>
  </si>
  <si>
    <t>-12.238552</t>
  </si>
  <si>
    <t>-41.619717</t>
  </si>
  <si>
    <t>(075) 99803-8102</t>
  </si>
  <si>
    <t>0211-0332</t>
  </si>
  <si>
    <t>EDNEY SOUSA SA TELES DO NASCIMENTO</t>
  </si>
  <si>
    <t>MERCADO JM</t>
  </si>
  <si>
    <t>ROD RODOVIA BA 1222</t>
  </si>
  <si>
    <t>-12.243992</t>
  </si>
  <si>
    <t>-41.614994</t>
  </si>
  <si>
    <t>(075) 09701-4822</t>
  </si>
  <si>
    <t>0211-0333</t>
  </si>
  <si>
    <t>ISADORA AMES RIOS</t>
  </si>
  <si>
    <t>PANIFICADORA E LANC</t>
  </si>
  <si>
    <t>PRC PRACA PERICLES GAMA 18, 18</t>
  </si>
  <si>
    <t>-12.246798</t>
  </si>
  <si>
    <t>-41.617496</t>
  </si>
  <si>
    <t>(779) 09974-4638</t>
  </si>
  <si>
    <t>0211-0334</t>
  </si>
  <si>
    <t>JOSE ISLAN ALVES MOREIRA</t>
  </si>
  <si>
    <t>MAVI MINI MERCADO</t>
  </si>
  <si>
    <t>FAZ SOSSEGO, 158</t>
  </si>
  <si>
    <t>CAJAZEIRAS</t>
  </si>
  <si>
    <t>-12.237343</t>
  </si>
  <si>
    <t>-41.613373</t>
  </si>
  <si>
    <t>(011) 98038-7510</t>
  </si>
  <si>
    <t>0211-0337</t>
  </si>
  <si>
    <t>ICARO DIEGO SA TELES FERREIRA</t>
  </si>
  <si>
    <t>ADEGA ICRAO</t>
  </si>
  <si>
    <t>EST ESTRADA DE QUEIMADA, 920</t>
  </si>
  <si>
    <t>-12.243186</t>
  </si>
  <si>
    <t>-41.614202</t>
  </si>
  <si>
    <t>(075) 99842-8255</t>
  </si>
  <si>
    <t>0211-0338</t>
  </si>
  <si>
    <t>GEOVANA SOUZA LIMA SA TELES</t>
  </si>
  <si>
    <t>LAPA DOCE         01</t>
  </si>
  <si>
    <t>FAZ LAPA DOCE, 1</t>
  </si>
  <si>
    <t>POVOADO DO LAPAO</t>
  </si>
  <si>
    <t>-12.331367</t>
  </si>
  <si>
    <t>-41.606225</t>
  </si>
  <si>
    <t>(075) 09962-1301</t>
  </si>
  <si>
    <t>0211-0342</t>
  </si>
  <si>
    <t>JOSE DANILO SILVA DE SOUZA</t>
  </si>
  <si>
    <t>MERCADO JOINHA    01</t>
  </si>
  <si>
    <t>RUA RU SIMPLICIANO LIMAA</t>
  </si>
  <si>
    <t>-12.247046</t>
  </si>
  <si>
    <t>-41.616970</t>
  </si>
  <si>
    <t>(074) 99828-1680</t>
  </si>
  <si>
    <t>0211-0343</t>
  </si>
  <si>
    <t>SANDRA DIAS TAVARES</t>
  </si>
  <si>
    <t>REST TIA SANDRA PAUL</t>
  </si>
  <si>
    <t>RUA JOSE ALVE DE ALMEIDA BA 122</t>
  </si>
  <si>
    <t>-12.198330</t>
  </si>
  <si>
    <t>-41.615291</t>
  </si>
  <si>
    <t>(075) 99816-6885</t>
  </si>
  <si>
    <t>0211-0344</t>
  </si>
  <si>
    <t>JAILTON SOUZA DAMACENO</t>
  </si>
  <si>
    <t>COMERCIAL BARROS</t>
  </si>
  <si>
    <t>ROD BA 122 KM 28</t>
  </si>
  <si>
    <t>-12.239074</t>
  </si>
  <si>
    <t>-41.616798</t>
  </si>
  <si>
    <t>(750) 99955-5246</t>
  </si>
  <si>
    <t>0211-0345</t>
  </si>
  <si>
    <t>GESSIARA SANTOS DE SOUSA</t>
  </si>
  <si>
    <t>QUINTAL QUIOSQUE</t>
  </si>
  <si>
    <t>PRC PERICLES GAMA, 9967</t>
  </si>
  <si>
    <t>-12.246311</t>
  </si>
  <si>
    <t>-41.618213</t>
  </si>
  <si>
    <t>0211-0346</t>
  </si>
  <si>
    <t>HUGO JONATAS DOS ANJOS ALVES</t>
  </si>
  <si>
    <t>ROTA GELADA</t>
  </si>
  <si>
    <t>POV QUIXABA, 271</t>
  </si>
  <si>
    <t>-12.259785</t>
  </si>
  <si>
    <t>-41.578731</t>
  </si>
  <si>
    <t>0211-0347</t>
  </si>
  <si>
    <t>CASA DE BOLOS DA CHA</t>
  </si>
  <si>
    <t>RUA RUA CANA BRAVA</t>
  </si>
  <si>
    <t>-12.247507</t>
  </si>
  <si>
    <t>-41.617318</t>
  </si>
  <si>
    <t>(075) 99997-7526</t>
  </si>
  <si>
    <t>0211-0348</t>
  </si>
  <si>
    <t>GESICA LUANA GASPAR DE SOUZA</t>
  </si>
  <si>
    <t>PADARIA VANILL P E B</t>
  </si>
  <si>
    <t>ROD RO BA 122, 5</t>
  </si>
  <si>
    <t>-12.254171</t>
  </si>
  <si>
    <t>-41.606872</t>
  </si>
  <si>
    <t>7164-1211</t>
  </si>
  <si>
    <t>0211-0350</t>
  </si>
  <si>
    <t>MSJ ABASTECIMENTO LTDA</t>
  </si>
  <si>
    <t>MIX ABASTECIMENTO</t>
  </si>
  <si>
    <t>RUA SILVIO ALMEIDA, 62</t>
  </si>
  <si>
    <t>-12.246179</t>
  </si>
  <si>
    <t>-41.617445</t>
  </si>
  <si>
    <t>(075) 99971-0286</t>
  </si>
  <si>
    <t>0211-0351</t>
  </si>
  <si>
    <t>CARLOS ALBERTO DE SOUZA AMORIM</t>
  </si>
  <si>
    <t>MERCADINHO SOUZA  01</t>
  </si>
  <si>
    <t>ROD RO BR 122 A B, 78</t>
  </si>
  <si>
    <t>RURAL IRAQUARA/IRAQU</t>
  </si>
  <si>
    <t>-12.255919</t>
  </si>
  <si>
    <t>-41.606118</t>
  </si>
  <si>
    <t>(075) 99879-4823</t>
  </si>
  <si>
    <t>0211-0352</t>
  </si>
  <si>
    <t>LEOPOLDINO CRUZ FILHO</t>
  </si>
  <si>
    <t>LANCHONETE SE LIGA B</t>
  </si>
  <si>
    <t>POV QUIXABA</t>
  </si>
  <si>
    <t>-12.250725</t>
  </si>
  <si>
    <t>-41.604757</t>
  </si>
  <si>
    <t>(075) 99993-4374</t>
  </si>
  <si>
    <t>0211-0354</t>
  </si>
  <si>
    <t>SOLON ACADEMIA LTDA</t>
  </si>
  <si>
    <t>ALFA FIT 360</t>
  </si>
  <si>
    <t>ROD RODOVIA BA 122, 20</t>
  </si>
  <si>
    <t>-12.246002</t>
  </si>
  <si>
    <t>-41.613213</t>
  </si>
  <si>
    <t>(075) 09913-0227</t>
  </si>
  <si>
    <t>0211-0355</t>
  </si>
  <si>
    <t>PRF VAREGISTA LTDA</t>
  </si>
  <si>
    <t>C ALBERTINO</t>
  </si>
  <si>
    <t>COM URBANA IRAPORANGA</t>
  </si>
  <si>
    <t>-12.278147</t>
  </si>
  <si>
    <t>-41.513081</t>
  </si>
  <si>
    <t>(075) 99937-7259</t>
  </si>
  <si>
    <t>0212-0005</t>
  </si>
  <si>
    <t>ELAEYDE FREITAS DA SILVA</t>
  </si>
  <si>
    <t>LANCHONETE FREITAS</t>
  </si>
  <si>
    <t>ITAGUACU DA BAHIA</t>
  </si>
  <si>
    <t>RUA RUA LUIZ VIANA, 110</t>
  </si>
  <si>
    <t>-11.011625</t>
  </si>
  <si>
    <t>-42.398420</t>
  </si>
  <si>
    <t>(074) 09965-5056</t>
  </si>
  <si>
    <t>0212-0008</t>
  </si>
  <si>
    <t>AVAILTON DOS SANTOS LIMA</t>
  </si>
  <si>
    <t>COMERCIAL ITAGUACU</t>
  </si>
  <si>
    <t>PRA PCA NEI ALVES DE CARVALH</t>
  </si>
  <si>
    <t>-11.012002</t>
  </si>
  <si>
    <t>-42.398254</t>
  </si>
  <si>
    <t>(074) 99972-2820</t>
  </si>
  <si>
    <t>0212-0012</t>
  </si>
  <si>
    <t>ARMINDO DA SILVA PAZ</t>
  </si>
  <si>
    <t>MERCADINHO SILVA  01</t>
  </si>
  <si>
    <t>RUA RUA CHILE, 72</t>
  </si>
  <si>
    <t>-10.946045</t>
  </si>
  <si>
    <t>-42.426296</t>
  </si>
  <si>
    <t>(074) 99956-1394</t>
  </si>
  <si>
    <t>0212-0016</t>
  </si>
  <si>
    <t>HILDEBRANDO ALVES DA SILVA</t>
  </si>
  <si>
    <t>BAR DA ESQUINA</t>
  </si>
  <si>
    <t>RUA JOSE PELEGRINO</t>
  </si>
  <si>
    <t>-11.011416</t>
  </si>
  <si>
    <t>-42.398323</t>
  </si>
  <si>
    <t>(074) 99974-9183</t>
  </si>
  <si>
    <t>0212-0017</t>
  </si>
  <si>
    <t>EDILEUZA ROCHA L DOS SANTOS</t>
  </si>
  <si>
    <t>ESTRELA CONVENIENCIA</t>
  </si>
  <si>
    <t>RUA RUA JOSE PELEGRINO</t>
  </si>
  <si>
    <t>-11.010616</t>
  </si>
  <si>
    <t>-42.397396</t>
  </si>
  <si>
    <t>(400) 99944-8932</t>
  </si>
  <si>
    <t>0212-0021</t>
  </si>
  <si>
    <t>JOEL BARRETO DA SILVA DE ITAGUACU ME</t>
  </si>
  <si>
    <t>LANCHONETE JB</t>
  </si>
  <si>
    <t>ROD TRAV PRINCIPAL BA 52 KM 20 RODV</t>
  </si>
  <si>
    <t>RIO VERDE</t>
  </si>
  <si>
    <t>-10.978577</t>
  </si>
  <si>
    <t>-42.358170</t>
  </si>
  <si>
    <t>(740) 99963-1369</t>
  </si>
  <si>
    <t>0212-0024</t>
  </si>
  <si>
    <t>JASON FERREIRA DA SILVA</t>
  </si>
  <si>
    <t>MERCADO KAMILLA</t>
  </si>
  <si>
    <t>PRC PRACA DA FEIRAA</t>
  </si>
  <si>
    <t>-11.012089</t>
  </si>
  <si>
    <t>-42.398285</t>
  </si>
  <si>
    <t>(074) 99998-0559</t>
  </si>
  <si>
    <t>0212-0026</t>
  </si>
  <si>
    <t>CARLAS SOUZA SANTOS</t>
  </si>
  <si>
    <t>MERCADINHO DO POVO04</t>
  </si>
  <si>
    <t>RUA PREDIO</t>
  </si>
  <si>
    <t>-10.978046</t>
  </si>
  <si>
    <t>-42.357600</t>
  </si>
  <si>
    <t>(074) 99985-1112</t>
  </si>
  <si>
    <t>0212-0048</t>
  </si>
  <si>
    <t>PEDRO MENEZES DOS SANTOS</t>
  </si>
  <si>
    <t>LANCHONETE DA RODOVI</t>
  </si>
  <si>
    <t>RUA TERMINAL DA RODOVIARIO</t>
  </si>
  <si>
    <t>-11.010453</t>
  </si>
  <si>
    <t>-42.396828</t>
  </si>
  <si>
    <t>(074) 99910-8154</t>
  </si>
  <si>
    <t>0212-0050</t>
  </si>
  <si>
    <t>JOSE OLINDO TEIXEIRA</t>
  </si>
  <si>
    <t>BAR DO ZO</t>
  </si>
  <si>
    <t>RUA DA SAIDA DAS ALMAS</t>
  </si>
  <si>
    <t>RIO VERDE 2</t>
  </si>
  <si>
    <t>-10.985920</t>
  </si>
  <si>
    <t>-42.340054</t>
  </si>
  <si>
    <t>(074) 99928-2007</t>
  </si>
  <si>
    <t>0212-0062</t>
  </si>
  <si>
    <t>ELIZABETE PEREIRA DO NASCIMENTO</t>
  </si>
  <si>
    <t>LANCH DO JOAO NETO</t>
  </si>
  <si>
    <t>PRC JOSE ALVES CARVALHO</t>
  </si>
  <si>
    <t>-11.010097</t>
  </si>
  <si>
    <t>-42.396507</t>
  </si>
  <si>
    <t>(074) 99959-9924</t>
  </si>
  <si>
    <t>0212-0077</t>
  </si>
  <si>
    <t>JANIO SILVA PAIS</t>
  </si>
  <si>
    <t>MERC E ACOG DO JANIO</t>
  </si>
  <si>
    <t>AV AVENIDA PRINCIPAL, 5</t>
  </si>
  <si>
    <t>POVOADO DE LAGES</t>
  </si>
  <si>
    <t>-10.946107</t>
  </si>
  <si>
    <t>-42.426340</t>
  </si>
  <si>
    <t>(740) 09968-3584</t>
  </si>
  <si>
    <t>0212-0087</t>
  </si>
  <si>
    <t>CLAUDIENE LOBO GOMES LTDA</t>
  </si>
  <si>
    <t>COMERCIAL FORTALEZA</t>
  </si>
  <si>
    <t>RUA RUA JOSE PEREGRINO DE SOUZA, 82</t>
  </si>
  <si>
    <t>-11.009664</t>
  </si>
  <si>
    <t>-42.393307</t>
  </si>
  <si>
    <t>(074) 99925-9661</t>
  </si>
  <si>
    <t>0212-0090</t>
  </si>
  <si>
    <t>CAIQUE CARVALHO DUARTE</t>
  </si>
  <si>
    <t>MERCADO RAFAEL</t>
  </si>
  <si>
    <t>RUA RUA DA CAIXA D AGUA, 164</t>
  </si>
  <si>
    <t>-11.013978</t>
  </si>
  <si>
    <t>-42.398130</t>
  </si>
  <si>
    <t>(074) 99946-3758</t>
  </si>
  <si>
    <t>0212-0096</t>
  </si>
  <si>
    <t>LUCIMARIO LARANJEIRA CAETANO</t>
  </si>
  <si>
    <t>MERCADINHO LUCA</t>
  </si>
  <si>
    <t>RUA RUA CENTRAL, 33</t>
  </si>
  <si>
    <t>-11.030231</t>
  </si>
  <si>
    <t>-42.179737</t>
  </si>
  <si>
    <t>(074) 99920-2225</t>
  </si>
  <si>
    <t>0212-0102</t>
  </si>
  <si>
    <t>MARIA FELIX ALVES</t>
  </si>
  <si>
    <t>COMERCIAL FELIX</t>
  </si>
  <si>
    <t>RUA RUA JOSE PEREGRINO DE SOUZA, 49</t>
  </si>
  <si>
    <t>-11.010878</t>
  </si>
  <si>
    <t>-42.397443</t>
  </si>
  <si>
    <t>0212-0106</t>
  </si>
  <si>
    <t>GEOVANA DE SOUZA CAMPOS</t>
  </si>
  <si>
    <t>BODE ASSADO DO RIO V</t>
  </si>
  <si>
    <t>AV AVENIDA PRINCIPAL</t>
  </si>
  <si>
    <t>-10.978469</t>
  </si>
  <si>
    <t>-42.357384</t>
  </si>
  <si>
    <t>(074) 99912-1935</t>
  </si>
  <si>
    <t>0212-0108</t>
  </si>
  <si>
    <t>FELIPE DOS SANTOS OLIVEIRA</t>
  </si>
  <si>
    <t>PRIME BEER</t>
  </si>
  <si>
    <t>RUA RUA DA CAIXA D AGUA, 46</t>
  </si>
  <si>
    <t>-11.012633</t>
  </si>
  <si>
    <t>-42.398180</t>
  </si>
  <si>
    <t>(074) 99981-8463</t>
  </si>
  <si>
    <t>0212-0109</t>
  </si>
  <si>
    <t>ROSELINA MAIA DA SILVA</t>
  </si>
  <si>
    <t>LANCHONETE MAIA</t>
  </si>
  <si>
    <t>RUA RUA DO PREDIO, 42</t>
  </si>
  <si>
    <t>-10.977181</t>
  </si>
  <si>
    <t>-42.356319</t>
  </si>
  <si>
    <t>(074) 99915-4820</t>
  </si>
  <si>
    <t>0212-0112</t>
  </si>
  <si>
    <t>CEONE OLIVEIRA DOURADO</t>
  </si>
  <si>
    <t>COMERCIAL DOURADO</t>
  </si>
  <si>
    <t>RUA RUA CENTRAL, 17</t>
  </si>
  <si>
    <t>-11.029100</t>
  </si>
  <si>
    <t>-42.181183</t>
  </si>
  <si>
    <t>(075) 99716-5329</t>
  </si>
  <si>
    <t>0212-0115</t>
  </si>
  <si>
    <t>MERCADINHO TEM DE TUDO LTDA</t>
  </si>
  <si>
    <t>MERCADINHO E ACOUGU</t>
  </si>
  <si>
    <t>RUA RUA DO TESTE</t>
  </si>
  <si>
    <t>-10.985509</t>
  </si>
  <si>
    <t>-42.340190</t>
  </si>
  <si>
    <t>(074) 09974-9183</t>
  </si>
  <si>
    <t>0212-0117</t>
  </si>
  <si>
    <t>ADRIANA DE SOUZA PIRES</t>
  </si>
  <si>
    <t>RESTAURANTE PIRES</t>
  </si>
  <si>
    <t>POV POVOADO VARZEA GRANDE, 102</t>
  </si>
  <si>
    <t>VARZEA GRANDE /ITAGU</t>
  </si>
  <si>
    <t>-10.907533</t>
  </si>
  <si>
    <t>-42.514214</t>
  </si>
  <si>
    <t>(074) 99968-7419</t>
  </si>
  <si>
    <t>0212-0119</t>
  </si>
  <si>
    <t>LUZINETE FELIX BONFIM</t>
  </si>
  <si>
    <t>LANCHONETE CANTINHO</t>
  </si>
  <si>
    <t>RUA RUA JOSE PEREGRINO DE SOUZA, 196</t>
  </si>
  <si>
    <t>-11.010823</t>
  </si>
  <si>
    <t>-42.396850</t>
  </si>
  <si>
    <t>0212-0123</t>
  </si>
  <si>
    <t>RENATO SOUZA BATISTA LTDA</t>
  </si>
  <si>
    <t>MERCADINHO DO RENA01</t>
  </si>
  <si>
    <t>RUA RUA JOSE PEREGRINO DE SOUZA, 3 / Q026LT0010</t>
  </si>
  <si>
    <t>-11.009761</t>
  </si>
  <si>
    <t>-42.393326</t>
  </si>
  <si>
    <t>(074) 99978-6538</t>
  </si>
  <si>
    <t>0212-0125</t>
  </si>
  <si>
    <t>MAYARA MACHADO CERQUEIRA</t>
  </si>
  <si>
    <t>PIZZARIA E ADEGA</t>
  </si>
  <si>
    <t>AV AVENIDA PRINCIPAL, 65</t>
  </si>
  <si>
    <t>LAGES / ITAGUACU</t>
  </si>
  <si>
    <t>-10.947218</t>
  </si>
  <si>
    <t>-42.426390</t>
  </si>
  <si>
    <t>(074) 99981-7518</t>
  </si>
  <si>
    <t>0212-0126</t>
  </si>
  <si>
    <t>AILSON FELIX DA FONSECA</t>
  </si>
  <si>
    <t>PADARIA FELIX</t>
  </si>
  <si>
    <t>AV PRINCIPAL 10, 10</t>
  </si>
  <si>
    <t>-10.979222</t>
  </si>
  <si>
    <t>-42.355637</t>
  </si>
  <si>
    <t>(074) 99951-5427</t>
  </si>
  <si>
    <t>0212-0128</t>
  </si>
  <si>
    <t>ROMARIO NUNES DA SILVA</t>
  </si>
  <si>
    <t>RESTAURANTE D GENI</t>
  </si>
  <si>
    <t>POV RIO VERDE A, 33</t>
  </si>
  <si>
    <t>-10.979150</t>
  </si>
  <si>
    <t>-42.355778</t>
  </si>
  <si>
    <t>(074) 99980-2745</t>
  </si>
  <si>
    <t>0212-0130</t>
  </si>
  <si>
    <t>DARIO JUNIOR CARVALHO VAZ</t>
  </si>
  <si>
    <t>COMERCIAL TERTULIANO</t>
  </si>
  <si>
    <t>RUA QUARTEL, 15</t>
  </si>
  <si>
    <t>-11.011280</t>
  </si>
  <si>
    <t>-42.397532</t>
  </si>
  <si>
    <t>(074) 09971-5558</t>
  </si>
  <si>
    <t>0212-0131</t>
  </si>
  <si>
    <t>REINILDE FRANCISCA OLIVEIRA</t>
  </si>
  <si>
    <t>MERVADINHO BOM PRECO</t>
  </si>
  <si>
    <t>TRV DO TESTE II, 19</t>
  </si>
  <si>
    <t>-10.985535</t>
  </si>
  <si>
    <t>-42.340103</t>
  </si>
  <si>
    <t>(074) 99950-9527</t>
  </si>
  <si>
    <t>0212-0132</t>
  </si>
  <si>
    <t>JAIRLAN DOS SANTOS BOMFIM</t>
  </si>
  <si>
    <t>LANCHONETE J M    01</t>
  </si>
  <si>
    <t>AV AVENIDA PRINCIPAL 2, 513</t>
  </si>
  <si>
    <t>RIO VERDE I</t>
  </si>
  <si>
    <t>-10.978484</t>
  </si>
  <si>
    <t>-42.357374</t>
  </si>
  <si>
    <t>(074) 09918-6077</t>
  </si>
  <si>
    <t>0212-0133</t>
  </si>
  <si>
    <t>RYAN DE SOUZA CERQUEIRA</t>
  </si>
  <si>
    <t>REST E POUS DO VALDI</t>
  </si>
  <si>
    <t>PRC DO PREDIO, 16</t>
  </si>
  <si>
    <t>-10.977702</t>
  </si>
  <si>
    <t>-42.357606</t>
  </si>
  <si>
    <t>(074) 99967-7982</t>
  </si>
  <si>
    <t>0212-0134</t>
  </si>
  <si>
    <t>MARIA GONCALVES DE CARVALHO</t>
  </si>
  <si>
    <t>RESTAURNT DA MARIA</t>
  </si>
  <si>
    <t>AV PRINCIPAL, 122</t>
  </si>
  <si>
    <t>-11.009666</t>
  </si>
  <si>
    <t>-42.394522</t>
  </si>
  <si>
    <t>(074) 99940-1627</t>
  </si>
  <si>
    <t>0212-0135</t>
  </si>
  <si>
    <t>GILDARIO PEREIRA DE CARVALHO</t>
  </si>
  <si>
    <t>MERCADINHO VERZEA G</t>
  </si>
  <si>
    <t>POV VARZEA GRANDE, 123</t>
  </si>
  <si>
    <t>RURAL ITAGUACU DA BA</t>
  </si>
  <si>
    <t>-10.909211</t>
  </si>
  <si>
    <t>-42.511851</t>
  </si>
  <si>
    <t>(022) 99105-3892</t>
  </si>
  <si>
    <t>0212-0136</t>
  </si>
  <si>
    <t>JOSIDARIO PEREIRA DE OLIVEIRA LTDA</t>
  </si>
  <si>
    <t>COMERCIAL DARINHO</t>
  </si>
  <si>
    <t>POV DISTRITO ZONA URBANA RIO VERDE 1, 13</t>
  </si>
  <si>
    <t>-10.985548</t>
  </si>
  <si>
    <t>-42.340594</t>
  </si>
  <si>
    <t>(074) 99983-0686</t>
  </si>
  <si>
    <t>0212-0137</t>
  </si>
  <si>
    <t>LUIZ A DA S CARVALHO MERCADINHO LTDA</t>
  </si>
  <si>
    <t>MERCADINHO M E M</t>
  </si>
  <si>
    <t>POV FAZENDA POVOADO DE FAZENDA ALMAS</t>
  </si>
  <si>
    <t>POVOADO DE FAZENDA A</t>
  </si>
  <si>
    <t>-10.985603</t>
  </si>
  <si>
    <t>-42.340230</t>
  </si>
  <si>
    <t>(074) 99957-4230</t>
  </si>
  <si>
    <t>0212-0138</t>
  </si>
  <si>
    <t>EURICO MACHADO DE AMARANTE</t>
  </si>
  <si>
    <t>MERCEARIA BRASIL</t>
  </si>
  <si>
    <t>POV DISTRITO POVOADO DE VAZERA GRANDE, 650</t>
  </si>
  <si>
    <t>-10.908642</t>
  </si>
  <si>
    <t>-42.512128</t>
  </si>
  <si>
    <t>(074) 99900-9705</t>
  </si>
  <si>
    <t>0213-0005</t>
  </si>
  <si>
    <t>MIRULINDO RODRIGUES DE JESUS NETO</t>
  </si>
  <si>
    <t>MERC DE MIRULINDO</t>
  </si>
  <si>
    <t>JOAO DOURADO</t>
  </si>
  <si>
    <t>RUA ANA OLIVEIRA R, 138</t>
  </si>
  <si>
    <t>-11.346294</t>
  </si>
  <si>
    <t>-41.664513</t>
  </si>
  <si>
    <t>(074) 99973-3434</t>
  </si>
  <si>
    <t>0213-0009</t>
  </si>
  <si>
    <t>ORLANDO DA SILVA REIS</t>
  </si>
  <si>
    <t>SPLESH BAR</t>
  </si>
  <si>
    <t>RUA AV JOAQUIM AUGUSTO, 150</t>
  </si>
  <si>
    <t>-11.346924</t>
  </si>
  <si>
    <t>-41.663033</t>
  </si>
  <si>
    <t>(074) 99979-2558</t>
  </si>
  <si>
    <t>0213-0016</t>
  </si>
  <si>
    <t>CINTIA GARDENIA REIS DE BRITO</t>
  </si>
  <si>
    <t>MERCADINHO PRISCILA</t>
  </si>
  <si>
    <t>RUA HILDONETE CARNEIRO RUA, 179</t>
  </si>
  <si>
    <t>-11.347872</t>
  </si>
  <si>
    <t>-41.658024</t>
  </si>
  <si>
    <t>(074) 99983-2101</t>
  </si>
  <si>
    <t>0213-0020</t>
  </si>
  <si>
    <t>MARIA ISABEL RODRIGUES DOS SAN</t>
  </si>
  <si>
    <t>ESPETO DE OURO    01</t>
  </si>
  <si>
    <t>AV JOAQUIM AUGUSTO, 324</t>
  </si>
  <si>
    <t>CENTRO-J.DOUR</t>
  </si>
  <si>
    <t>-11.345378</t>
  </si>
  <si>
    <t>-41.663116</t>
  </si>
  <si>
    <t>(074) 99921-0667</t>
  </si>
  <si>
    <t>0213-0021</t>
  </si>
  <si>
    <t>ERIVALDO JULIAO DE OLIVEIRA</t>
  </si>
  <si>
    <t>REST E LANCH MANA</t>
  </si>
  <si>
    <t>RUA JOAQUIM AUGUSTO AV, 480</t>
  </si>
  <si>
    <t>-11.343974</t>
  </si>
  <si>
    <t>-41.663420</t>
  </si>
  <si>
    <t>(074) 09979-3698</t>
  </si>
  <si>
    <t>0213-0022</t>
  </si>
  <si>
    <t>ALEX SANDRO FERREIRA DA SILVA</t>
  </si>
  <si>
    <t>SANDRO VARIEDADES</t>
  </si>
  <si>
    <t>RUA JOAQUIM AUGUSTO DOURADO</t>
  </si>
  <si>
    <t>-11.347102</t>
  </si>
  <si>
    <t>-41.663025</t>
  </si>
  <si>
    <t>(400) 09970-2852</t>
  </si>
  <si>
    <t>0213-0028</t>
  </si>
  <si>
    <t>RIVAN PIRES BASTOS</t>
  </si>
  <si>
    <t>REI DO SORVETE    01</t>
  </si>
  <si>
    <t>PRC PRACA GOES CALMO, 8</t>
  </si>
  <si>
    <t>-11.303213</t>
  </si>
  <si>
    <t>-41.857403</t>
  </si>
  <si>
    <t>(074) 99911-9470</t>
  </si>
  <si>
    <t>0213-0029</t>
  </si>
  <si>
    <t>PAULO SERGIO CARVALHO DA SILVA</t>
  </si>
  <si>
    <t>COMERCIAL SILVA 0089</t>
  </si>
  <si>
    <t>RUA JOAQUIM DOURADO A AV, 256</t>
  </si>
  <si>
    <t>-11.345870</t>
  </si>
  <si>
    <t>-41.663227</t>
  </si>
  <si>
    <t>(074) 99995-1376</t>
  </si>
  <si>
    <t>0213-0031</t>
  </si>
  <si>
    <t>J G DE MIRANDA</t>
  </si>
  <si>
    <t>COMERCIAL MANINHO</t>
  </si>
  <si>
    <t>RUA JOSE ALVES DE ANDRADE R, 375</t>
  </si>
  <si>
    <t>-11.350318</t>
  </si>
  <si>
    <t>-41.663620</t>
  </si>
  <si>
    <t>(740) 99978-7208</t>
  </si>
  <si>
    <t>0213-0032</t>
  </si>
  <si>
    <t>ANTONIO CARLOS ALVES DA ROCHA</t>
  </si>
  <si>
    <t>MINI MERCADO EXTRA</t>
  </si>
  <si>
    <t>RUA RUA JOANA ANGELICA, 4</t>
  </si>
  <si>
    <t>CENTRO J DOURADO</t>
  </si>
  <si>
    <t>-11.351755</t>
  </si>
  <si>
    <t>-41.663273</t>
  </si>
  <si>
    <t>(074) 99966-9853</t>
  </si>
  <si>
    <t>0213-0045</t>
  </si>
  <si>
    <t>VALDEIQ FRANCISCO DE SOUZA</t>
  </si>
  <si>
    <t>MERCADINHO MODELO</t>
  </si>
  <si>
    <t>PRC PCA MANOEL MARQUES FRANC, 150</t>
  </si>
  <si>
    <t>-11.348703</t>
  </si>
  <si>
    <t>-41.663128</t>
  </si>
  <si>
    <t>(740) 99999-9585</t>
  </si>
  <si>
    <t>0213-0047</t>
  </si>
  <si>
    <t>ADEMAR PEREIRA DO NASCMENTO</t>
  </si>
  <si>
    <t>BAR DO ARAPONGA</t>
  </si>
  <si>
    <t>RUA JOSE ALVES DE ANDRADE, 412</t>
  </si>
  <si>
    <t>CENTRO J DOUR</t>
  </si>
  <si>
    <t>-11.350537</t>
  </si>
  <si>
    <t>-41.663136</t>
  </si>
  <si>
    <t>(074) 99947-7627</t>
  </si>
  <si>
    <t>0213-0054</t>
  </si>
  <si>
    <t>JOSE ENDES FERREIRA FARIAS</t>
  </si>
  <si>
    <t>MERCADO ENDES</t>
  </si>
  <si>
    <t>RUA RUA DIVINO ESPIRITO SANTO, 306</t>
  </si>
  <si>
    <t>CALDEIRAO DE JACO</t>
  </si>
  <si>
    <t>-11.356292</t>
  </si>
  <si>
    <t>-41.600990</t>
  </si>
  <si>
    <t>(074) 99973-8981</t>
  </si>
  <si>
    <t>0213-0063</t>
  </si>
  <si>
    <t>ALTEVALDO ALVES DE SOUZA</t>
  </si>
  <si>
    <t>MERCADINHO TEM DE TU</t>
  </si>
  <si>
    <t>RUA RUA SAO LUIZ, 542</t>
  </si>
  <si>
    <t>-11.343331</t>
  </si>
  <si>
    <t>-41.657620</t>
  </si>
  <si>
    <t>(074) 99953-3121</t>
  </si>
  <si>
    <t>0213-0069</t>
  </si>
  <si>
    <t>JOSE RODRIGUES NETO</t>
  </si>
  <si>
    <t>MERCADINHO SAO JOS08</t>
  </si>
  <si>
    <t>AV AV BELO CAMPO, 59</t>
  </si>
  <si>
    <t>GAMELEIRA DOS CRENTE</t>
  </si>
  <si>
    <t>-11.394445</t>
  </si>
  <si>
    <t>-41.698357</t>
  </si>
  <si>
    <t>(740) 99908-1710</t>
  </si>
  <si>
    <t>0213-0077</t>
  </si>
  <si>
    <t>ANTONIO DOS SANTOS SILVA</t>
  </si>
  <si>
    <t>MERCADINHO DA ECONOM</t>
  </si>
  <si>
    <t>AV AV LINDOLFO CARDOSO, 301</t>
  </si>
  <si>
    <t>-11.352288</t>
  </si>
  <si>
    <t>-41.663963</t>
  </si>
  <si>
    <t>(740) 09999-3957</t>
  </si>
  <si>
    <t>0213-0085</t>
  </si>
  <si>
    <t>GENIVALDO DA SILVA DINIZ</t>
  </si>
  <si>
    <t>MERCADO PAGUE MANOS</t>
  </si>
  <si>
    <t>RUA CANNA, 10</t>
  </si>
  <si>
    <t>CENTRO J.DOURAD</t>
  </si>
  <si>
    <t>-11.342631</t>
  </si>
  <si>
    <t>-41.660164</t>
  </si>
  <si>
    <t>(074) 99936-5547</t>
  </si>
  <si>
    <t>0213-0100</t>
  </si>
  <si>
    <t>ADRIANO MANGABEIRA DE JESUS</t>
  </si>
  <si>
    <t>MERCADINHO BOM GOSTO</t>
  </si>
  <si>
    <t>PRC PRACA VITOR MOREIRA, 433</t>
  </si>
  <si>
    <t>CENTRO - GAMELE</t>
  </si>
  <si>
    <t>-11.391933</t>
  </si>
  <si>
    <t>-41.700810</t>
  </si>
  <si>
    <t>(074) 99806-7040</t>
  </si>
  <si>
    <t>0213-0102</t>
  </si>
  <si>
    <t>BANANA CAFE</t>
  </si>
  <si>
    <t>BANANA CAFE LTDA</t>
  </si>
  <si>
    <t>RUA LIMA, 22</t>
  </si>
  <si>
    <t>-11.348543</t>
  </si>
  <si>
    <t>-41.663105</t>
  </si>
  <si>
    <t>(074) 99927-9379</t>
  </si>
  <si>
    <t>0213-0109</t>
  </si>
  <si>
    <t>ADELZI ALVES DA SILVA NUNES ME</t>
  </si>
  <si>
    <t>MERCADINHO OLIVEIR04</t>
  </si>
  <si>
    <t>RUA JOSE ALVES DE ANDRADE, 334</t>
  </si>
  <si>
    <t>-11.350692</t>
  </si>
  <si>
    <t>-41.664104</t>
  </si>
  <si>
    <t>(074) 09954-5692</t>
  </si>
  <si>
    <t>0213-0110</t>
  </si>
  <si>
    <t>FRANCISCO LEITE DA SILVA</t>
  </si>
  <si>
    <t>MERCADINHO KL</t>
  </si>
  <si>
    <t>RUA RUA ADELMO DOURADO, 54</t>
  </si>
  <si>
    <t>-11.331037</t>
  </si>
  <si>
    <t>-41.778442</t>
  </si>
  <si>
    <t>(740) 09969-8836</t>
  </si>
  <si>
    <t>0213-0111</t>
  </si>
  <si>
    <t>MARIZA GOMES DE MORAES</t>
  </si>
  <si>
    <t>MINI REST E ACARAJE</t>
  </si>
  <si>
    <t>RUA BENJAMIN SILVA, 87</t>
  </si>
  <si>
    <t>-11.351283</t>
  </si>
  <si>
    <t>-41.666843</t>
  </si>
  <si>
    <t>(074) 99952-3678</t>
  </si>
  <si>
    <t>0213-0114</t>
  </si>
  <si>
    <t>JOSE ARNALDO ROSENDO DA SILVA</t>
  </si>
  <si>
    <t>RESTAURANTE 2 MARIAS</t>
  </si>
  <si>
    <t>AV AVENIDA BA 052, 999</t>
  </si>
  <si>
    <t>-11.344108</t>
  </si>
  <si>
    <t>-41.643833</t>
  </si>
  <si>
    <t>(074) 99988-5292</t>
  </si>
  <si>
    <t>0213-0118</t>
  </si>
  <si>
    <t>EDNALVA VIANA DE VASCONCELOS</t>
  </si>
  <si>
    <t>LANCHONETE DA NALVA</t>
  </si>
  <si>
    <t>PRC PRACA JOAO DOURADO, 804</t>
  </si>
  <si>
    <t>-11.348200</t>
  </si>
  <si>
    <t>-41.662716</t>
  </si>
  <si>
    <t>(074) 99969-0174</t>
  </si>
  <si>
    <t>0213-0127</t>
  </si>
  <si>
    <t>MAILMA MABEL SAMPAIO VASCONCELOS</t>
  </si>
  <si>
    <t>MERC ALEGRIA COMPRAR</t>
  </si>
  <si>
    <t>PRC PRACA VITOR MOREIRA, 459</t>
  </si>
  <si>
    <t>GAMELEIRA CRENTES</t>
  </si>
  <si>
    <t>-11.392250</t>
  </si>
  <si>
    <t>-41.698227</t>
  </si>
  <si>
    <t>(740) 99945-8061</t>
  </si>
  <si>
    <t>0213-0129</t>
  </si>
  <si>
    <t>OSVALDO MARQUES GOMES</t>
  </si>
  <si>
    <t>MERCADO MARQUES   01</t>
  </si>
  <si>
    <t>RUA RUA 21 DE ABRIL, 321</t>
  </si>
  <si>
    <t>-11.341974</t>
  </si>
  <si>
    <t>-41.666294</t>
  </si>
  <si>
    <t>(740) 99966-9036</t>
  </si>
  <si>
    <t>0213-0134</t>
  </si>
  <si>
    <t>ARNALDO QUIRINO DE QUEIROZ</t>
  </si>
  <si>
    <t>PADARIA QUEIROZ</t>
  </si>
  <si>
    <t>PRC DO COMERCIO, 235</t>
  </si>
  <si>
    <t>-11.340673</t>
  </si>
  <si>
    <t>-41.744534</t>
  </si>
  <si>
    <t>(740) 99956-4039</t>
  </si>
  <si>
    <t>0213-0136</t>
  </si>
  <si>
    <t>JOSE VICENTE DA SILVA</t>
  </si>
  <si>
    <t>LANCHONETE AVENIDA</t>
  </si>
  <si>
    <t>AV JOAQUIM AUGUSTO DOURADO, 254</t>
  </si>
  <si>
    <t>-11.346058</t>
  </si>
  <si>
    <t>-41.663265</t>
  </si>
  <si>
    <t>9991-2049</t>
  </si>
  <si>
    <t>0213-0170</t>
  </si>
  <si>
    <t>ATANAEL BATISTA LIMA</t>
  </si>
  <si>
    <t>COMERCIAL LIMA 02</t>
  </si>
  <si>
    <t>RUA ANTONIO PERREIRA DA CRUZ, 24</t>
  </si>
  <si>
    <t>MATA DO MILHO</t>
  </si>
  <si>
    <t>-11.173889</t>
  </si>
  <si>
    <t>-41.428055</t>
  </si>
  <si>
    <t>(400) 03697-5055</t>
  </si>
  <si>
    <t>0213-0171</t>
  </si>
  <si>
    <t>RAQUEL SOARES DE SOUZA</t>
  </si>
  <si>
    <t>PADARIA PAO NOSSO</t>
  </si>
  <si>
    <t>PRC PRACA JOAO DOURADO, 798</t>
  </si>
  <si>
    <t>-11.348085</t>
  </si>
  <si>
    <t>-41.662724</t>
  </si>
  <si>
    <t>(074) 99994-3220</t>
  </si>
  <si>
    <t>0213-0175</t>
  </si>
  <si>
    <t>GILDERLEI BORGES MOLFI ROCHA</t>
  </si>
  <si>
    <t>POINT DA CLAUDINHA</t>
  </si>
  <si>
    <t>PRC DO CENTRO</t>
  </si>
  <si>
    <t>-11.348237</t>
  </si>
  <si>
    <t>-41.662500</t>
  </si>
  <si>
    <t>(074) 99924-3603</t>
  </si>
  <si>
    <t>0213-0176</t>
  </si>
  <si>
    <t>JAILSON DE ALMEIDA MARTINS</t>
  </si>
  <si>
    <t>MERC AVENIDA 01</t>
  </si>
  <si>
    <t>RUA ANTONIO PEREIRA DA CRUZ</t>
  </si>
  <si>
    <t>POV MATA DO MILHO</t>
  </si>
  <si>
    <t>-11.173908</t>
  </si>
  <si>
    <t>-41.428830</t>
  </si>
  <si>
    <t>(400) 09959-6982</t>
  </si>
  <si>
    <t>0213-0200</t>
  </si>
  <si>
    <t>MARIA DAS DORES DE LIMA SOUZA</t>
  </si>
  <si>
    <t>MERCEARIA RMD</t>
  </si>
  <si>
    <t>AV AV SANTO AMARO, 482</t>
  </si>
  <si>
    <t>-11.347555</t>
  </si>
  <si>
    <t>-41.655827</t>
  </si>
  <si>
    <t>(074) 99932-4026</t>
  </si>
  <si>
    <t>0213-0216</t>
  </si>
  <si>
    <t>FABIO LIMA PERREIRA</t>
  </si>
  <si>
    <t>PADARIA KI PAO</t>
  </si>
  <si>
    <t>RUA RUA SAO LUIZ, 446</t>
  </si>
  <si>
    <t>-11.343892</t>
  </si>
  <si>
    <t>-41.657734</t>
  </si>
  <si>
    <t>(074) 09957-0105</t>
  </si>
  <si>
    <t>0213-0226</t>
  </si>
  <si>
    <t>KLEBER ALVES FREITAS</t>
  </si>
  <si>
    <t>KASA DO CAMELOR</t>
  </si>
  <si>
    <t>AV LINDOLFO CARDOSO, 412</t>
  </si>
  <si>
    <t>-11.351911</t>
  </si>
  <si>
    <t>-41.664852</t>
  </si>
  <si>
    <t>(074) 99999-1551</t>
  </si>
  <si>
    <t>0213-0227</t>
  </si>
  <si>
    <t>MARIA LUCIA SILVA REIS</t>
  </si>
  <si>
    <t>REST TEMPERO BAIANO</t>
  </si>
  <si>
    <t>RUA RUA AVONI LOULA 470, 470</t>
  </si>
  <si>
    <t>BR</t>
  </si>
  <si>
    <t>-11.340544</t>
  </si>
  <si>
    <t>-41.667908</t>
  </si>
  <si>
    <t>(074) 99941-1058</t>
  </si>
  <si>
    <t>0213-0228</t>
  </si>
  <si>
    <t>ANTONIO LOPES DA SILVA</t>
  </si>
  <si>
    <t>MERCADO SANTO AMARO</t>
  </si>
  <si>
    <t>RUA R SANTO AMARO, 625</t>
  </si>
  <si>
    <t>-11.346786</t>
  </si>
  <si>
    <t>-41.651390</t>
  </si>
  <si>
    <t>(074) 99981-0866</t>
  </si>
  <si>
    <t>0213-0235</t>
  </si>
  <si>
    <t>COMERCIAL DE ALIMENTOS MANDU LTDA</t>
  </si>
  <si>
    <t>MERCADO PAJEU</t>
  </si>
  <si>
    <t>AV AV JOSE ALVES DE ANDRADE, 586</t>
  </si>
  <si>
    <t>-11.350237</t>
  </si>
  <si>
    <t>-41.661470</t>
  </si>
  <si>
    <t>(074) 99920-3557</t>
  </si>
  <si>
    <t>0213-0238</t>
  </si>
  <si>
    <t>SUELI FERREIRA PASSOS DA CRUZ</t>
  </si>
  <si>
    <t>MERCADOVALFREDO</t>
  </si>
  <si>
    <t>RUA SAO LUIZ, 117</t>
  </si>
  <si>
    <t>-11.346802</t>
  </si>
  <si>
    <t>-41.658413</t>
  </si>
  <si>
    <t>(074) 99969-1114</t>
  </si>
  <si>
    <t>0213-0243</t>
  </si>
  <si>
    <t>CHEURISTON DOURADO MAGALHAES</t>
  </si>
  <si>
    <t>MERCADO JD</t>
  </si>
  <si>
    <t>RUA HILDITE DA SILVA DOURADO, 831</t>
  </si>
  <si>
    <t>-11.349421</t>
  </si>
  <si>
    <t>-41.659405</t>
  </si>
  <si>
    <t>(074) 99978-4330</t>
  </si>
  <si>
    <t>0213-0260</t>
  </si>
  <si>
    <t>VALNIETE PEREIRA DO ESPIRITO SANTO</t>
  </si>
  <si>
    <t>RESTAURANTE RV</t>
  </si>
  <si>
    <t>POV POVOADO MATA DO MILHO 236, 236</t>
  </si>
  <si>
    <t>-11.183816</t>
  </si>
  <si>
    <t>-41.425262</t>
  </si>
  <si>
    <t>(074) 99979-2700</t>
  </si>
  <si>
    <t>0213-0264</t>
  </si>
  <si>
    <t>ADRIANA BASTOS DA SILVA</t>
  </si>
  <si>
    <t>DISTRIBUIDOR EMPORIO</t>
  </si>
  <si>
    <t>RUA CARNEIRO JUNIOR, 567</t>
  </si>
  <si>
    <t>-11.342696</t>
  </si>
  <si>
    <t>-41.656807</t>
  </si>
  <si>
    <t>(074) 99957-7714</t>
  </si>
  <si>
    <t>0213-0274</t>
  </si>
  <si>
    <t>EDILSON MAURICIO SODRE</t>
  </si>
  <si>
    <t>PIZZARIA SILVA 2</t>
  </si>
  <si>
    <t>RUA RUA ADONIAS CARNEIRO, 34</t>
  </si>
  <si>
    <t>-11.347627</t>
  </si>
  <si>
    <t>-41.660160</t>
  </si>
  <si>
    <t>(074) 99936-9789</t>
  </si>
  <si>
    <t>0213-0275</t>
  </si>
  <si>
    <t>JOSE MIGUEL MIRANDA SILVA NETO</t>
  </si>
  <si>
    <t>MERC PANIF JACO</t>
  </si>
  <si>
    <t>AV DEVINO ESPIRITO SANTO, 100</t>
  </si>
  <si>
    <t>CALDEIRAO DO JACO</t>
  </si>
  <si>
    <t>-11.356015</t>
  </si>
  <si>
    <t>-41.601970</t>
  </si>
  <si>
    <t>(074) 99953-3296</t>
  </si>
  <si>
    <t>0213-0277</t>
  </si>
  <si>
    <t>DAIANE FREIRE DA SILVA</t>
  </si>
  <si>
    <t>MERCADO NOVO CANAL</t>
  </si>
  <si>
    <t>TRV TRAVES 3 NOVO CANAL, 49</t>
  </si>
  <si>
    <t>NOVO CANAL</t>
  </si>
  <si>
    <t>-11.347213</t>
  </si>
  <si>
    <t>-41.646250</t>
  </si>
  <si>
    <t>(074) 99963-4085</t>
  </si>
  <si>
    <t>0213-0278</t>
  </si>
  <si>
    <t>NILSON OSVALDO ALVES</t>
  </si>
  <si>
    <t>BAR LAVAGEM CACHEADO</t>
  </si>
  <si>
    <t>RUA RUA ET JOAO DOURADO CCS2, 100</t>
  </si>
  <si>
    <t>-11.339748</t>
  </si>
  <si>
    <t>-41.668530</t>
  </si>
  <si>
    <t>(074) 99918-9475</t>
  </si>
  <si>
    <t>0213-0282</t>
  </si>
  <si>
    <t>VALERIANO BRITO DE SANTANA</t>
  </si>
  <si>
    <t>DIST IRMAOS SANTANA</t>
  </si>
  <si>
    <t>AV AVENIDA JOSE ALVES DE ANDRADE, 588</t>
  </si>
  <si>
    <t>-11.350193</t>
  </si>
  <si>
    <t>-41.661575</t>
  </si>
  <si>
    <t>(074) 99921-0068</t>
  </si>
  <si>
    <t>0213-0283</t>
  </si>
  <si>
    <t>ELISMARIO VICENTE DE MIRANDA</t>
  </si>
  <si>
    <t>MERCEARIA E LANCHONE</t>
  </si>
  <si>
    <t>RUA RUA DEOCLECIANO BARRETO, 648</t>
  </si>
  <si>
    <t>-11.549292</t>
  </si>
  <si>
    <t>-41.163570</t>
  </si>
  <si>
    <t>(074) 98130-6470</t>
  </si>
  <si>
    <t>0213-0288</t>
  </si>
  <si>
    <t>DEBORA OLIVEIRA DA SILVA</t>
  </si>
  <si>
    <t>LANCHONETE TO ATOA</t>
  </si>
  <si>
    <t>RUA CASTELO BRANCO, 112</t>
  </si>
  <si>
    <t>-11.344149</t>
  </si>
  <si>
    <t>-41.666576</t>
  </si>
  <si>
    <t>(074) 99999-2403</t>
  </si>
  <si>
    <t>0213-0298</t>
  </si>
  <si>
    <t>GILBERTO BARBOSA DE MELO FERRAZ</t>
  </si>
  <si>
    <t>REST TEMP NORDESTINO</t>
  </si>
  <si>
    <t>PRC MANOEL M FRANCA, 210</t>
  </si>
  <si>
    <t>-11.347387</t>
  </si>
  <si>
    <t>-41.663493</t>
  </si>
  <si>
    <t>(074) 99916-5504</t>
  </si>
  <si>
    <t>0213-0301</t>
  </si>
  <si>
    <t>PAULO SERGIO IGNACIO DOS SANTOS</t>
  </si>
  <si>
    <t>MIX LANCHES E CONVEN</t>
  </si>
  <si>
    <t>RUA BELA VISTA, 224</t>
  </si>
  <si>
    <t>-11.345206</t>
  </si>
  <si>
    <t>-41.666664</t>
  </si>
  <si>
    <t>(074) 99966-4361</t>
  </si>
  <si>
    <t>0213-0306</t>
  </si>
  <si>
    <t>FLAVIO SOUZA SANTOS</t>
  </si>
  <si>
    <t>BOB LANCHES 02</t>
  </si>
  <si>
    <t>AV AVENIDA JOAQUIM AUGUSTO, 71</t>
  </si>
  <si>
    <t>-11.347665</t>
  </si>
  <si>
    <t>(073) 99860-6588</t>
  </si>
  <si>
    <t>0213-0314</t>
  </si>
  <si>
    <t>CRISTIANO SANTOS GONSALVES</t>
  </si>
  <si>
    <t>EMPOR CARNES E FRIOS</t>
  </si>
  <si>
    <t>AV AVENIDA JOAQUIM AUGUSTO, 131</t>
  </si>
  <si>
    <t>-11.347227</t>
  </si>
  <si>
    <t>-41.663080</t>
  </si>
  <si>
    <t>(074) 99996-8435</t>
  </si>
  <si>
    <t>0213-0315</t>
  </si>
  <si>
    <t>ZONDONAIDE CORREIA DE OLIVEIRA</t>
  </si>
  <si>
    <t>LANCHONETE JN</t>
  </si>
  <si>
    <t>RUA RUA ISIDORIO CARDOSO, 392</t>
  </si>
  <si>
    <t>-11.393826</t>
  </si>
  <si>
    <t>-41.696346</t>
  </si>
  <si>
    <t>(074) 99913-6976</t>
  </si>
  <si>
    <t>0213-0317</t>
  </si>
  <si>
    <t>MICAEL FRANKLIN OLIVEIRA SANTOS DE JESUS</t>
  </si>
  <si>
    <t>PECAS BICICLETAS JD</t>
  </si>
  <si>
    <t>AV AVENIDA JOAQUIM AUGUSTO, 625</t>
  </si>
  <si>
    <t>-11.342671</t>
  </si>
  <si>
    <t>-41.663290</t>
  </si>
  <si>
    <t>(074) 99971-8872</t>
  </si>
  <si>
    <t>0213-0321</t>
  </si>
  <si>
    <t>DANIEL DE JESUS ROSA</t>
  </si>
  <si>
    <t>DISTRIBUIDORA DANIEL</t>
  </si>
  <si>
    <t>RUA ANTONIO V DE ALENCAR, 107</t>
  </si>
  <si>
    <t>-11.347811</t>
  </si>
  <si>
    <t>-41.645730</t>
  </si>
  <si>
    <t>(074) 99968-6530</t>
  </si>
  <si>
    <t>0213-0330</t>
  </si>
  <si>
    <t>AGEU BELIZARIO DOS SANTOS</t>
  </si>
  <si>
    <t>CONVENIENCI COPA 70</t>
  </si>
  <si>
    <t>AV AVENIDA JOAQUIM AUGUSTO, 788</t>
  </si>
  <si>
    <t>-11.341332</t>
  </si>
  <si>
    <t>-41.662926</t>
  </si>
  <si>
    <t>(074) 99913-0627</t>
  </si>
  <si>
    <t>0213-0331</t>
  </si>
  <si>
    <t>ANALINE DE SOUZA SANTOS MAIA</t>
  </si>
  <si>
    <t>MERCEARIA SOUZA   01</t>
  </si>
  <si>
    <t>AV AVENIDA JOSE ALVES DE ANDRADE, 1713</t>
  </si>
  <si>
    <t>-11.348080</t>
  </si>
  <si>
    <t>-41.651660</t>
  </si>
  <si>
    <t>(062) 99951-2732</t>
  </si>
  <si>
    <t>0213-0333</t>
  </si>
  <si>
    <t>ROGERIO UILIAN NUNES DOURADO VASCONCELOS</t>
  </si>
  <si>
    <t>NA ROTA</t>
  </si>
  <si>
    <t>EST ESTRADA BA 052 KM 332, 332</t>
  </si>
  <si>
    <t>-11.340868</t>
  </si>
  <si>
    <t>-41.657250</t>
  </si>
  <si>
    <t>(074) 99906-2620</t>
  </si>
  <si>
    <t>0213-0336</t>
  </si>
  <si>
    <t>EDILEUZA ALVES ALECRIM</t>
  </si>
  <si>
    <t>MERCADO ALECRIM</t>
  </si>
  <si>
    <t>RUA RUA DA GAMELEIRA, 90</t>
  </si>
  <si>
    <t>-11.351087</t>
  </si>
  <si>
    <t>-41.665035</t>
  </si>
  <si>
    <t>(074) 99951-1746</t>
  </si>
  <si>
    <t>0213-0338</t>
  </si>
  <si>
    <t>NILTON LIMA DOS SANTOS</t>
  </si>
  <si>
    <t>MERCADO DO NLTON</t>
  </si>
  <si>
    <t>RUA RUA SANTO AMARO, 622</t>
  </si>
  <si>
    <t>-11.346805</t>
  </si>
  <si>
    <t>-41.651512</t>
  </si>
  <si>
    <t>(074) 99907-3013</t>
  </si>
  <si>
    <t>0213-0339</t>
  </si>
  <si>
    <t>JACIEL ALVES DE ALMEIDA</t>
  </si>
  <si>
    <t>MERCADO CASTELO BRAN</t>
  </si>
  <si>
    <t>RUA CASTELO BRANCO, 135</t>
  </si>
  <si>
    <t>-11.344002</t>
  </si>
  <si>
    <t>-41.666626</t>
  </si>
  <si>
    <t>(074) 99982-0243</t>
  </si>
  <si>
    <t>0213-0341</t>
  </si>
  <si>
    <t>LAISA BEATRIZ GOMES DOS ANJOS</t>
  </si>
  <si>
    <t>MERCADO NOVO BAIRR02</t>
  </si>
  <si>
    <t>RUA RUA ANA OLIVEIRA N, 424</t>
  </si>
  <si>
    <t>-11.342965</t>
  </si>
  <si>
    <t>-41.665005</t>
  </si>
  <si>
    <t>(074) 99962-6983</t>
  </si>
  <si>
    <t>0213-0343</t>
  </si>
  <si>
    <t>CANAL DO ACAI JD LTDA</t>
  </si>
  <si>
    <t>CANAL DO ACAI</t>
  </si>
  <si>
    <t>ROD RODOVIA BA 052, 4</t>
  </si>
  <si>
    <t>ESTRADA DO FEIJAO</t>
  </si>
  <si>
    <t>-11.341763</t>
  </si>
  <si>
    <t>-41.657140</t>
  </si>
  <si>
    <t>(074) 99980-1337</t>
  </si>
  <si>
    <t>0213-0345</t>
  </si>
  <si>
    <t>WILLIAN PIRES SEVERGNINI LTDA</t>
  </si>
  <si>
    <t>CHURRA CHIMARRAO</t>
  </si>
  <si>
    <t>ROD RODOVIA BA KM 331 52, 7444</t>
  </si>
  <si>
    <t>-11.340826</t>
  </si>
  <si>
    <t>-41.656994</t>
  </si>
  <si>
    <t>(048) 99945-5965</t>
  </si>
  <si>
    <t>0213-0346</t>
  </si>
  <si>
    <t>EVAILTON MOREIRA DA SILVA</t>
  </si>
  <si>
    <t>NUNES SALGADOS    01</t>
  </si>
  <si>
    <t>PRC MANOEL M FRANCA, 28</t>
  </si>
  <si>
    <t>-11.346868</t>
  </si>
  <si>
    <t>-41.663390</t>
  </si>
  <si>
    <t>(074) 99911-1674</t>
  </si>
  <si>
    <t>0213-0350</t>
  </si>
  <si>
    <t>AGNALDO MAIA DA SILVA</t>
  </si>
  <si>
    <t>TRAILER GABI LANCHE</t>
  </si>
  <si>
    <t>ROD RODOVIA BA 052 KM 333, 1122</t>
  </si>
  <si>
    <t>-11.347008</t>
  </si>
  <si>
    <t>-41.663557</t>
  </si>
  <si>
    <t>(074) 99988-0788</t>
  </si>
  <si>
    <t>0213-0353</t>
  </si>
  <si>
    <t>VINICIUS SANTOS AGUIAR</t>
  </si>
  <si>
    <t>PRATO CHEIO</t>
  </si>
  <si>
    <t>RUA RUA JOSEBIAS CARDOSO 144, 144</t>
  </si>
  <si>
    <t>-11.341315</t>
  </si>
  <si>
    <t>-41.661854</t>
  </si>
  <si>
    <t>(074) 09981-9802</t>
  </si>
  <si>
    <t>0213-0354</t>
  </si>
  <si>
    <t>THATIANY DOURADO MOREIRA</t>
  </si>
  <si>
    <t>ACAI JOAO DOURADO</t>
  </si>
  <si>
    <t>AV AVENIDA JOAQUIM AUGUSTO, 212</t>
  </si>
  <si>
    <t>-11.346237</t>
  </si>
  <si>
    <t>-41.663060</t>
  </si>
  <si>
    <t>0213-0355</t>
  </si>
  <si>
    <t>RONIVON DA SILVA MENEZES DE SOUZA</t>
  </si>
  <si>
    <t>COMERCIAL RM      01</t>
  </si>
  <si>
    <t>RUA RUA DA TORRE, 45 / POV</t>
  </si>
  <si>
    <t>DESCOBERTA DOS PIROC</t>
  </si>
  <si>
    <t>-11.211498</t>
  </si>
  <si>
    <t>-41.655000</t>
  </si>
  <si>
    <t>(074) 09962-0090</t>
  </si>
  <si>
    <t>0213-0359</t>
  </si>
  <si>
    <t>LUCIMAURA DA CONCEICAO SILVA FREIRE</t>
  </si>
  <si>
    <t>BAR DA GRADE</t>
  </si>
  <si>
    <t>RUA RUA JOSEBIAS CARDOSO, 300</t>
  </si>
  <si>
    <t>-11.341630</t>
  </si>
  <si>
    <t>-41.657207</t>
  </si>
  <si>
    <t>(074) 99995-3704</t>
  </si>
  <si>
    <t>0213-0362</t>
  </si>
  <si>
    <t>ANTONIO RAIMUNDO FERREIRA MELO</t>
  </si>
  <si>
    <t>VAPT VAPT</t>
  </si>
  <si>
    <t>RUA RUA DURVAL COSTA, 129</t>
  </si>
  <si>
    <t>-11.346679</t>
  </si>
  <si>
    <t>-41.659800</t>
  </si>
  <si>
    <t>(074) 99969-0099</t>
  </si>
  <si>
    <t>0213-0364</t>
  </si>
  <si>
    <t>JONAN DOURADO DE AMORIM LTDA</t>
  </si>
  <si>
    <t>BABY BEEF ACOUGUE E</t>
  </si>
  <si>
    <t>AV AVENIDA JOAQUIM AUGUSTO, 181</t>
  </si>
  <si>
    <t>-11.346335</t>
  </si>
  <si>
    <t>-41.663162</t>
  </si>
  <si>
    <t>(075) 99965-2169</t>
  </si>
  <si>
    <t>0213-0366</t>
  </si>
  <si>
    <t>JOICIANE SOUZA TELES</t>
  </si>
  <si>
    <t>RECANTO DO SABOR</t>
  </si>
  <si>
    <t>LOT LOTEAMENTO SAO JOSE, 146</t>
  </si>
  <si>
    <t>-11.338794</t>
  </si>
  <si>
    <t>(074) 99945-1195</t>
  </si>
  <si>
    <t>0213-0367</t>
  </si>
  <si>
    <t>CELMA AGUEDA LOPES DOS SANTOS</t>
  </si>
  <si>
    <t>MERCADO SUPER MINI</t>
  </si>
  <si>
    <t>PRC PRACA JOAO DOURADO, 502</t>
  </si>
  <si>
    <t>-11.347856</t>
  </si>
  <si>
    <t>-41.660010</t>
  </si>
  <si>
    <t>(074) 99904-2069</t>
  </si>
  <si>
    <t>0213-0371</t>
  </si>
  <si>
    <t>JARDEL JACO DA SILVA SANTOS</t>
  </si>
  <si>
    <t>MERCADO JR        01</t>
  </si>
  <si>
    <t>RUA RUA BENJAMIM SILVA, 210</t>
  </si>
  <si>
    <t>-11.351145</t>
  </si>
  <si>
    <t>-41.667900</t>
  </si>
  <si>
    <t>(074) 99927-6967</t>
  </si>
  <si>
    <t>0213-0373</t>
  </si>
  <si>
    <t>MARCELO GUERREIRO DE OLIVEIRA</t>
  </si>
  <si>
    <t>BLEDS BURGUER</t>
  </si>
  <si>
    <t>RUA RUA SANTOS DUMONT, 109</t>
  </si>
  <si>
    <t>-11.342797</t>
  </si>
  <si>
    <t>-41.659290</t>
  </si>
  <si>
    <t>(074) 99905-9784</t>
  </si>
  <si>
    <t>0213-0375</t>
  </si>
  <si>
    <t>OSMAR BATISTA BASTOS</t>
  </si>
  <si>
    <t>PIZZARIA OSMAR</t>
  </si>
  <si>
    <t>RUA RUA SAO LUIZ, 33</t>
  </si>
  <si>
    <t>-11.347424</t>
  </si>
  <si>
    <t>-41.658386</t>
  </si>
  <si>
    <t>(074) 99982-2765</t>
  </si>
  <si>
    <t>0213-0376</t>
  </si>
  <si>
    <t>MARGARIDA LEITE DA SILVA</t>
  </si>
  <si>
    <t>RESTAURANT DA BRANCA</t>
  </si>
  <si>
    <t>10R RUA PEDRO PEREIRA, 9</t>
  </si>
  <si>
    <t>-11.350432</t>
  </si>
  <si>
    <t>-41.661423</t>
  </si>
  <si>
    <t>(074) 99988-3549</t>
  </si>
  <si>
    <t>0213-0377</t>
  </si>
  <si>
    <t>EVACI EPUNINA DE OLIVEIRA CARDOSO</t>
  </si>
  <si>
    <t>MERCADO OLIVEIRA  02</t>
  </si>
  <si>
    <t>10R RUA SANTO AMARO, 605</t>
  </si>
  <si>
    <t>-11.346870</t>
  </si>
  <si>
    <t>-41.651590</t>
  </si>
  <si>
    <t>(074) 99940-8956</t>
  </si>
  <si>
    <t>0213-0378</t>
  </si>
  <si>
    <t>ROSANIA NUNES DOS SANTOS</t>
  </si>
  <si>
    <t>LANCHONETE RR NUNES</t>
  </si>
  <si>
    <t>AV AVENIDA JOAQUIM AUGUSTO, 34</t>
  </si>
  <si>
    <t>-11.347846</t>
  </si>
  <si>
    <t>-41.662950</t>
  </si>
  <si>
    <t>(074) 99997-7025</t>
  </si>
  <si>
    <t>0213-0379</t>
  </si>
  <si>
    <t>ANTONIO PEREIRA DOS SANTOS BENEVIDES</t>
  </si>
  <si>
    <t>MERC BENEVIDES PHD</t>
  </si>
  <si>
    <t>PRC PRACA VITOR MOREIRA, 431</t>
  </si>
  <si>
    <t>-11.392015</t>
  </si>
  <si>
    <t>-41.699420</t>
  </si>
  <si>
    <t>(074) 99806-5688</t>
  </si>
  <si>
    <t>0213-0381</t>
  </si>
  <si>
    <t>ALINE ELIAS DA SILVA SANTANA</t>
  </si>
  <si>
    <t>CHURASC BOI BRASA</t>
  </si>
  <si>
    <t>AV AV JOAQUIM AUGUSTO, 507</t>
  </si>
  <si>
    <t>-11.343933</t>
  </si>
  <si>
    <t>-41.663395</t>
  </si>
  <si>
    <t>(074) 99912-2074</t>
  </si>
  <si>
    <t>0213-0383</t>
  </si>
  <si>
    <t>OSENILDO LEITE PEREIRA</t>
  </si>
  <si>
    <t>DENIS DISTRIBUIDORA</t>
  </si>
  <si>
    <t>RUA SANTO ANTONIO, 63</t>
  </si>
  <si>
    <t>-11.349391</t>
  </si>
  <si>
    <t>-41.664555</t>
  </si>
  <si>
    <t>(749) 99977-5825</t>
  </si>
  <si>
    <t>0213-0384</t>
  </si>
  <si>
    <t>MANOEL BOTELHO SANTOS DE QUEIROZ</t>
  </si>
  <si>
    <t>TEMPERO DA VO</t>
  </si>
  <si>
    <t>ROD BA 052, 100</t>
  </si>
  <si>
    <t>-11.342362</t>
  </si>
  <si>
    <t>-41.645367</t>
  </si>
  <si>
    <t>(749) 09904-6809</t>
  </si>
  <si>
    <t>0213-0385</t>
  </si>
  <si>
    <t>ROBERTO NETO DOS SANTOS</t>
  </si>
  <si>
    <t>ACOUGUE FRI GOIANO</t>
  </si>
  <si>
    <t>RUA DO POCO, 510</t>
  </si>
  <si>
    <t>-11.353034</t>
  </si>
  <si>
    <t>-41.598460</t>
  </si>
  <si>
    <t>(064) 99272-1652</t>
  </si>
  <si>
    <t>0213-0387</t>
  </si>
  <si>
    <t>REI DO CHURRASCO JOAO DOURADO LTDA</t>
  </si>
  <si>
    <t>REI DO CHURRASCO  02</t>
  </si>
  <si>
    <t>AV JOAQUIM AUGUSTO, 288</t>
  </si>
  <si>
    <t>-11.344671</t>
  </si>
  <si>
    <t>-41.663260</t>
  </si>
  <si>
    <t>(074) 09906-8604</t>
  </si>
  <si>
    <t>0213-0388</t>
  </si>
  <si>
    <t>CLAUDINEI DE AQUINO HENRIQUE DA SILVA</t>
  </si>
  <si>
    <t>BAR E PEIXARIA</t>
  </si>
  <si>
    <t>AV ENEAS SILVA DOURADO, 538</t>
  </si>
  <si>
    <t>-11.343001</t>
  </si>
  <si>
    <t>-41.661285</t>
  </si>
  <si>
    <t>(061) 99973-2197</t>
  </si>
  <si>
    <t>0213-0389</t>
  </si>
  <si>
    <t>CREARDO SOUZA DE MORAIS</t>
  </si>
  <si>
    <t>BAR E RESTAUR MORAIS</t>
  </si>
  <si>
    <t>AV LINDOLFO CARDOSO, 228</t>
  </si>
  <si>
    <t>-11.352247</t>
  </si>
  <si>
    <t>-41.663307</t>
  </si>
  <si>
    <t>(074) 99954-1576</t>
  </si>
  <si>
    <t>0213-0390</t>
  </si>
  <si>
    <t>HIAGO COMERCIAL DE ALIMENTOS LTDA</t>
  </si>
  <si>
    <t>NOVO SUPERMERCADO JD</t>
  </si>
  <si>
    <t>AV AV JOSE ALVES DE ANDRADE, 789</t>
  </si>
  <si>
    <t>-11.349560</t>
  </si>
  <si>
    <t>-41.659462</t>
  </si>
  <si>
    <t>(074) 99940-5561</t>
  </si>
  <si>
    <t>0213-0392</t>
  </si>
  <si>
    <t>TAILLA GOMES DA SILVA MACHADO</t>
  </si>
  <si>
    <t>DISTRIBUIDORA EMPORI</t>
  </si>
  <si>
    <t>AV AVENIDA JOSE ALVES DE ANDRADE, 245</t>
  </si>
  <si>
    <t>-11.350516</t>
  </si>
  <si>
    <t>-41.664660</t>
  </si>
  <si>
    <t>(071) 99939-1457</t>
  </si>
  <si>
    <t>0213-0394</t>
  </si>
  <si>
    <t>KAIANE DEZIDERIO DE SANTANA</t>
  </si>
  <si>
    <t>REST E LANCH FAMILIA</t>
  </si>
  <si>
    <t>ROD BA 052 KM 333, 1122</t>
  </si>
  <si>
    <t>ZONA RURAL / JOAO DO</t>
  </si>
  <si>
    <t>-11.340326</t>
  </si>
  <si>
    <t>-41.662983</t>
  </si>
  <si>
    <t>9982-1147</t>
  </si>
  <si>
    <t>0213-0395</t>
  </si>
  <si>
    <t>ALEX SANDRO DOS SANTOS NOLACIO</t>
  </si>
  <si>
    <t>COMERCIAL NOLACIO</t>
  </si>
  <si>
    <t>RUA DA CAIXA DAGUA, 505</t>
  </si>
  <si>
    <t>MACEDONIA/J.DOURADO</t>
  </si>
  <si>
    <t>-11.259687</t>
  </si>
  <si>
    <t>-41.687927</t>
  </si>
  <si>
    <t>(074) 99962-8371</t>
  </si>
  <si>
    <t>0213-0397</t>
  </si>
  <si>
    <t>BENDITO COMERCIO DE ALIMENTOS LTDA</t>
  </si>
  <si>
    <t>BENDITO JAPA      01</t>
  </si>
  <si>
    <t>AV ENEAS DA SILVA DOURADO, 215</t>
  </si>
  <si>
    <t>-11.346085</t>
  </si>
  <si>
    <t>-41.661080</t>
  </si>
  <si>
    <t>(074) 99923-1116</t>
  </si>
  <si>
    <t>0213-0399</t>
  </si>
  <si>
    <t>FERNANDO PIRES SOARES</t>
  </si>
  <si>
    <t>MERC E PADAR B VISTA</t>
  </si>
  <si>
    <t>RUA CLAUDIO DE RUMANA, 321</t>
  </si>
  <si>
    <t>-11.342257</t>
  </si>
  <si>
    <t>-41.666695</t>
  </si>
  <si>
    <t>(074) 99985-8687</t>
  </si>
  <si>
    <t>0213-0400</t>
  </si>
  <si>
    <t>WHITE FUM LTDA</t>
  </si>
  <si>
    <t>WHITE FUM</t>
  </si>
  <si>
    <t>AV JOAQUIM AUGUSTO, 531</t>
  </si>
  <si>
    <t>-11.343510</t>
  </si>
  <si>
    <t>-41.663715</t>
  </si>
  <si>
    <t>(074) 99902-7882</t>
  </si>
  <si>
    <t>0213-0403</t>
  </si>
  <si>
    <t>VIVIANE DO NASCIMENTO NUNES</t>
  </si>
  <si>
    <t>DA HORA BURGUER</t>
  </si>
  <si>
    <t>RUA 21 DE ABRIL, 139</t>
  </si>
  <si>
    <t>-11.344715</t>
  </si>
  <si>
    <t>-41.668190</t>
  </si>
  <si>
    <t>(074) 99966-1937</t>
  </si>
  <si>
    <t>0213-0406</t>
  </si>
  <si>
    <t>SIRLEIDE DIAS PINHEIRO</t>
  </si>
  <si>
    <t>MERCADO DE ZE DA VAZ</t>
  </si>
  <si>
    <t>RUA RUA ANTONIO A DINIZ, 20</t>
  </si>
  <si>
    <t>-11.345355</t>
  </si>
  <si>
    <t>-41.662830</t>
  </si>
  <si>
    <t>(074) 99925-7337</t>
  </si>
  <si>
    <t>0213-0408</t>
  </si>
  <si>
    <t>KATIANA ALVES DE SOUZA LTDA</t>
  </si>
  <si>
    <t>DISTRIBUIDORA VIVALD</t>
  </si>
  <si>
    <t>AV AVENIDA JOAQUIM AUGUSTO, 395</t>
  </si>
  <si>
    <t>-11.344700</t>
  </si>
  <si>
    <t>-41.663338</t>
  </si>
  <si>
    <t>(074) 99977-3983</t>
  </si>
  <si>
    <t>0213-0409</t>
  </si>
  <si>
    <t>MARIA DE FATIMA FIGUEROU</t>
  </si>
  <si>
    <t>ESPETINHO DA ESQUI01</t>
  </si>
  <si>
    <t>RUA HILDETE CARNEIRO 241, 241</t>
  </si>
  <si>
    <t>-11.347616</t>
  </si>
  <si>
    <t>-41.657637</t>
  </si>
  <si>
    <t>(074) 99956-8996</t>
  </si>
  <si>
    <t>0213-0410</t>
  </si>
  <si>
    <t>ALISSON DOURADO XAVIER DE ARAUJO</t>
  </si>
  <si>
    <t>MERCADO GAMELEIRA</t>
  </si>
  <si>
    <t>PRC VITOR MOREIRA, 431</t>
  </si>
  <si>
    <t>-11.392387</t>
  </si>
  <si>
    <t>-41.698103</t>
  </si>
  <si>
    <t>(074) 99985-2335</t>
  </si>
  <si>
    <t>0213-0411</t>
  </si>
  <si>
    <t>ROSANI ALMEIDA MOTA</t>
  </si>
  <si>
    <t>MERCEARIA DA ROSANI</t>
  </si>
  <si>
    <t>RUA ANTONIO C DOURADO, 360</t>
  </si>
  <si>
    <t>CONQUISTA/JOAO DOURA</t>
  </si>
  <si>
    <t>-11.375625</t>
  </si>
  <si>
    <t>-41.741565</t>
  </si>
  <si>
    <t>(074) 99812-0534</t>
  </si>
  <si>
    <t>0213-0413</t>
  </si>
  <si>
    <t>BIANCA PEREIRA OLIVEIRA</t>
  </si>
  <si>
    <t>MERCADO BISCOITAO</t>
  </si>
  <si>
    <t>AV JOAQUIM AUGUSTO, 638</t>
  </si>
  <si>
    <t>-11.342557</t>
  </si>
  <si>
    <t>-41.663407</t>
  </si>
  <si>
    <t>(074) 99935-0606</t>
  </si>
  <si>
    <t>0213-0414</t>
  </si>
  <si>
    <t>ROSELI BENEDITO DOS SANTOS</t>
  </si>
  <si>
    <t>LANCHONETE ROCHA</t>
  </si>
  <si>
    <t>AV RODOVIA BA 052 KM 333, 334</t>
  </si>
  <si>
    <t>-11.339332</t>
  </si>
  <si>
    <t>-41.669077</t>
  </si>
  <si>
    <t>(074) 99813-4472</t>
  </si>
  <si>
    <t>0213-0416</t>
  </si>
  <si>
    <t>KEILANE DE MOURA LOPES</t>
  </si>
  <si>
    <t>MERCADO PRIMAVERA</t>
  </si>
  <si>
    <t>LOT SEVERINO GALEGO 02, 999</t>
  </si>
  <si>
    <t>PRIMAVERA/JOAO DOURA</t>
  </si>
  <si>
    <t>-11.335857</t>
  </si>
  <si>
    <t>-41.667091</t>
  </si>
  <si>
    <t>(074) 99963-3887</t>
  </si>
  <si>
    <t>0213-0417</t>
  </si>
  <si>
    <t>LEANDRO FLORENTINO DOS SANTOS LTDA</t>
  </si>
  <si>
    <t>LED CONVENIENCIA  01</t>
  </si>
  <si>
    <t>RUA CARNEIRO JUNIOR, 544</t>
  </si>
  <si>
    <t>-11.342893</t>
  </si>
  <si>
    <t>-41.656809</t>
  </si>
  <si>
    <t>(074) 99971-5232</t>
  </si>
  <si>
    <t>0213-0419</t>
  </si>
  <si>
    <t>PRICILA DE CASTRO DOURADO ALENCAR</t>
  </si>
  <si>
    <t>BECO CASEIRO</t>
  </si>
  <si>
    <t>RUA MARIO DOURADO SOBRINHO, 83</t>
  </si>
  <si>
    <t>-11.349473</t>
  </si>
  <si>
    <t>(074) 99980-3413</t>
  </si>
  <si>
    <t>0213-0420</t>
  </si>
  <si>
    <t>CHOPERIA E PETISCARIA CANAL LTDA</t>
  </si>
  <si>
    <t>CHOPERIA E PETIS CAN</t>
  </si>
  <si>
    <t>AV JOSEBIAS CARDOSO, 48</t>
  </si>
  <si>
    <t>-11.341071</t>
  </si>
  <si>
    <t>-41.662640</t>
  </si>
  <si>
    <t>0213-0421</t>
  </si>
  <si>
    <t>JD PADARIA PENA FORTE LTDA</t>
  </si>
  <si>
    <t>PADARIA PENA FORTE06</t>
  </si>
  <si>
    <t>RUA ANA OLIVEIRA, 256</t>
  </si>
  <si>
    <t>-11.344430</t>
  </si>
  <si>
    <t>-41.664663</t>
  </si>
  <si>
    <t>(074) 98103-1636</t>
  </si>
  <si>
    <t>0213-0422</t>
  </si>
  <si>
    <t>KAREM DE SOUZA E SOUZA</t>
  </si>
  <si>
    <t>ADEGA CK DISTRIBUIDO</t>
  </si>
  <si>
    <t>TRV ANA OLIVEIRA, 206</t>
  </si>
  <si>
    <t>CENTRO JOAO DOURADO/</t>
  </si>
  <si>
    <t>-11.344793</t>
  </si>
  <si>
    <t>-41.665436</t>
  </si>
  <si>
    <t>(074) 99945-5332</t>
  </si>
  <si>
    <t>0214-0004</t>
  </si>
  <si>
    <t>JOSE MARCIO BARBOSA DAMASCENO</t>
  </si>
  <si>
    <t>MERCAD FERNANDES</t>
  </si>
  <si>
    <t>JUSSARA</t>
  </si>
  <si>
    <t>RUA DJALMA BESSA R, 457</t>
  </si>
  <si>
    <t>-11.049309</t>
  </si>
  <si>
    <t>-41.977566</t>
  </si>
  <si>
    <t>(074) 98120-1033</t>
  </si>
  <si>
    <t>0214-0006</t>
  </si>
  <si>
    <t>EDGAR PEREIRA CAMACAN</t>
  </si>
  <si>
    <t>BAR E MER CAMACAN</t>
  </si>
  <si>
    <t>RUA FLORES, 262</t>
  </si>
  <si>
    <t>-11.043430</t>
  </si>
  <si>
    <t>-41.969370</t>
  </si>
  <si>
    <t>(074) 00647-1319</t>
  </si>
  <si>
    <t>0214-0007</t>
  </si>
  <si>
    <t>JURANDI JOAO DE SOUZA</t>
  </si>
  <si>
    <t>BAR DO GALEGO</t>
  </si>
  <si>
    <t>RUA FLORIANO PEIXOTO RUA, 200</t>
  </si>
  <si>
    <t>-11.043359</t>
  </si>
  <si>
    <t>-41.970650</t>
  </si>
  <si>
    <t>0214-0008</t>
  </si>
  <si>
    <t>CLAUDIVANIA BARRETO DE CARVALHO</t>
  </si>
  <si>
    <t>SUPERMERCADO DOLA 01</t>
  </si>
  <si>
    <t>RUA RUA RUA FLORIANO PEIXOTO, 101 / 02140008</t>
  </si>
  <si>
    <t>-11.041483</t>
  </si>
  <si>
    <t>-41.970264</t>
  </si>
  <si>
    <t>(074) 09914-9557</t>
  </si>
  <si>
    <t>0214-0010</t>
  </si>
  <si>
    <t>ANTONIO MENDES DA GAMA</t>
  </si>
  <si>
    <t>VISAO DISBEV</t>
  </si>
  <si>
    <t>RUA JJ SEABRA RUA, 13 / 02140010</t>
  </si>
  <si>
    <t>-11.044235</t>
  </si>
  <si>
    <t>-41.969627</t>
  </si>
  <si>
    <t>(074) 99932-7797</t>
  </si>
  <si>
    <t>0214-0011</t>
  </si>
  <si>
    <t>SUPERMERCADO ROCHA</t>
  </si>
  <si>
    <t>PRC JK PCA, 138</t>
  </si>
  <si>
    <t>CENTRO - JUSS</t>
  </si>
  <si>
    <t>-11.046957</t>
  </si>
  <si>
    <t>-41.968918</t>
  </si>
  <si>
    <t>(074) 99813-4209</t>
  </si>
  <si>
    <t>0214-0019</t>
  </si>
  <si>
    <t>ANTONIO CARLOS MENDES DIAS</t>
  </si>
  <si>
    <t>BAR E LANCHONETE DIA</t>
  </si>
  <si>
    <t>PRC PCA JK, 412</t>
  </si>
  <si>
    <t>-11.047024</t>
  </si>
  <si>
    <t>-41.971523</t>
  </si>
  <si>
    <t>(740) 98118-8161</t>
  </si>
  <si>
    <t>0214-0023</t>
  </si>
  <si>
    <t>ADRIA SOARES DOS SANTOS BATISTA</t>
  </si>
  <si>
    <t>MERCADO BATISTA</t>
  </si>
  <si>
    <t>PRC PCA J K, 10</t>
  </si>
  <si>
    <t>-11.012515</t>
  </si>
  <si>
    <t>-41.893326</t>
  </si>
  <si>
    <t>(740) 99929-9249</t>
  </si>
  <si>
    <t>0214-0027</t>
  </si>
  <si>
    <t>JARBAS NOVAIS DOS SANTOS</t>
  </si>
  <si>
    <t>ESTACAO BEER</t>
  </si>
  <si>
    <t>PRC PCA JOAO BATISTA</t>
  </si>
  <si>
    <t>-11.048734</t>
  </si>
  <si>
    <t>-41.973873</t>
  </si>
  <si>
    <t>(074) 98127-8794</t>
  </si>
  <si>
    <t>0214-0034</t>
  </si>
  <si>
    <t>EDILEUZA BRITO DE ALMEIDA</t>
  </si>
  <si>
    <t>MERCANTIL TREVO</t>
  </si>
  <si>
    <t>PRC PRACA MANOEL NOVAES, 155</t>
  </si>
  <si>
    <t>-11.046193</t>
  </si>
  <si>
    <t>-41.969418</t>
  </si>
  <si>
    <t>(074) 03647-1379</t>
  </si>
  <si>
    <t>0214-0036</t>
  </si>
  <si>
    <t>LOUSIMAR APARECIDO DA ROCHA</t>
  </si>
  <si>
    <t>SUPERME DOCE CRIANCA</t>
  </si>
  <si>
    <t>RUA J J SEABRA, 107 / 02140036</t>
  </si>
  <si>
    <t>-11.044313</t>
  </si>
  <si>
    <t>-41.971233</t>
  </si>
  <si>
    <t>(074) 99932-0807</t>
  </si>
  <si>
    <t>0214-0037</t>
  </si>
  <si>
    <t>VANUZA ALMEIDA BATISTA LIMA</t>
  </si>
  <si>
    <t>ACARAJE E CIA</t>
  </si>
  <si>
    <t>RUA MARIA ALVAS, 110</t>
  </si>
  <si>
    <t>-11.044875</t>
  </si>
  <si>
    <t>-41.969570</t>
  </si>
  <si>
    <t>(074) 99980-8118</t>
  </si>
  <si>
    <t>0214-0039</t>
  </si>
  <si>
    <t>JUVENILDE NUNES DA SILVA</t>
  </si>
  <si>
    <t>MERCADINHO SILVA0021</t>
  </si>
  <si>
    <t>RUA IPIRANGA, 81</t>
  </si>
  <si>
    <t>-11.047922</t>
  </si>
  <si>
    <t>-41.972840</t>
  </si>
  <si>
    <t>3647-1486</t>
  </si>
  <si>
    <t>0214-0043</t>
  </si>
  <si>
    <t>RUI MIGUEL BARRETO</t>
  </si>
  <si>
    <t>MERCADINHO RUI</t>
  </si>
  <si>
    <t>RUA DA RUA IGREJA</t>
  </si>
  <si>
    <t>POV MORRO DO HIGINO</t>
  </si>
  <si>
    <t>-11.143424</t>
  </si>
  <si>
    <t>-41.962520</t>
  </si>
  <si>
    <t>(074) 99940-8344</t>
  </si>
  <si>
    <t>0214-0045</t>
  </si>
  <si>
    <t>SANDRA NICE MIRANDA DE SOUZA</t>
  </si>
  <si>
    <t>LANCHONETE DO FORMIG</t>
  </si>
  <si>
    <t>RUA DAS RUA FLORES, 58</t>
  </si>
  <si>
    <t>-11.045165</t>
  </si>
  <si>
    <t>-41.969467</t>
  </si>
  <si>
    <t>(074) 98131-3633</t>
  </si>
  <si>
    <t>0214-0049</t>
  </si>
  <si>
    <t>ELIOMAR BENICIO DOS SANTOS</t>
  </si>
  <si>
    <t>MERC BENICIO</t>
  </si>
  <si>
    <t>RUA DOS FUNCIONARIOS, 183</t>
  </si>
  <si>
    <t>-11.050536</t>
  </si>
  <si>
    <t>-41.977154</t>
  </si>
  <si>
    <t>(074) 98108-7043</t>
  </si>
  <si>
    <t>0214-0054</t>
  </si>
  <si>
    <t>GILVAN MENDES DOS SANTOS</t>
  </si>
  <si>
    <t>MERCADO SANTOS</t>
  </si>
  <si>
    <t>RUA RUA J J SEABRA, 133</t>
  </si>
  <si>
    <t>-11.044312</t>
  </si>
  <si>
    <t>-41.970890</t>
  </si>
  <si>
    <t>(074) 03647-1338</t>
  </si>
  <si>
    <t>0214-0057</t>
  </si>
  <si>
    <t>GILBERTO BORGES DIAS</t>
  </si>
  <si>
    <t>SUP SENHOR DO BONFIM</t>
  </si>
  <si>
    <t>RUA RUA JOAO BATISTA DE O, 137</t>
  </si>
  <si>
    <t>-11.048367</t>
  </si>
  <si>
    <t>-41.973590</t>
  </si>
  <si>
    <t>(074) 98125-8994</t>
  </si>
  <si>
    <t>0214-0058</t>
  </si>
  <si>
    <t>LAURI SOUZA BAIO</t>
  </si>
  <si>
    <t>MERCADINHO BAIO</t>
  </si>
  <si>
    <t>RUA JUSSARA</t>
  </si>
  <si>
    <t>POV RECIFE</t>
  </si>
  <si>
    <t>-11.014065</t>
  </si>
  <si>
    <t>-41.895813</t>
  </si>
  <si>
    <t>(740) 99919-7834</t>
  </si>
  <si>
    <t>0214-0061</t>
  </si>
  <si>
    <t>EDINALDO DE OLIVEIRA MELO</t>
  </si>
  <si>
    <t>BAR PARAISO</t>
  </si>
  <si>
    <t>RUA RUA SAO JOSE, 311</t>
  </si>
  <si>
    <t>-11.043618</t>
  </si>
  <si>
    <t>-41.972416</t>
  </si>
  <si>
    <t>0214-0072</t>
  </si>
  <si>
    <t>VALDINEIA RIBEIRO DOS SANTOS</t>
  </si>
  <si>
    <t>MERCADINHO DA DINHA</t>
  </si>
  <si>
    <t>RUA MANOEL BATISTA R, 246</t>
  </si>
  <si>
    <t>-11.045732</t>
  </si>
  <si>
    <t>-41.971382</t>
  </si>
  <si>
    <t>(074) 98101-5952</t>
  </si>
  <si>
    <t>0214-0074</t>
  </si>
  <si>
    <t>MIRIAM SILVA ANDRADE</t>
  </si>
  <si>
    <t>MERCADO LR</t>
  </si>
  <si>
    <t>RUA RUA MARECHAL FLORIANO PEI, 590</t>
  </si>
  <si>
    <t>-11.041302</t>
  </si>
  <si>
    <t>-41.970505</t>
  </si>
  <si>
    <t>(074) 98119-6894</t>
  </si>
  <si>
    <t>0214-0087</t>
  </si>
  <si>
    <t>AURENILDO CAETANO PEREIRA</t>
  </si>
  <si>
    <t>ADEGA PONTO CERTO</t>
  </si>
  <si>
    <t>PRC PRACA DO COMERCIO, 54</t>
  </si>
  <si>
    <t>MORRO DO GINO</t>
  </si>
  <si>
    <t>-11.142748</t>
  </si>
  <si>
    <t>-41.962917</t>
  </si>
  <si>
    <t>(074) 99800-7190</t>
  </si>
  <si>
    <t>0214-0100</t>
  </si>
  <si>
    <t>EDMAR SEVERINO DE FIGUEREDO</t>
  </si>
  <si>
    <t>COMERCIAL GARDENIA01</t>
  </si>
  <si>
    <t>PRC PRACA JK, 208</t>
  </si>
  <si>
    <t>-11.047025</t>
  </si>
  <si>
    <t>-41.969757</t>
  </si>
  <si>
    <t>(740) 03647-1119</t>
  </si>
  <si>
    <t>0214-0115</t>
  </si>
  <si>
    <t>HEROILDO BRITO DE ALMEIDA</t>
  </si>
  <si>
    <t>MERCANTIL GAMES</t>
  </si>
  <si>
    <t>RUA RUA JOSE BONIFACIO, 275</t>
  </si>
  <si>
    <t>-11.042702</t>
  </si>
  <si>
    <t>-41.971890</t>
  </si>
  <si>
    <t>(074) 98126-4171</t>
  </si>
  <si>
    <t>0214-0129</t>
  </si>
  <si>
    <t>MARGIVANIA ALVES MIGUEL</t>
  </si>
  <si>
    <t>REST TEMPERO CAIPIRA</t>
  </si>
  <si>
    <t>RUA IPIRANGA, 25</t>
  </si>
  <si>
    <t>-11.047778</t>
  </si>
  <si>
    <t>-41.972220</t>
  </si>
  <si>
    <t>(074) 99926-9039</t>
  </si>
  <si>
    <t>0214-0136</t>
  </si>
  <si>
    <t>CRISTIA GONSALVES DO NASCIMENTO</t>
  </si>
  <si>
    <t>MERCADINHO CRISTYLAR</t>
  </si>
  <si>
    <t>RUA JONAS PEREIRA, 472</t>
  </si>
  <si>
    <t>-11.227540</t>
  </si>
  <si>
    <t>-41.870182</t>
  </si>
  <si>
    <t>(074) 99927-2751</t>
  </si>
  <si>
    <t>0214-0150</t>
  </si>
  <si>
    <t>JOAO SOARES DA SILVA</t>
  </si>
  <si>
    <t>JOAO DO BAR</t>
  </si>
  <si>
    <t>RUA DO D COLEGIO, 233</t>
  </si>
  <si>
    <t>SITIO NOVO</t>
  </si>
  <si>
    <t>-11.111653</t>
  </si>
  <si>
    <t>-41.967321</t>
  </si>
  <si>
    <t>(074) 99819-4362</t>
  </si>
  <si>
    <t>0214-0151</t>
  </si>
  <si>
    <t>ELIANE CORREIA DA GAMA</t>
  </si>
  <si>
    <t>SORVETERIA ACONCHEGO</t>
  </si>
  <si>
    <t>PRC MAXIMO GUEDES SN</t>
  </si>
  <si>
    <t>-11.047860</t>
  </si>
  <si>
    <t>-41.970540</t>
  </si>
  <si>
    <t>(074) 03647-1593</t>
  </si>
  <si>
    <t>0214-0156</t>
  </si>
  <si>
    <t>MARILU ARAUJO TEIXEIRA</t>
  </si>
  <si>
    <t>SUPERMERCADO E ACOUG</t>
  </si>
  <si>
    <t>RUA 2 DE JULHO SN</t>
  </si>
  <si>
    <t>RECIFE / JUSSARA</t>
  </si>
  <si>
    <t>-11.011848</t>
  </si>
  <si>
    <t>-41.894165</t>
  </si>
  <si>
    <t>(074) 99929-9749</t>
  </si>
  <si>
    <t>0214-0171</t>
  </si>
  <si>
    <t>VANEIDE MARIA DA CONCEICAO ROCHA</t>
  </si>
  <si>
    <t>MERCADINHO DE VANEID</t>
  </si>
  <si>
    <t>RUA LOGOA DA PISTA JUSSARA / 02140171</t>
  </si>
  <si>
    <t>POVOADO LOGOA NOVA</t>
  </si>
  <si>
    <t>-11.189673</t>
  </si>
  <si>
    <t>-41.917890</t>
  </si>
  <si>
    <t>(074) 99923-4037</t>
  </si>
  <si>
    <t>0214-0181</t>
  </si>
  <si>
    <t>IDEILSON DE OLIVEIRA</t>
  </si>
  <si>
    <t>COMERCIAL NORDESTE</t>
  </si>
  <si>
    <t>RUA RUA BOA ESPERANCA, 209</t>
  </si>
  <si>
    <t>-11.047197</t>
  </si>
  <si>
    <t>-41.969883</t>
  </si>
  <si>
    <t>(074) 99911-0650</t>
  </si>
  <si>
    <t>0214-0183</t>
  </si>
  <si>
    <t>AURICELIA CAETANO BARBOSA</t>
  </si>
  <si>
    <t>MERCEARIA DA SESSE</t>
  </si>
  <si>
    <t>RUA RUA DJAUMA BESSA, 224</t>
  </si>
  <si>
    <t>-11.048757</t>
  </si>
  <si>
    <t>-41.976044</t>
  </si>
  <si>
    <t>(740) 09972-2366</t>
  </si>
  <si>
    <t>0214-0184</t>
  </si>
  <si>
    <t>RITA MENDES PEREIRA</t>
  </si>
  <si>
    <t>MARCIANO M MERCADO</t>
  </si>
  <si>
    <t>RUA 07 DE SETEMBRO, 49</t>
  </si>
  <si>
    <t>-11.107492</t>
  </si>
  <si>
    <t>-42.027009</t>
  </si>
  <si>
    <t>(740) 09966-6609</t>
  </si>
  <si>
    <t>0214-0186</t>
  </si>
  <si>
    <t>FRANCINALDO LOPES DA SILVA</t>
  </si>
  <si>
    <t>TOP ACAI</t>
  </si>
  <si>
    <t>PRC PRAC JK, 84</t>
  </si>
  <si>
    <t>-11.047759</t>
  </si>
  <si>
    <t>-41.972725</t>
  </si>
  <si>
    <t>(074) 99928-1321</t>
  </si>
  <si>
    <t>0214-0190</t>
  </si>
  <si>
    <t>LECI BENICIO DOS SANTOS</t>
  </si>
  <si>
    <t>MERCADINHO LIDER</t>
  </si>
  <si>
    <t>RUA MARECHAL FLORIANO PEIXOTO, 244</t>
  </si>
  <si>
    <t>-11.043248</t>
  </si>
  <si>
    <t>-41.970688</t>
  </si>
  <si>
    <t>(074) 03647-1766</t>
  </si>
  <si>
    <t>0214-0191</t>
  </si>
  <si>
    <t>NARIANUNCIA CAMACAM BONFIM CARVALHO</t>
  </si>
  <si>
    <t>MERCADO BISCODE</t>
  </si>
  <si>
    <t>RUA RUA SAO GERALDO, 308</t>
  </si>
  <si>
    <t>MORRO DOS GINOS</t>
  </si>
  <si>
    <t>-11.142913</t>
  </si>
  <si>
    <t>-41.963528</t>
  </si>
  <si>
    <t>(074) 99998-2116</t>
  </si>
  <si>
    <t>0214-0201</t>
  </si>
  <si>
    <t>MARIA NEUZA SANTANA DE SOUZA</t>
  </si>
  <si>
    <t>MERCADO SANTANA</t>
  </si>
  <si>
    <t>AV VALTER GOMES, 404</t>
  </si>
  <si>
    <t>LARGA DO CRUZEIRO</t>
  </si>
  <si>
    <t>-11.106044</t>
  </si>
  <si>
    <t>-42.005547</t>
  </si>
  <si>
    <t>(074) 09928-8595</t>
  </si>
  <si>
    <t>0214-0203</t>
  </si>
  <si>
    <t>MARIA MADALENA SOARES DA GAMA</t>
  </si>
  <si>
    <t>SUP E PANIFICAD GAMA</t>
  </si>
  <si>
    <t>RUA TANCREDO NEVES, 35</t>
  </si>
  <si>
    <t>-11.049863</t>
  </si>
  <si>
    <t>-41.978943</t>
  </si>
  <si>
    <t>(074) 98137-6036</t>
  </si>
  <si>
    <t>0214-0207</t>
  </si>
  <si>
    <t>FERNANDO FRANCISCO DE CARVALHO</t>
  </si>
  <si>
    <t>MERCADO DO FERNANDO</t>
  </si>
  <si>
    <t>RUA RUA DA IGREJA MORRO DO GINO, 112</t>
  </si>
  <si>
    <t>-11.143748</t>
  </si>
  <si>
    <t>-41.961540</t>
  </si>
  <si>
    <t>(074) 99999-3419</t>
  </si>
  <si>
    <t>0214-0208</t>
  </si>
  <si>
    <t>DAVI OLINTO SOARES</t>
  </si>
  <si>
    <t>DISTRIBUIDORA OLINTO</t>
  </si>
  <si>
    <t>RUA RUA IPIRANGA, 50</t>
  </si>
  <si>
    <t>-11.047597</t>
  </si>
  <si>
    <t>-41.972576</t>
  </si>
  <si>
    <t>(074) 98107-1121</t>
  </si>
  <si>
    <t>0214-0211</t>
  </si>
  <si>
    <t>JOSE AQUILES MENDES DA GAMA LTDA</t>
  </si>
  <si>
    <t>SUPERMERC ADEG VISAO</t>
  </si>
  <si>
    <t>RUA RUA DAS FLORES, 169</t>
  </si>
  <si>
    <t>-11.044177</t>
  </si>
  <si>
    <t>-41.969650</t>
  </si>
  <si>
    <t>0214-0215</t>
  </si>
  <si>
    <t>ALEXANDRA OLIVEIRA AMARAL DAMACENO</t>
  </si>
  <si>
    <t>COMERCIAL MAYA</t>
  </si>
  <si>
    <t>RUA RUA BOA ESPERANCA, 228</t>
  </si>
  <si>
    <t>-11.045135</t>
  </si>
  <si>
    <t>-41.966293</t>
  </si>
  <si>
    <t>(074) 98124-7665</t>
  </si>
  <si>
    <t>0214-0217</t>
  </si>
  <si>
    <t>ABDNEGO MENEZES DOS SANTOS</t>
  </si>
  <si>
    <t>BAR DO BECO</t>
  </si>
  <si>
    <t>PRC PRACA JK 70, 14</t>
  </si>
  <si>
    <t>-11.047411</t>
  </si>
  <si>
    <t>-41.969830</t>
  </si>
  <si>
    <t>(074) 98115-5475</t>
  </si>
  <si>
    <t>0214-0227</t>
  </si>
  <si>
    <t>CAMILO TEIXEIRA DE SOUZA</t>
  </si>
  <si>
    <t>PASTEL DO JAIRO</t>
  </si>
  <si>
    <t>PRC PRACA JK, 180</t>
  </si>
  <si>
    <t>SETOR 1</t>
  </si>
  <si>
    <t>-11.047500</t>
  </si>
  <si>
    <t>-41.970276</t>
  </si>
  <si>
    <t>(074) 99811-9731</t>
  </si>
  <si>
    <t>0214-0234</t>
  </si>
  <si>
    <t>MARIZETE MARTINS DE OLIVEIRA</t>
  </si>
  <si>
    <t>KI SORVETE</t>
  </si>
  <si>
    <t>PRC PRACA JOAO BATISTA, 120</t>
  </si>
  <si>
    <t>-11.048889</t>
  </si>
  <si>
    <t>-41.973610</t>
  </si>
  <si>
    <t>(074) 98115-3916</t>
  </si>
  <si>
    <t>0214-0235</t>
  </si>
  <si>
    <t>JOSE ALMEIDA GARCIA FILHO</t>
  </si>
  <si>
    <t>LANCHONETE ALMEIDA</t>
  </si>
  <si>
    <t>RUA JOSE BONIFACIO</t>
  </si>
  <si>
    <t>-11.043056</t>
  </si>
  <si>
    <t>-41.972500</t>
  </si>
  <si>
    <t>(074) 99933-2211</t>
  </si>
  <si>
    <t>0214-0243</t>
  </si>
  <si>
    <t>MARINALDO SOARES MAGALHAES</t>
  </si>
  <si>
    <t>MERCADINHO REIS   01</t>
  </si>
  <si>
    <t>RUA RUA PRINCESA ISABEL, 50</t>
  </si>
  <si>
    <t>-11.009717</t>
  </si>
  <si>
    <t>-41.890047</t>
  </si>
  <si>
    <t>(074) 99803-0081</t>
  </si>
  <si>
    <t>0214-0246</t>
  </si>
  <si>
    <t>JORGE MACIO JERONIMO</t>
  </si>
  <si>
    <t>MERCADO RRS</t>
  </si>
  <si>
    <t>PRC PRACA DO COLEGIO, 7</t>
  </si>
  <si>
    <t>-11.111889</t>
  </si>
  <si>
    <t>-41.967740</t>
  </si>
  <si>
    <t>(074) 99915-7657</t>
  </si>
  <si>
    <t>0214-0247</t>
  </si>
  <si>
    <t>ADAILTON REIS DE BRITO</t>
  </si>
  <si>
    <t>RESENHA BAR PETISCAR</t>
  </si>
  <si>
    <t>RUA RUA IPIRANGA, 134</t>
  </si>
  <si>
    <t>-11.048135</t>
  </si>
  <si>
    <t>-41.973340</t>
  </si>
  <si>
    <t>(074) 98121-5133</t>
  </si>
  <si>
    <t>0214-0249</t>
  </si>
  <si>
    <t>ELLEN SUELANE BARBOSA BOMFIM</t>
  </si>
  <si>
    <t>MERCADO AVENIDA   02</t>
  </si>
  <si>
    <t>AV AVENIDA CAROLINA ALMEIDA LOPES, 101</t>
  </si>
  <si>
    <t>-11.050209</t>
  </si>
  <si>
    <t>(074) 98128-4190</t>
  </si>
  <si>
    <t>0214-0250</t>
  </si>
  <si>
    <t>VIVIANE NUNES DOS REIS</t>
  </si>
  <si>
    <t>MERCADO NF</t>
  </si>
  <si>
    <t>RUA RUA JOSE BONIFACIO, 244</t>
  </si>
  <si>
    <t>-11.042693</t>
  </si>
  <si>
    <t>-41.971752</t>
  </si>
  <si>
    <t>(074) 98102-8267</t>
  </si>
  <si>
    <t>0214-0251</t>
  </si>
  <si>
    <t>CRISTOVAO RODRIGUES A SILVA MAGALHAES</t>
  </si>
  <si>
    <t>SUPERMERCADO SAO CRI</t>
  </si>
  <si>
    <t>TRV TRAVESSA DO MEIO, 13</t>
  </si>
  <si>
    <t>VILA DE RECIFE</t>
  </si>
  <si>
    <t>-11.011453</t>
  </si>
  <si>
    <t>-41.893593</t>
  </si>
  <si>
    <t>(074) 99913-6256</t>
  </si>
  <si>
    <t>0214-0253</t>
  </si>
  <si>
    <t>CAMILA SOCORRO SOUZA MACHADO</t>
  </si>
  <si>
    <t>EMPORIO DO ACAI</t>
  </si>
  <si>
    <t>RUA RUA MANOEL NOVAES, 56</t>
  </si>
  <si>
    <t>-11.047893</t>
  </si>
  <si>
    <t>-41.969590</t>
  </si>
  <si>
    <t>(074) 98119-4537</t>
  </si>
  <si>
    <t>0214-0254</t>
  </si>
  <si>
    <t>LASARO DIEGO BARBOSA CUNHA</t>
  </si>
  <si>
    <t>PASTEL DO ELSON</t>
  </si>
  <si>
    <t>PRC PRACA JK, 74</t>
  </si>
  <si>
    <t>-11.047329</t>
  </si>
  <si>
    <t>-41.968884</t>
  </si>
  <si>
    <t>(074) 98125-9453</t>
  </si>
  <si>
    <t>0214-0256</t>
  </si>
  <si>
    <t>PEDRO O. LOPES</t>
  </si>
  <si>
    <t>DRINKS BEBIDAS</t>
  </si>
  <si>
    <t>RUA RUA GETULIO VARGAS, 134</t>
  </si>
  <si>
    <t>-11.044745</t>
  </si>
  <si>
    <t>-41.973080</t>
  </si>
  <si>
    <t>(074) 99958-9283</t>
  </si>
  <si>
    <t>0214-0257</t>
  </si>
  <si>
    <t>REBECA VITORIA SOARES BISPO</t>
  </si>
  <si>
    <t>COMERCIAL VITORIA 04</t>
  </si>
  <si>
    <t>PRC PRACA DO COMERCIO, 99</t>
  </si>
  <si>
    <t>MORRO DO HIGINO</t>
  </si>
  <si>
    <t>-11.142623</t>
  </si>
  <si>
    <t>-41.963350</t>
  </si>
  <si>
    <t>(074) 99966-8289</t>
  </si>
  <si>
    <t>0214-0259</t>
  </si>
  <si>
    <t>ALESSANDRA TEIXEIRA DE OLIVEIRA</t>
  </si>
  <si>
    <t>TOP ADEGA ACAI    01</t>
  </si>
  <si>
    <t>PRC PRACA MAXIMO GUEDESS, 9</t>
  </si>
  <si>
    <t>-11.047522</t>
  </si>
  <si>
    <t>-41.971725</t>
  </si>
  <si>
    <t>0214-0262</t>
  </si>
  <si>
    <t>ANTONIO GONCALVES DA SILVA</t>
  </si>
  <si>
    <t>MECADINHO CRISTYLAR</t>
  </si>
  <si>
    <t>RUA RUA JOSE BERNARDES</t>
  </si>
  <si>
    <t>CENTRO/LARGO DA TAPI</t>
  </si>
  <si>
    <t>-11.087802</t>
  </si>
  <si>
    <t>-42.001510</t>
  </si>
  <si>
    <t>(074) 99954-7825</t>
  </si>
  <si>
    <t>0214-0264</t>
  </si>
  <si>
    <t>KETILLY ROCHA PAZ</t>
  </si>
  <si>
    <t>PAZ E HAMBURGUER</t>
  </si>
  <si>
    <t>RUA RUA J J SEABRA CASA, 107</t>
  </si>
  <si>
    <t>-11.045050</t>
  </si>
  <si>
    <t>-41.969536</t>
  </si>
  <si>
    <t>(074) 99814-6584</t>
  </si>
  <si>
    <t>0214-0265</t>
  </si>
  <si>
    <t>REGE MARCOS SOUZA SANTOS</t>
  </si>
  <si>
    <t>RM CASA DAS CARNES</t>
  </si>
  <si>
    <t>PRC PRACA MAXIMO GUEDES 9 A, 9</t>
  </si>
  <si>
    <t>-11.047482</t>
  </si>
  <si>
    <t>-41.971745</t>
  </si>
  <si>
    <t>(077) 99952-0347</t>
  </si>
  <si>
    <t>0214-0266</t>
  </si>
  <si>
    <t>ADMAELSON BARRETO BONFIM</t>
  </si>
  <si>
    <t>ADMAELSON LANCHES</t>
  </si>
  <si>
    <t>RUA FLORIANO PEIXOTO, 191</t>
  </si>
  <si>
    <t>-11.043702</t>
  </si>
  <si>
    <t>-41.970913</t>
  </si>
  <si>
    <t>(749) 00981-1742</t>
  </si>
  <si>
    <t>0214-0267</t>
  </si>
  <si>
    <t>IRES FERNANDES DAMACENO</t>
  </si>
  <si>
    <t>MERCADO FERNANDES 02</t>
  </si>
  <si>
    <t>AV CAROLINA ALMEIDA LOPES, 6</t>
  </si>
  <si>
    <t>-11.049262</t>
  </si>
  <si>
    <t>-41.977540</t>
  </si>
  <si>
    <t>(074) 98122-5195</t>
  </si>
  <si>
    <t>0214-0268</t>
  </si>
  <si>
    <t>DACIENE BATISTA SANTOS</t>
  </si>
  <si>
    <t>DISTRIBUIDORA CERVEJ</t>
  </si>
  <si>
    <t>RUA J J SEABRA SETOR 03, 30</t>
  </si>
  <si>
    <t>SETOR 03/JUSSARA</t>
  </si>
  <si>
    <t>-11.044354</t>
  </si>
  <si>
    <t>-41.969790</t>
  </si>
  <si>
    <t>(064) 99921-5139</t>
  </si>
  <si>
    <t>0214-0269</t>
  </si>
  <si>
    <t>ROMARIO PEREIRA BATISTA</t>
  </si>
  <si>
    <t>CASA DA ROCA</t>
  </si>
  <si>
    <t>RUA MANOEL NOVAIS, 70</t>
  </si>
  <si>
    <t>SETOR 01/JUSSARA</t>
  </si>
  <si>
    <t>-11.046238</t>
  </si>
  <si>
    <t>-41.968685</t>
  </si>
  <si>
    <t>(074) 99994-1713</t>
  </si>
  <si>
    <t>0214-0270</t>
  </si>
  <si>
    <t>FREDSON DA SILVA ALMEIDA</t>
  </si>
  <si>
    <t>FRED EMPORIO</t>
  </si>
  <si>
    <t>RUA DJALMA BESSA, 18</t>
  </si>
  <si>
    <t>-11.048654</t>
  </si>
  <si>
    <t>-41.974113</t>
  </si>
  <si>
    <t>(074) 98134-8852</t>
  </si>
  <si>
    <t>0214-0271</t>
  </si>
  <si>
    <t>DIOCLECIO BARBOSA DE SOUZA</t>
  </si>
  <si>
    <t>MERCEARIA SOUZA   02</t>
  </si>
  <si>
    <t>RUA RUY BARBOSA, 48</t>
  </si>
  <si>
    <t>SETOR 02 JUSSARA</t>
  </si>
  <si>
    <t>-11.043175</t>
  </si>
  <si>
    <t>-41.974274</t>
  </si>
  <si>
    <t>(074) 99953-4972</t>
  </si>
  <si>
    <t>0214-0272</t>
  </si>
  <si>
    <t>DIOGENES DE SOUZA MIRANDA</t>
  </si>
  <si>
    <t>BAR INVICTOS</t>
  </si>
  <si>
    <t>RUA SAO GERALDO 2, 3</t>
  </si>
  <si>
    <t>-11.049260</t>
  </si>
  <si>
    <t>-41.974020</t>
  </si>
  <si>
    <t>(011) 94512-8724</t>
  </si>
  <si>
    <t>0214-0273</t>
  </si>
  <si>
    <t>JOSE FILHO DUARTE NETO RESTAURANTE</t>
  </si>
  <si>
    <t>CANTINA DO LUCAS</t>
  </si>
  <si>
    <t>RUA MARIA ALVES, 8</t>
  </si>
  <si>
    <t>-11.044451</t>
  </si>
  <si>
    <t>(074) 08111-4516</t>
  </si>
  <si>
    <t>0214-0275</t>
  </si>
  <si>
    <t>COMERCIAL DE ALIMENTOS JSMC LTDA</t>
  </si>
  <si>
    <t>DISTAK CENTER</t>
  </si>
  <si>
    <t>PRC J K, 711</t>
  </si>
  <si>
    <t>-11.047222</t>
  </si>
  <si>
    <t>-41.969614</t>
  </si>
  <si>
    <t>(074) 99912-9381</t>
  </si>
  <si>
    <t>0214-0276</t>
  </si>
  <si>
    <t>ALEX NICASSIO DA SILVA</t>
  </si>
  <si>
    <t>RESTA E PETIS JO PRE</t>
  </si>
  <si>
    <t>PRC JOAO BATISTA, 345</t>
  </si>
  <si>
    <t>-11.048787</t>
  </si>
  <si>
    <t>-41.973786</t>
  </si>
  <si>
    <t>(074) 98124-4148</t>
  </si>
  <si>
    <t>0214-0277</t>
  </si>
  <si>
    <t>HERMOGENES GOMES DUARTE</t>
  </si>
  <si>
    <t>MERCADO E ACUGU UIAO</t>
  </si>
  <si>
    <t>RUA GETULIO VARGAS, 1223</t>
  </si>
  <si>
    <t>-11.008110</t>
  </si>
  <si>
    <t>-41.887625</t>
  </si>
  <si>
    <t>(074) 99937-9357</t>
  </si>
  <si>
    <t>0214-0279</t>
  </si>
  <si>
    <t>SUPERMERCADO E ACOUGUE FIGUEREIDO LTDA</t>
  </si>
  <si>
    <t>SUPERMERC E ACOUG FI</t>
  </si>
  <si>
    <t>RUA GETULIO VARGAS SN</t>
  </si>
  <si>
    <t>-11.008307</t>
  </si>
  <si>
    <t>-41.888003</t>
  </si>
  <si>
    <t>(074) 99937-7601</t>
  </si>
  <si>
    <t>0214-0280</t>
  </si>
  <si>
    <t>TEREZA DE MOURA FERREIRA</t>
  </si>
  <si>
    <t>RESTAURANTE       01</t>
  </si>
  <si>
    <t>RUA MANOEL NOVAIS 02, 204</t>
  </si>
  <si>
    <t>-11.045639</t>
  </si>
  <si>
    <t>-41.969869</t>
  </si>
  <si>
    <t>(074) 99929-2289</t>
  </si>
  <si>
    <t>0214-0281</t>
  </si>
  <si>
    <t>ROBSON DA SILVA FIGUEREDO</t>
  </si>
  <si>
    <t>A GARAGEM         01</t>
  </si>
  <si>
    <t>RUA BOA ESPERANCA, 71</t>
  </si>
  <si>
    <t>-11.047804</t>
  </si>
  <si>
    <t>-41.970965</t>
  </si>
  <si>
    <t>(074) 98104-6780</t>
  </si>
  <si>
    <t>0214-0282</t>
  </si>
  <si>
    <t>GEOVANE GOMES NUNES</t>
  </si>
  <si>
    <t>GR ATACAREJO</t>
  </si>
  <si>
    <t>PRC JK, 127</t>
  </si>
  <si>
    <t>-11.047170</t>
  </si>
  <si>
    <t>-41.970531</t>
  </si>
  <si>
    <t>(074) 99923-7693</t>
  </si>
  <si>
    <t>0214-0283</t>
  </si>
  <si>
    <t>NOEMIA BARBOSA AMARAL DO NASCIMENTO</t>
  </si>
  <si>
    <t>MERCADO BRUNO</t>
  </si>
  <si>
    <t>RUA DAS FLORES, 158</t>
  </si>
  <si>
    <t>-11.045122</t>
  </si>
  <si>
    <t>-41.969244</t>
  </si>
  <si>
    <t>(074) 98102-8893</t>
  </si>
  <si>
    <t>0214-0285</t>
  </si>
  <si>
    <t>ADARLAN FEITOSA DE SOUZA</t>
  </si>
  <si>
    <t>SHANNAN VARIEDADES</t>
  </si>
  <si>
    <t>RUA BELA VISTA, 130</t>
  </si>
  <si>
    <t>-11.112828</t>
  </si>
  <si>
    <t>-41.967249</t>
  </si>
  <si>
    <t>(074) 99928-9018</t>
  </si>
  <si>
    <t>0214-0286</t>
  </si>
  <si>
    <t>BRUNO CANDIDO ALVES</t>
  </si>
  <si>
    <t>SKINAO BEER       01</t>
  </si>
  <si>
    <t>RUA R SAO JOSE</t>
  </si>
  <si>
    <t>-11.043220</t>
  </si>
  <si>
    <t>-41.971317</t>
  </si>
  <si>
    <t>(074) 99972-8395</t>
  </si>
  <si>
    <t>0214-0287</t>
  </si>
  <si>
    <t>CLAUDINEI PEREIRA DOS SANTOS</t>
  </si>
  <si>
    <t>DISTRIBUIDORA ZERO G</t>
  </si>
  <si>
    <t>RUA PRINCESA ISABEL, 51</t>
  </si>
  <si>
    <t>-11.009478</t>
  </si>
  <si>
    <t>-41.890045</t>
  </si>
  <si>
    <t>(074) 99815-1897</t>
  </si>
  <si>
    <t>0214-0288</t>
  </si>
  <si>
    <t>ERNAM BATISTA DE OLIVEIRA</t>
  </si>
  <si>
    <t>ECEL DISTRIBUIDORA</t>
  </si>
  <si>
    <t>RUA MANSO CAVRAL, 6342</t>
  </si>
  <si>
    <t>-11.046682</t>
  </si>
  <si>
    <t>-41.960272</t>
  </si>
  <si>
    <t>(074) 98103-8773</t>
  </si>
  <si>
    <t>0214-0289</t>
  </si>
  <si>
    <t>GRACIETE BATISTA DE CARVALHO LTDA</t>
  </si>
  <si>
    <t>COMERCIAL M.T</t>
  </si>
  <si>
    <t>RUA EURIPEDIS MARTINIANO, 109</t>
  </si>
  <si>
    <t>-11.041659</t>
  </si>
  <si>
    <t>-41.970756</t>
  </si>
  <si>
    <t>(074) 98122-7671</t>
  </si>
  <si>
    <t>0215-0008</t>
  </si>
  <si>
    <t>QUEDIMA DE CASTRO DOURADO MIRANDA</t>
  </si>
  <si>
    <t>ARMAZEM DO LAR</t>
  </si>
  <si>
    <t>RUA RUA MILITAO, 226</t>
  </si>
  <si>
    <t>-11.455425</t>
  </si>
  <si>
    <t>-41.811400</t>
  </si>
  <si>
    <t>(740) 03699-4523</t>
  </si>
  <si>
    <t>0215-0025</t>
  </si>
  <si>
    <t>RANGEL DA SILVA FREITAS</t>
  </si>
  <si>
    <t>MERCADINHO DE</t>
  </si>
  <si>
    <t>RUA RUA SATURNO MARQUES VILEL, 106</t>
  </si>
  <si>
    <t>-11.382975</t>
  </si>
  <si>
    <t>-41.826380</t>
  </si>
  <si>
    <t>(740) 99978-0324</t>
  </si>
  <si>
    <t>0215-0027</t>
  </si>
  <si>
    <t>ECIJANIA ALVES DE FREITAS</t>
  </si>
  <si>
    <t>MERCADINHO CLARA</t>
  </si>
  <si>
    <t>RUA IRMA DULCE RUA, 36</t>
  </si>
  <si>
    <t>NOVA ESPERANCA</t>
  </si>
  <si>
    <t>-11.381900</t>
  </si>
  <si>
    <t>-41.828080</t>
  </si>
  <si>
    <t>(740) 03657-1413</t>
  </si>
  <si>
    <t>0215-0028</t>
  </si>
  <si>
    <t>GENARIO OLIVEIRA CARDOSO</t>
  </si>
  <si>
    <t>BAR DO GENARIO</t>
  </si>
  <si>
    <t>AV JASON OLIVEIRA AV, 106</t>
  </si>
  <si>
    <t>-11.382459</t>
  </si>
  <si>
    <t>-41.830715</t>
  </si>
  <si>
    <t>(740) 03657-1206</t>
  </si>
  <si>
    <t>0215-0033</t>
  </si>
  <si>
    <t>ERENILSON ALVES DE FREITAS</t>
  </si>
  <si>
    <t>MERC COMPREBEM</t>
  </si>
  <si>
    <t>RUA LEOBINIO ROCHA, 34</t>
  </si>
  <si>
    <t>-11.383065</t>
  </si>
  <si>
    <t>-41.827953</t>
  </si>
  <si>
    <t>(740) 03657-1305</t>
  </si>
  <si>
    <t>0215-0040</t>
  </si>
  <si>
    <t>JEAN DOURADO PAIVA</t>
  </si>
  <si>
    <t>MERCADINHO DE JEAN</t>
  </si>
  <si>
    <t>PRC PCA JOAO DANTAS MENEZES, 98</t>
  </si>
  <si>
    <t>CENTRO-LAPAO</t>
  </si>
  <si>
    <t>-11.384335</t>
  </si>
  <si>
    <t>-41.831123</t>
  </si>
  <si>
    <t>(074) 99943-5064</t>
  </si>
  <si>
    <t>0215-0043</t>
  </si>
  <si>
    <t>LUIZ CARLOS RODRIGUES DA SILVA</t>
  </si>
  <si>
    <t>PALADAR LANCHES</t>
  </si>
  <si>
    <t>PRC PCA PRESBITERIANA, 50</t>
  </si>
  <si>
    <t>-11.383237</t>
  </si>
  <si>
    <t>-41.834570</t>
  </si>
  <si>
    <t>(074) 00657-1821</t>
  </si>
  <si>
    <t>0215-0048</t>
  </si>
  <si>
    <t>MARILDA BARBOSA COSTA</t>
  </si>
  <si>
    <t>MERCADINHO ALVES</t>
  </si>
  <si>
    <t>RUA RUA CASTELO BRANCO, 138</t>
  </si>
  <si>
    <t>-11.381170</t>
  </si>
  <si>
    <t>-41.830494</t>
  </si>
  <si>
    <t>(740) 09966-6472</t>
  </si>
  <si>
    <t>0215-0077</t>
  </si>
  <si>
    <t>ADELMO SILVESTRE DA SILVA</t>
  </si>
  <si>
    <t>MERCADO MASTER    01</t>
  </si>
  <si>
    <t>RUA RUA JOSE VITOR CARVALHOO, 98</t>
  </si>
  <si>
    <t>-11.380918</t>
  </si>
  <si>
    <t>-41.830560</t>
  </si>
  <si>
    <t>(074) 99958-2792</t>
  </si>
  <si>
    <t>0215-0081</t>
  </si>
  <si>
    <t>PAULO MARCOS DE SOUZA</t>
  </si>
  <si>
    <t>MERCADINHO SOUZA E S</t>
  </si>
  <si>
    <t>POV POVOADO LAGOA DO GALDENCIO, 111 / B</t>
  </si>
  <si>
    <t>LAGOA DO GALDENCIO</t>
  </si>
  <si>
    <t>-11.486119</t>
  </si>
  <si>
    <t>-41.793396</t>
  </si>
  <si>
    <t>(074) 99910-3847</t>
  </si>
  <si>
    <t>0215-0088</t>
  </si>
  <si>
    <t>FLORISBELA RODRIGUES</t>
  </si>
  <si>
    <t>FLOR DE ACAI</t>
  </si>
  <si>
    <t>RUA JOSE GREGORIO, 75</t>
  </si>
  <si>
    <t>BELO HORIZONTE</t>
  </si>
  <si>
    <t>-11.382672</t>
  </si>
  <si>
    <t>-41.833700</t>
  </si>
  <si>
    <t>(074) 99988-7364</t>
  </si>
  <si>
    <t>0215-0089</t>
  </si>
  <si>
    <t>GEOVANI ELIAS DE LIMA</t>
  </si>
  <si>
    <t>MERCADO LIMA UM</t>
  </si>
  <si>
    <t>RUA RUA MANOEL ELIAS DE LIMA, 57</t>
  </si>
  <si>
    <t>-11.380251</t>
  </si>
  <si>
    <t>-41.834156</t>
  </si>
  <si>
    <t>(074) 09930-5408</t>
  </si>
  <si>
    <t>0215-0095</t>
  </si>
  <si>
    <t>THAIS DA SILVA OLIVEIRA</t>
  </si>
  <si>
    <t>MERCADINHO LETICIA01</t>
  </si>
  <si>
    <t>RUA RUA JOAO PEREIRA MACO</t>
  </si>
  <si>
    <t>NOVA BRASILA</t>
  </si>
  <si>
    <t>-11.387448</t>
  </si>
  <si>
    <t>-41.826324</t>
  </si>
  <si>
    <t>(074) 09983-1274</t>
  </si>
  <si>
    <t>0215-0101</t>
  </si>
  <si>
    <t>VALTER DE SOUZA MATOS</t>
  </si>
  <si>
    <t>MERCADO MATOS</t>
  </si>
  <si>
    <t>PRC PRACA CLERISTON ANDRADE SN</t>
  </si>
  <si>
    <t>LAGOA DOS PATOS/LAPA</t>
  </si>
  <si>
    <t>-11.496200</t>
  </si>
  <si>
    <t>-41.868378</t>
  </si>
  <si>
    <t>(740) 99968-7090</t>
  </si>
  <si>
    <t>0215-0127</t>
  </si>
  <si>
    <t>ADRIANA ALVES DE SOUZA</t>
  </si>
  <si>
    <t>MERCADINHO MAIS DIA</t>
  </si>
  <si>
    <t>RUA RUA AUGUSTO DE MATOS, 38</t>
  </si>
  <si>
    <t>-11.457037</t>
  </si>
  <si>
    <t>-41.807384</t>
  </si>
  <si>
    <t>(740) 99922-9729</t>
  </si>
  <si>
    <t>0215-0154</t>
  </si>
  <si>
    <t>GENIVALDO SOUZA SANTOS</t>
  </si>
  <si>
    <t>MERCADINHO GENESI</t>
  </si>
  <si>
    <t>PRC APREJO DOURADO</t>
  </si>
  <si>
    <t>LAJEADO</t>
  </si>
  <si>
    <t>-11.478168</t>
  </si>
  <si>
    <t>-41.756516</t>
  </si>
  <si>
    <t>(074) 99987-4226</t>
  </si>
  <si>
    <t>0215-0165</t>
  </si>
  <si>
    <t>MILENA SOUZA MELO SILVA E CIA LTDA</t>
  </si>
  <si>
    <t>MERCADO LENA</t>
  </si>
  <si>
    <t>RUA RUA MARECHAL DEODORO DA FONSECA, 5</t>
  </si>
  <si>
    <t>-11.308786</t>
  </si>
  <si>
    <t>(074) 99936-1977</t>
  </si>
  <si>
    <t>0215-0173</t>
  </si>
  <si>
    <t>FERNANDO OLIVEIRA PAIVA</t>
  </si>
  <si>
    <t>BAR DO FERNANDO</t>
  </si>
  <si>
    <t>PRC DO COMERCIO SN / 0</t>
  </si>
  <si>
    <t>TANQUINHO</t>
  </si>
  <si>
    <t>-11.400426</t>
  </si>
  <si>
    <t>-41.886143</t>
  </si>
  <si>
    <t>(740) 09999-3072</t>
  </si>
  <si>
    <t>0215-0180</t>
  </si>
  <si>
    <t>LEILA NUNES NAZARE</t>
  </si>
  <si>
    <t>PANIF FAMILIA L</t>
  </si>
  <si>
    <t>AV AVENIDA GUARARAPES, 723</t>
  </si>
  <si>
    <t>-11.303223</t>
  </si>
  <si>
    <t>(074) 99925-4835</t>
  </si>
  <si>
    <t>0215-0185</t>
  </si>
  <si>
    <t>JAILSON SOUZA MENDES</t>
  </si>
  <si>
    <t>JACAREPAUGA LANCHES</t>
  </si>
  <si>
    <t>RUA AV 9 DE MAIO, 54</t>
  </si>
  <si>
    <t>-11.382819</t>
  </si>
  <si>
    <t>-41.829193</t>
  </si>
  <si>
    <t>(740) 09996-8062</t>
  </si>
  <si>
    <t>0215-0189</t>
  </si>
  <si>
    <t>AILTON DE JESUS PIRES</t>
  </si>
  <si>
    <t>DOCERIA ACONCHEGO</t>
  </si>
  <si>
    <t>RUA BOA ESPERANCA</t>
  </si>
  <si>
    <t>LAGEADO</t>
  </si>
  <si>
    <t>-11.481547</t>
  </si>
  <si>
    <t>-41.757767</t>
  </si>
  <si>
    <t>(074) 99927-6773</t>
  </si>
  <si>
    <t>0215-0199</t>
  </si>
  <si>
    <t>JOSE BONIFACIO MARQUES DE SOUZA</t>
  </si>
  <si>
    <t>MERCADO NOVA OPCAO</t>
  </si>
  <si>
    <t>PRC OLEGARIO MARQUES, 40</t>
  </si>
  <si>
    <t>LAJEDO DO PAUDARCO</t>
  </si>
  <si>
    <t>-11.525239</t>
  </si>
  <si>
    <t>-41.790652</t>
  </si>
  <si>
    <t>(740) 09977-9741</t>
  </si>
  <si>
    <t>0215-0226</t>
  </si>
  <si>
    <t>JENILSON DA SILVA</t>
  </si>
  <si>
    <t>MERCADO MULHER 01 01</t>
  </si>
  <si>
    <t>RUA JOSE Z NILDO T DA SILVA, 11</t>
  </si>
  <si>
    <t>-11.386558</t>
  </si>
  <si>
    <t>-41.830015</t>
  </si>
  <si>
    <t>(074) 99999-1251</t>
  </si>
  <si>
    <t>0215-0241</t>
  </si>
  <si>
    <t>THIAGO PEREIRA DA SILVA</t>
  </si>
  <si>
    <t>MERCADO PEREIRA 02</t>
  </si>
  <si>
    <t>PRC PC DA IGREJA, 90</t>
  </si>
  <si>
    <t>-11.402611</t>
  </si>
  <si>
    <t>-41.886980</t>
  </si>
  <si>
    <t>(740) 09991-7767</t>
  </si>
  <si>
    <t>0215-0243</t>
  </si>
  <si>
    <t>AURELIO DELION OLIVEIRA MATOS</t>
  </si>
  <si>
    <t>MERCADO AGUADA NOVA</t>
  </si>
  <si>
    <t>RUA RUA MILITAO, 220</t>
  </si>
  <si>
    <t>-11.456087</t>
  </si>
  <si>
    <t>-41.809025</t>
  </si>
  <si>
    <t>(074) 99925-8147</t>
  </si>
  <si>
    <t>0215-0256</t>
  </si>
  <si>
    <t>EMERSON DE CASTRO DOURADO</t>
  </si>
  <si>
    <t>MERCADO CASTRO 02</t>
  </si>
  <si>
    <t>PRC PRACA DO COMECIO</t>
  </si>
  <si>
    <t>BELO CAMPO</t>
  </si>
  <si>
    <t>-11.477130</t>
  </si>
  <si>
    <t>-41.694000</t>
  </si>
  <si>
    <t>(074) 09963-2105</t>
  </si>
  <si>
    <t>0215-0260</t>
  </si>
  <si>
    <t>MURILO DE LIMA ROCHA</t>
  </si>
  <si>
    <t>MERCADINHO ROCHA 03</t>
  </si>
  <si>
    <t>RUA RUA JOSE VILELA, 35</t>
  </si>
  <si>
    <t>-11.379733</t>
  </si>
  <si>
    <t>-41.835552</t>
  </si>
  <si>
    <t>(074) 09962-9063</t>
  </si>
  <si>
    <t>0215-0270</t>
  </si>
  <si>
    <t>LIGIA MIRIAN SOUZA BARRETO</t>
  </si>
  <si>
    <t>MERC ACOG BOM PRAZER</t>
  </si>
  <si>
    <t>RUA RUA DO PREDIO, 1</t>
  </si>
  <si>
    <t>BOM PRAZER</t>
  </si>
  <si>
    <t>-11.415392</t>
  </si>
  <si>
    <t>-41.760796</t>
  </si>
  <si>
    <t>(074) 99985-5612</t>
  </si>
  <si>
    <t>0215-0277</t>
  </si>
  <si>
    <t>MARILENE GONCALVES DA SILVA</t>
  </si>
  <si>
    <t>CLARA LANCHE</t>
  </si>
  <si>
    <t>RUA R SENHOR DO BONFIM, 13</t>
  </si>
  <si>
    <t>RODAGEM</t>
  </si>
  <si>
    <t>-11.570909</t>
  </si>
  <si>
    <t>-41.770730</t>
  </si>
  <si>
    <t>(074) 99806-3291</t>
  </si>
  <si>
    <t>0215-0278</t>
  </si>
  <si>
    <t>CICERO BEZERRA DA SILVA</t>
  </si>
  <si>
    <t>MERCADINHO JEANE</t>
  </si>
  <si>
    <t>RUA R DA IGREJA</t>
  </si>
  <si>
    <t>-11.414722</t>
  </si>
  <si>
    <t>-41.760834</t>
  </si>
  <si>
    <t>(074) 99945-2244</t>
  </si>
  <si>
    <t>0215-0280</t>
  </si>
  <si>
    <t>GILDENIR NUNES FERREIRA</t>
  </si>
  <si>
    <t>MERCADINHO NUNES 04</t>
  </si>
  <si>
    <t>RUA RUA DO CAMPO, 25</t>
  </si>
  <si>
    <t>-11.566483</t>
  </si>
  <si>
    <t>-41.764160</t>
  </si>
  <si>
    <t>(074) 99946-4554</t>
  </si>
  <si>
    <t>0215-0302</t>
  </si>
  <si>
    <t>EDILENE DA SILVA ROSENDO</t>
  </si>
  <si>
    <t>MERCADO ROSENDO</t>
  </si>
  <si>
    <t>RUA RPGACIANO BARBOSA, 192</t>
  </si>
  <si>
    <t>-11.380881</t>
  </si>
  <si>
    <t>-41.829470</t>
  </si>
  <si>
    <t>(074) 09912-6395</t>
  </si>
  <si>
    <t>0215-0308</t>
  </si>
  <si>
    <t>ICARO NOVAIS DOURADO</t>
  </si>
  <si>
    <t>QUITANDA JN</t>
  </si>
  <si>
    <t>PRC PC BRAULIO CARDOSO, 26</t>
  </si>
  <si>
    <t>-11.382730</t>
  </si>
  <si>
    <t>-41.834457</t>
  </si>
  <si>
    <t>(074) 99967-4234</t>
  </si>
  <si>
    <t>0215-0311</t>
  </si>
  <si>
    <t>JOSEANE SILVA MELO</t>
  </si>
  <si>
    <t>MERCADO MELO</t>
  </si>
  <si>
    <t>RUA EURICLES LOPES, 37</t>
  </si>
  <si>
    <t>-11.376587</t>
  </si>
  <si>
    <t>-41.831543</t>
  </si>
  <si>
    <t>(074) 99975-8787</t>
  </si>
  <si>
    <t>0215-0316</t>
  </si>
  <si>
    <t>GILCELIA GOMES DE JESUS MENEZES</t>
  </si>
  <si>
    <t>MERCADINHO VIP</t>
  </si>
  <si>
    <t>AV AV IRECE, 15</t>
  </si>
  <si>
    <t>-11.453526</t>
  </si>
  <si>
    <t>-41.811226</t>
  </si>
  <si>
    <t>(074) 99979-2110</t>
  </si>
  <si>
    <t>0215-0319</t>
  </si>
  <si>
    <t>JOSEANE NASCIMENTO DE SANTANA</t>
  </si>
  <si>
    <t>RESTAURANTE DO WILSO</t>
  </si>
  <si>
    <t>RUA ANTONIO CARLOS, 58</t>
  </si>
  <si>
    <t>-11.382410</t>
  </si>
  <si>
    <t>-41.835148</t>
  </si>
  <si>
    <t>(074) 09932-7405</t>
  </si>
  <si>
    <t>0215-0320</t>
  </si>
  <si>
    <t>DILSON VIDAL DE SOUZA</t>
  </si>
  <si>
    <t>MERCADINHO VIDAL</t>
  </si>
  <si>
    <t>RUA RUA MANOEL NOVAES, 133</t>
  </si>
  <si>
    <t>-11.380898</t>
  </si>
  <si>
    <t>-41.827370</t>
  </si>
  <si>
    <t>(074) 99954-4762</t>
  </si>
  <si>
    <t>0215-0321</t>
  </si>
  <si>
    <t>ANA MARIA DA SILVA PAIVA</t>
  </si>
  <si>
    <t>DISTRIBUIDORA AVANTE</t>
  </si>
  <si>
    <t>RUA RU 7 DE SETEMBRO</t>
  </si>
  <si>
    <t>-11.400227</t>
  </si>
  <si>
    <t>-41.886380</t>
  </si>
  <si>
    <t>(074) 99998-1087</t>
  </si>
  <si>
    <t>0215-0323</t>
  </si>
  <si>
    <t>ALAN GALDINO DE ALMEIDA</t>
  </si>
  <si>
    <t>COMERCIAL GALDINO 01</t>
  </si>
  <si>
    <t>AV AV 9 DE MAIO, 20</t>
  </si>
  <si>
    <t>-11.382816</t>
  </si>
  <si>
    <t>-41.829500</t>
  </si>
  <si>
    <t>(074) 99976-0916</t>
  </si>
  <si>
    <t>0215-0327</t>
  </si>
  <si>
    <t>JOSENILTON SILVA</t>
  </si>
  <si>
    <t>MERCADINHO MILA 02</t>
  </si>
  <si>
    <t>RUA RUA ABILIO MIRANDAA, 22</t>
  </si>
  <si>
    <t>-11.382038</t>
  </si>
  <si>
    <t>-41.834515</t>
  </si>
  <si>
    <t>(074) 99997-5287</t>
  </si>
  <si>
    <t>0215-0332</t>
  </si>
  <si>
    <t>EDILENE BOAVENTURA DA SILVA</t>
  </si>
  <si>
    <t>MERCADO IRECEZINHO 2</t>
  </si>
  <si>
    <t>POV POVOADO IRECEZINHO, 8</t>
  </si>
  <si>
    <t>-11.677902</t>
  </si>
  <si>
    <t>-41.768307</t>
  </si>
  <si>
    <t>(074) 99968-8819</t>
  </si>
  <si>
    <t>0215-0338</t>
  </si>
  <si>
    <t>DAIANA DOS ANJOS LIMA</t>
  </si>
  <si>
    <t>RESTAURANTE ACONCHEG</t>
  </si>
  <si>
    <t>RUA BELO HORIZONTE, 4</t>
  </si>
  <si>
    <t>-11.297474</t>
  </si>
  <si>
    <t>-41.851303</t>
  </si>
  <si>
    <t>(074) 09952-3593</t>
  </si>
  <si>
    <t>0215-0343</t>
  </si>
  <si>
    <t>MIRIA TIMOTEO DA SILVA</t>
  </si>
  <si>
    <t>PANIF E CONFEIT KM</t>
  </si>
  <si>
    <t>RUA ANTONIO CARLOS MAGALHAES, 81</t>
  </si>
  <si>
    <t>-11.382486</t>
  </si>
  <si>
    <t>-41.835270</t>
  </si>
  <si>
    <t>(061) 99683-1797</t>
  </si>
  <si>
    <t>0215-0349</t>
  </si>
  <si>
    <t>NOELIO MESSIAS DOS SANTOS</t>
  </si>
  <si>
    <t>MERCADINHO PAU DARCO</t>
  </si>
  <si>
    <t>PRC PRACA DA QUADRA, 142</t>
  </si>
  <si>
    <t>LAGEDO DO PAU DARCO</t>
  </si>
  <si>
    <t>-11.531124</t>
  </si>
  <si>
    <t>-41.791962</t>
  </si>
  <si>
    <t>(074) 99969-9254</t>
  </si>
  <si>
    <t>0215-0355</t>
  </si>
  <si>
    <t>RIZOMAR ALVES DA SILVA</t>
  </si>
  <si>
    <t>KITANDA E CIA</t>
  </si>
  <si>
    <t>RUA SAO JOSE, 374</t>
  </si>
  <si>
    <t>-11.402884</t>
  </si>
  <si>
    <t>-41.891246</t>
  </si>
  <si>
    <t>(074) 99984-1490</t>
  </si>
  <si>
    <t>0215-0357</t>
  </si>
  <si>
    <t>LUCIANO ROCHA DOS SANTOS</t>
  </si>
  <si>
    <t>MERCADINHO DULAR</t>
  </si>
  <si>
    <t>RUA ADONIAS AVELINO SOUZA, 9955</t>
  </si>
  <si>
    <t>-11.478953</t>
  </si>
  <si>
    <t>-41.696968</t>
  </si>
  <si>
    <t>(074) 99925-3174</t>
  </si>
  <si>
    <t>0215-0360</t>
  </si>
  <si>
    <t>BRUNA CARLA MESSIAS MENEZES MACEDO</t>
  </si>
  <si>
    <t>MERCADINHO MENEZES</t>
  </si>
  <si>
    <t>POV POVOADO BOMNZAO, 46</t>
  </si>
  <si>
    <t>BONZAO</t>
  </si>
  <si>
    <t>-11.443579</t>
  </si>
  <si>
    <t>-41.860245</t>
  </si>
  <si>
    <t>(074) 99957-3170</t>
  </si>
  <si>
    <t>0215-0361</t>
  </si>
  <si>
    <t>PORCIDANIA SILVA DOS SANTOS</t>
  </si>
  <si>
    <t>MERCADINHO CIDA</t>
  </si>
  <si>
    <t>RUA RUA DAS FLORES, 6</t>
  </si>
  <si>
    <t>-11.444592</t>
  </si>
  <si>
    <t>-41.860270</t>
  </si>
  <si>
    <t>(074) 99967-6544</t>
  </si>
  <si>
    <t>0215-0369</t>
  </si>
  <si>
    <t>JOSE AGREPINO DE SOUZA</t>
  </si>
  <si>
    <t>MERCACOUGUE DO POV2</t>
  </si>
  <si>
    <t>AV SAO JOSE, 23</t>
  </si>
  <si>
    <t>-11.402373</t>
  </si>
  <si>
    <t>-41.887127</t>
  </si>
  <si>
    <t>(071) 99916-0853</t>
  </si>
  <si>
    <t>0215-0385</t>
  </si>
  <si>
    <t>SANDRA TEIXEIRA DOS SANTOS</t>
  </si>
  <si>
    <t>DISTRIBUIDO TEIXEIRA</t>
  </si>
  <si>
    <t>POV POVOADO DE LAGEADO, 564</t>
  </si>
  <si>
    <t>-11.479173</t>
  </si>
  <si>
    <t>-41.756510</t>
  </si>
  <si>
    <t>0215-0390</t>
  </si>
  <si>
    <t>ELIEL BARRETO DOURADO</t>
  </si>
  <si>
    <t>FRIGO CARNES      01</t>
  </si>
  <si>
    <t>RUA RUA ANTONIO DOURADO SOBRINHO, 21</t>
  </si>
  <si>
    <t>-11.382981</t>
  </si>
  <si>
    <t>-41.834553</t>
  </si>
  <si>
    <t>(074) 99908-1178</t>
  </si>
  <si>
    <t>0215-0396</t>
  </si>
  <si>
    <t>JUCIMARLOS DA SILVA SOUZA</t>
  </si>
  <si>
    <t>MERCADINHO AM</t>
  </si>
  <si>
    <t>RUA RUA NOVE DE MAIO, 157</t>
  </si>
  <si>
    <t>-11.382631</t>
  </si>
  <si>
    <t>-41.828500</t>
  </si>
  <si>
    <t>(074) 99907-6109</t>
  </si>
  <si>
    <t>0215-0402</t>
  </si>
  <si>
    <t>LUCAS DE SOUZA FERNANDES</t>
  </si>
  <si>
    <t>ADEGA PONTO CERTO 01</t>
  </si>
  <si>
    <t>AV AV SAO JOSE, 23</t>
  </si>
  <si>
    <t>-11.400531</t>
  </si>
  <si>
    <t>-41.886574</t>
  </si>
  <si>
    <t>(074) 99815-5560</t>
  </si>
  <si>
    <t>0215-0405</t>
  </si>
  <si>
    <t>VITORIA BORGES DOS SANTOS</t>
  </si>
  <si>
    <t>RESTAURANTE DA LOURA</t>
  </si>
  <si>
    <t>RUA PRACA DO COMERCIO, 50</t>
  </si>
  <si>
    <t>-11.455490</t>
  </si>
  <si>
    <t>-41.811024</t>
  </si>
  <si>
    <t>(074) 99963-2384</t>
  </si>
  <si>
    <t>0215-0408</t>
  </si>
  <si>
    <t>ERLA BATISTA NUNES SANTOS</t>
  </si>
  <si>
    <t>PREMIUM SALGADO</t>
  </si>
  <si>
    <t>RUA RUA NTONIO SOBRINHO, 35</t>
  </si>
  <si>
    <t>DARIO VILELE / LAPAO</t>
  </si>
  <si>
    <t>-11.383130</t>
  </si>
  <si>
    <t>-41.834496</t>
  </si>
  <si>
    <t>(074) 99815-2224</t>
  </si>
  <si>
    <t>0215-0409</t>
  </si>
  <si>
    <t>FRANCISCO DE SALES</t>
  </si>
  <si>
    <t>REST CONSULADO NORDE</t>
  </si>
  <si>
    <t>PRC PRACA DO COMERCIO, 117</t>
  </si>
  <si>
    <t>-11.400486</t>
  </si>
  <si>
    <t>-41.886580</t>
  </si>
  <si>
    <t>(074) 99904-5395</t>
  </si>
  <si>
    <t>0215-0412</t>
  </si>
  <si>
    <t>MICAEL DE OLIVEIRA SILVA</t>
  </si>
  <si>
    <t>PASTEL BOBS</t>
  </si>
  <si>
    <t>RUA RUA ANTONIO CARLOS MAGALHAES 26 A, 26</t>
  </si>
  <si>
    <t>-11.382404</t>
  </si>
  <si>
    <t>-41.834675</t>
  </si>
  <si>
    <t>(074) 99995-0058</t>
  </si>
  <si>
    <t>0215-0413</t>
  </si>
  <si>
    <t>PAULO CEZAR ALVES FRANCA</t>
  </si>
  <si>
    <t>MERCADO CESAR     01</t>
  </si>
  <si>
    <t>PRC PRACA BRAULIO CARDOSO 61CB, 61</t>
  </si>
  <si>
    <t>-11.382403</t>
  </si>
  <si>
    <t>-41.833717</t>
  </si>
  <si>
    <t>(074) 99967-4312</t>
  </si>
  <si>
    <t>0215-0415</t>
  </si>
  <si>
    <t>SUELENE DOURADO NUNES FRANCA</t>
  </si>
  <si>
    <t>COZINHA DA SU</t>
  </si>
  <si>
    <t>RUA RUA JOSE VILELA, 217</t>
  </si>
  <si>
    <t>-11.380390</t>
  </si>
  <si>
    <t>-41.835392</t>
  </si>
  <si>
    <t>(074) 99966-9392</t>
  </si>
  <si>
    <t>0215-0416</t>
  </si>
  <si>
    <t>MURILO MARQUES DOURADO</t>
  </si>
  <si>
    <t>MEU ACAI</t>
  </si>
  <si>
    <t>PRC PRACA DO COMERCIO, 9999</t>
  </si>
  <si>
    <t>-11.477725</t>
  </si>
  <si>
    <t>-41.693645</t>
  </si>
  <si>
    <t>(074) 99988-0659</t>
  </si>
  <si>
    <t>0215-0421</t>
  </si>
  <si>
    <t>THIAGO SILVA LIMA</t>
  </si>
  <si>
    <t>PANTANO</t>
  </si>
  <si>
    <t>AV AVENIDA ANTONIO CARLOS MAGALHAESS, 240 / A</t>
  </si>
  <si>
    <t>-11.382494</t>
  </si>
  <si>
    <t>-41.836826</t>
  </si>
  <si>
    <t>(074) 99900-1122</t>
  </si>
  <si>
    <t>0215-0425</t>
  </si>
  <si>
    <t>EDUARDA OLIVEIRA DE ARAUJO</t>
  </si>
  <si>
    <t>MERCADO E ACOUGUE 01</t>
  </si>
  <si>
    <t>RUA RUA SENHOR DO BOMFIM, 9</t>
  </si>
  <si>
    <t>RODAGEM / LAPAO</t>
  </si>
  <si>
    <t>-11.570704</t>
  </si>
  <si>
    <t>-41.770780</t>
  </si>
  <si>
    <t>(074) 99819-3345</t>
  </si>
  <si>
    <t>0215-0426</t>
  </si>
  <si>
    <t>AVTON DE FIGUEIREDO ALVES FERREIRA</t>
  </si>
  <si>
    <t>CESTAO DA ECONOMIA06</t>
  </si>
  <si>
    <t>PRC PRACA BRAULIO CARDOSO, 146</t>
  </si>
  <si>
    <t>-11.382832</t>
  </si>
  <si>
    <t>-41.833230</t>
  </si>
  <si>
    <t>(074) 99110-7369</t>
  </si>
  <si>
    <t>0215-0428</t>
  </si>
  <si>
    <t>ALISSON NASCIMENTO SOUZA</t>
  </si>
  <si>
    <t>MERC E CONST</t>
  </si>
  <si>
    <t>PRC PRACA DO COMERCIOO, 54</t>
  </si>
  <si>
    <t>-11.484514</t>
  </si>
  <si>
    <t>-41.794888</t>
  </si>
  <si>
    <t>(074) 99900-9923</t>
  </si>
  <si>
    <t>0215-0429</t>
  </si>
  <si>
    <t>JOSE ANTONIO SILVA DE SANTANA</t>
  </si>
  <si>
    <t>REST ESQUINA DA ROCA</t>
  </si>
  <si>
    <t>POV POVOADO DE TANQUINHO</t>
  </si>
  <si>
    <t>-11.402388</t>
  </si>
  <si>
    <t>-41.895256</t>
  </si>
  <si>
    <t>(074) 99810-3384</t>
  </si>
  <si>
    <t>0215-0430</t>
  </si>
  <si>
    <t>JR DA CONCEICAO SILVA COMERCIAL DE BEBID</t>
  </si>
  <si>
    <t>JP DISTRIBUIDORA DE</t>
  </si>
  <si>
    <t>AV DARIO VILELA</t>
  </si>
  <si>
    <t>-11.381911</t>
  </si>
  <si>
    <t>-41.838585</t>
  </si>
  <si>
    <t>(074) 99948-3856</t>
  </si>
  <si>
    <t>0215-0432</t>
  </si>
  <si>
    <t>MARIA ROSANGELA MENDES DE SOUZA</t>
  </si>
  <si>
    <t>SUPER SERPEL      01</t>
  </si>
  <si>
    <t>POV DE TANQUNHO, 12</t>
  </si>
  <si>
    <t>-11.401167</t>
  </si>
  <si>
    <t>-41.887520</t>
  </si>
  <si>
    <t>(074) 99991-3419</t>
  </si>
  <si>
    <t>0215-0435</t>
  </si>
  <si>
    <t>JERONIMO LEAO MATOS FILHO</t>
  </si>
  <si>
    <t>TA NA CHAPA</t>
  </si>
  <si>
    <t>RUA AURELIANO GALVAO DOURADO, 42</t>
  </si>
  <si>
    <t>-11.383699</t>
  </si>
  <si>
    <t>-41.833214</t>
  </si>
  <si>
    <t>(011) 42288-3601</t>
  </si>
  <si>
    <t>0215-0436</t>
  </si>
  <si>
    <t>TANIEL VENCIO DE SOUZA</t>
  </si>
  <si>
    <t>MERCADO E ACOUGUE MV</t>
  </si>
  <si>
    <t>RUA RUA DA CAIXA D AGUA, 201</t>
  </si>
  <si>
    <t>-11.569224</t>
  </si>
  <si>
    <t>-41.770390</t>
  </si>
  <si>
    <t>(074) 99936-7115</t>
  </si>
  <si>
    <t>0215-0438</t>
  </si>
  <si>
    <t>EONNEY VILELA ALMEIDA</t>
  </si>
  <si>
    <t>COMERCIAL JML     01</t>
  </si>
  <si>
    <t>AV AVENIDA JASON OLIVEIRA, 16</t>
  </si>
  <si>
    <t>-11.382348</t>
  </si>
  <si>
    <t>-41.831560</t>
  </si>
  <si>
    <t>(074) 99961-6606</t>
  </si>
  <si>
    <t>0215-0440</t>
  </si>
  <si>
    <t>CARLEANDRO SATIRO DE SOUZA</t>
  </si>
  <si>
    <t>CASA DE CARNE SOBERA</t>
  </si>
  <si>
    <t>RUA 9 DE MAIO, 42</t>
  </si>
  <si>
    <t>-11.382815</t>
  </si>
  <si>
    <t>-41.829308</t>
  </si>
  <si>
    <t>(074) 99914-5418</t>
  </si>
  <si>
    <t>0215-0441</t>
  </si>
  <si>
    <t>NAIARA BARBOSA DOS SANTOS</t>
  </si>
  <si>
    <t>DEPOSITO S J N</t>
  </si>
  <si>
    <t>PRC ANTONIO CARLOS MAGALHAES, 156</t>
  </si>
  <si>
    <t>-11.455542</t>
  </si>
  <si>
    <t>-41.810936</t>
  </si>
  <si>
    <t>(074) 98864-2616</t>
  </si>
  <si>
    <t>0215-0442</t>
  </si>
  <si>
    <t>HIPER MERCADO DO CORACAO LTDA</t>
  </si>
  <si>
    <t>SUPERMERCA DO CORACA</t>
  </si>
  <si>
    <t>AV CENTRAL BRAULIO CARDOSO VIANA, 192</t>
  </si>
  <si>
    <t>-11.382522</t>
  </si>
  <si>
    <t>-41.833170</t>
  </si>
  <si>
    <t>(071) 92107-5810</t>
  </si>
  <si>
    <t>0215-0444</t>
  </si>
  <si>
    <t>IRAN JOSE DA SILVA</t>
  </si>
  <si>
    <t>MERCADO DOS PATOS</t>
  </si>
  <si>
    <t>RUA SANTO ANTONIO, 95</t>
  </si>
  <si>
    <t>POV CAKUS LAGOA DOS</t>
  </si>
  <si>
    <t>-11.490676</t>
  </si>
  <si>
    <t>-41.872300</t>
  </si>
  <si>
    <t>(074) 99952-0848</t>
  </si>
  <si>
    <t>0215-0445</t>
  </si>
  <si>
    <t>ALESSANDRO ARAUJO DE OLIVEIRA</t>
  </si>
  <si>
    <t>ESPETINHO SAB DA PRA</t>
  </si>
  <si>
    <t>PRA DO COMERCIO, 220</t>
  </si>
  <si>
    <t>-11.455056</t>
  </si>
  <si>
    <t>-41.810989</t>
  </si>
  <si>
    <t>(074) 99902-8881</t>
  </si>
  <si>
    <t>0215-0446</t>
  </si>
  <si>
    <t>RENE CACIO ALVES FELIPE</t>
  </si>
  <si>
    <t>MERCADINHO D RITA</t>
  </si>
  <si>
    <t>AV DARIO VILELA, 999</t>
  </si>
  <si>
    <t>-11.386622</t>
  </si>
  <si>
    <t>-41.836417</t>
  </si>
  <si>
    <t>(074) 99979-8620</t>
  </si>
  <si>
    <t>0215-0447</t>
  </si>
  <si>
    <t>EVANDA RODRIGUES NASCIEMENTO DIASSIS</t>
  </si>
  <si>
    <t>PIZZA CHEIRO DE PIZZ</t>
  </si>
  <si>
    <t>RUA ANALIA CASTRO VILA CASTRO, 245</t>
  </si>
  <si>
    <t>VILA CASTRO</t>
  </si>
  <si>
    <t>-11.391419</t>
  </si>
  <si>
    <t>-41.835843</t>
  </si>
  <si>
    <t>(074) 99973-9812</t>
  </si>
  <si>
    <t>0215-0448</t>
  </si>
  <si>
    <t>UARLEY PEREIRA PIRES</t>
  </si>
  <si>
    <t>HIPERMERCADO PIRES01</t>
  </si>
  <si>
    <t>RUA MATO VERDE, 10</t>
  </si>
  <si>
    <t>-11.478264</t>
  </si>
  <si>
    <t>-41.693768</t>
  </si>
  <si>
    <t>(074) 99989-5156</t>
  </si>
  <si>
    <t>0215-0450</t>
  </si>
  <si>
    <t>JAMILE DA SILVA CRUZ</t>
  </si>
  <si>
    <t>RESTAU CANTINH DA LU</t>
  </si>
  <si>
    <t>AV JOSE ALVES DE MENEZES</t>
  </si>
  <si>
    <t>-11.382506</t>
  </si>
  <si>
    <t>-41.837574</t>
  </si>
  <si>
    <t>(074) 99937-7822</t>
  </si>
  <si>
    <t>0215-0451</t>
  </si>
  <si>
    <t>URSULA VILELA OLIVEIRA</t>
  </si>
  <si>
    <t>FONTE DAS BEBIDAS 01</t>
  </si>
  <si>
    <t>PRC PRESBITERIANA, 29</t>
  </si>
  <si>
    <t>-11.383239</t>
  </si>
  <si>
    <t>-41.833315</t>
  </si>
  <si>
    <t>(074) 99987-2920</t>
  </si>
  <si>
    <t>0215-0452</t>
  </si>
  <si>
    <t>HELIS THADEU PEREIRA DE OLIVEIRA</t>
  </si>
  <si>
    <t>ADEGA OLIVEIRA</t>
  </si>
  <si>
    <t>PRC ANTONIO CARLOS MAGALHAES, 2</t>
  </si>
  <si>
    <t>-11.454863</t>
  </si>
  <si>
    <t>-41.811305</t>
  </si>
  <si>
    <t>(074) 99964-5066</t>
  </si>
  <si>
    <t>0215-0453</t>
  </si>
  <si>
    <t>ANTONIO CARLOS DE CAMARGOS</t>
  </si>
  <si>
    <t>RESTAURANTE TIA MITA</t>
  </si>
  <si>
    <t>POV LAGEADO, 122</t>
  </si>
  <si>
    <t>RURAL LAGEADO</t>
  </si>
  <si>
    <t>-11.478052</t>
  </si>
  <si>
    <t>-41.754906</t>
  </si>
  <si>
    <t>(074) 98104-0041</t>
  </si>
  <si>
    <t>0215-0454</t>
  </si>
  <si>
    <t>ALICE DE SOUZA FERNANDES</t>
  </si>
  <si>
    <t>MERCADO ACOUGUE</t>
  </si>
  <si>
    <t>PRC DO MERCADO, 170</t>
  </si>
  <si>
    <t>-11.400027</t>
  </si>
  <si>
    <t>-41.886491</t>
  </si>
  <si>
    <t>(074) 99909-3610</t>
  </si>
  <si>
    <t>0215-0456</t>
  </si>
  <si>
    <t>ELIVANIA GONCALVES DE SOUZA BENTO</t>
  </si>
  <si>
    <t>MERCADIN BOM PRECO01</t>
  </si>
  <si>
    <t>POV POVOADO LAGEADO</t>
  </si>
  <si>
    <t>-11.479308</t>
  </si>
  <si>
    <t>-41.756618</t>
  </si>
  <si>
    <t>(749) 99982-6828</t>
  </si>
  <si>
    <t>0215-0457</t>
  </si>
  <si>
    <t>RESTAURANTE E PETIS E ADEGA VEM KI TEM L</t>
  </si>
  <si>
    <t>REST E PETIS E ADEGA</t>
  </si>
  <si>
    <t>AV DARIO VILELA, 923</t>
  </si>
  <si>
    <t>-11.385804</t>
  </si>
  <si>
    <t>-41.836337</t>
  </si>
  <si>
    <t>(074) 99912-0508</t>
  </si>
  <si>
    <t>0215-0458</t>
  </si>
  <si>
    <t>B S DOURADO OLIVEIRA LTDA</t>
  </si>
  <si>
    <t>ADEGA OLIVEIRA    01</t>
  </si>
  <si>
    <t>PRC ANTONIO CARLOS MAGALHAES 01, 2</t>
  </si>
  <si>
    <t>-11.454737</t>
  </si>
  <si>
    <t>-41.811302</t>
  </si>
  <si>
    <t>(074) 99971-4224</t>
  </si>
  <si>
    <t>0215-0459</t>
  </si>
  <si>
    <t>WENDHEL FRANCA DOURADO</t>
  </si>
  <si>
    <t>KITANDA LINHO</t>
  </si>
  <si>
    <t>RUA ANTONIO D SOBRINHO, 60</t>
  </si>
  <si>
    <t>-11.383415</t>
  </si>
  <si>
    <t>(074) 99953-2366</t>
  </si>
  <si>
    <t>0215-0460</t>
  </si>
  <si>
    <t>MICHEL SANTOS DE SANTANA</t>
  </si>
  <si>
    <t>LANCHONETE RODAGEM</t>
  </si>
  <si>
    <t>RUA DA PAZ, 99</t>
  </si>
  <si>
    <t>-11.566747</t>
  </si>
  <si>
    <t>-41.767863</t>
  </si>
  <si>
    <t>(074) 99965-6673</t>
  </si>
  <si>
    <t>0215-0461</t>
  </si>
  <si>
    <t>DIEGO PEREIRA GUIRRA</t>
  </si>
  <si>
    <t>APERTRAN PADARIA</t>
  </si>
  <si>
    <t>RUA PRESIDENTE DUTRA I, 10</t>
  </si>
  <si>
    <t>-11.452787</t>
  </si>
  <si>
    <t>-41.811160</t>
  </si>
  <si>
    <t>(074) 99940-1515</t>
  </si>
  <si>
    <t>0215-0462</t>
  </si>
  <si>
    <t>ANDRE MAICK CARDOSO DA SILVA</t>
  </si>
  <si>
    <t>BENICO BURGUES</t>
  </si>
  <si>
    <t>PRC DO COMERCIO, 19</t>
  </si>
  <si>
    <t>-11.400045</t>
  </si>
  <si>
    <t>-41.886555</t>
  </si>
  <si>
    <t>(074) 98118-6119</t>
  </si>
  <si>
    <t>0215-0464</t>
  </si>
  <si>
    <t>WILSON MARCO VILELA DOURADO</t>
  </si>
  <si>
    <t>MARCOS LANCHES</t>
  </si>
  <si>
    <t>RUA NOVE DE MAIO, 195</t>
  </si>
  <si>
    <t>-11.382747</t>
  </si>
  <si>
    <t>-41.827828</t>
  </si>
  <si>
    <t>(074) 99935-4056</t>
  </si>
  <si>
    <t>0215-0465</t>
  </si>
  <si>
    <t>VALDEMIR MARQUES DE SOUZA</t>
  </si>
  <si>
    <t>HORTIFRUTI VIEIRA</t>
  </si>
  <si>
    <t>RUA MILITAO, 59</t>
  </si>
  <si>
    <t>-11.455485</t>
  </si>
  <si>
    <t>-41.810483</t>
  </si>
  <si>
    <t>(074) 99973-0039</t>
  </si>
  <si>
    <t>0215-0466</t>
  </si>
  <si>
    <t>AGUINOIR CORREIA LIMA</t>
  </si>
  <si>
    <t>DISTRIB D BELEID ACL</t>
  </si>
  <si>
    <t>RUA ROGACIANO, 24</t>
  </si>
  <si>
    <t>-11.382469</t>
  </si>
  <si>
    <t>-41.829700</t>
  </si>
  <si>
    <t>(074) 99967-3358</t>
  </si>
  <si>
    <t>0216-0007</t>
  </si>
  <si>
    <t>MARLENE DE SOUZA FERNANDES</t>
  </si>
  <si>
    <t>LANCH E PADARIA SENA</t>
  </si>
  <si>
    <t>RUA FILINTO BARBOSA, 156</t>
  </si>
  <si>
    <t>-11.548175</t>
  </si>
  <si>
    <t>-41.166832</t>
  </si>
  <si>
    <t>(740) 08806-4837</t>
  </si>
  <si>
    <t>0216-0008</t>
  </si>
  <si>
    <t>IVANILSON FERREIRA DE SOUZA</t>
  </si>
  <si>
    <t>COMERCIAL IDEAL</t>
  </si>
  <si>
    <t>RUA FILINTO BARBOSA 156, 156</t>
  </si>
  <si>
    <t>(074) 99901-6512</t>
  </si>
  <si>
    <t>0216-0009</t>
  </si>
  <si>
    <t>TEREZINHA DE OLIVEIRA GAROFANI</t>
  </si>
  <si>
    <t>PIZZARIA EUSEBIO</t>
  </si>
  <si>
    <t>RUA ANTONIO BALBINO RUA, 387</t>
  </si>
  <si>
    <t>-11.550188</t>
  </si>
  <si>
    <t>-41.152405</t>
  </si>
  <si>
    <t>(074) 99962-1822</t>
  </si>
  <si>
    <t>0216-0012</t>
  </si>
  <si>
    <t>SERGIO LUIZ ROCHA BARRETO</t>
  </si>
  <si>
    <t>COML B SAO CRISTOVAO</t>
  </si>
  <si>
    <t>PRC ARAUJO PINHO A PCA, 98</t>
  </si>
  <si>
    <t>-11.552778</t>
  </si>
  <si>
    <t>-41.156944</t>
  </si>
  <si>
    <t>(740) 03653-1184</t>
  </si>
  <si>
    <t>0216-0023</t>
  </si>
  <si>
    <t>MARIA LUCIA SILVA LIMA</t>
  </si>
  <si>
    <t>MERCEARIA SAO PAULO</t>
  </si>
  <si>
    <t>RUA RUA MANOEL NOVAES</t>
  </si>
  <si>
    <t>-11.545330</t>
  </si>
  <si>
    <t>-41.162987</t>
  </si>
  <si>
    <t>(074) 98842-0239</t>
  </si>
  <si>
    <t>0216-0024</t>
  </si>
  <si>
    <t>MERCADO LEAL LS LTDA</t>
  </si>
  <si>
    <t>MERCADINHO LEAL</t>
  </si>
  <si>
    <t>RUA DE CENTRO ABASTECIMENTO, 19</t>
  </si>
  <si>
    <t>-11.548520</t>
  </si>
  <si>
    <t>-41.159490</t>
  </si>
  <si>
    <t>(074) 99961-6975</t>
  </si>
  <si>
    <t>0216-0027</t>
  </si>
  <si>
    <t>VALMIR SANTOS DE OLIVEIRA</t>
  </si>
  <si>
    <t>BAR GENIAL</t>
  </si>
  <si>
    <t>RUA CLECENIO LUCAS, 58</t>
  </si>
  <si>
    <t>-11.548197</t>
  </si>
  <si>
    <t>-41.164150</t>
  </si>
  <si>
    <t>(074) 98835-5801</t>
  </si>
  <si>
    <t>0216-0034</t>
  </si>
  <si>
    <t>LUIZ ANTONIO ROCHA COSTA</t>
  </si>
  <si>
    <t>RESTAU E LANC LOLITA</t>
  </si>
  <si>
    <t>AV JOEL MODESTO, 536</t>
  </si>
  <si>
    <t>CENTRO M CHAP</t>
  </si>
  <si>
    <t>-11.549326</t>
  </si>
  <si>
    <t>-41.157555</t>
  </si>
  <si>
    <t>(074) 99971-0703</t>
  </si>
  <si>
    <t>0216-0046</t>
  </si>
  <si>
    <t>ROSANGELA SANTOS SILVA MORRO</t>
  </si>
  <si>
    <t>MERCADO DA FEIRA</t>
  </si>
  <si>
    <t>RUA JOSE M TONHINHO R, 367</t>
  </si>
  <si>
    <t>-11.548045</t>
  </si>
  <si>
    <t>-41.160010</t>
  </si>
  <si>
    <t>(074) 99983-8871</t>
  </si>
  <si>
    <t>0216-0050</t>
  </si>
  <si>
    <t>IRLANE MIRANDA BARBOSA</t>
  </si>
  <si>
    <t>LANCHONETE IRLANE</t>
  </si>
  <si>
    <t>RUA NILO PECANHA R</t>
  </si>
  <si>
    <t>-11.552307</t>
  </si>
  <si>
    <t>-41.154037</t>
  </si>
  <si>
    <t>(074) 98859-4748</t>
  </si>
  <si>
    <t>0216-0052</t>
  </si>
  <si>
    <t>DAILSON ELSON DE OLIVEIRA</t>
  </si>
  <si>
    <t>SUPER POP</t>
  </si>
  <si>
    <t>AV OTAVIO MANGABEIRA, 347</t>
  </si>
  <si>
    <t>-11.546225</t>
  </si>
  <si>
    <t>-41.152090</t>
  </si>
  <si>
    <t>(074) 99969-2994</t>
  </si>
  <si>
    <t>0216-0053</t>
  </si>
  <si>
    <t>ACACIA MARIA F OLIVEIRA</t>
  </si>
  <si>
    <t>KOK S BAR</t>
  </si>
  <si>
    <t>PRC PRAAA AUGUSTO PUBLIO</t>
  </si>
  <si>
    <t>CENTRO-M.CHAP</t>
  </si>
  <si>
    <t>-11.550758</t>
  </si>
  <si>
    <t>-41.156530</t>
  </si>
  <si>
    <t>(074) 08806-2090</t>
  </si>
  <si>
    <t>0216-0064</t>
  </si>
  <si>
    <t>MARIA DO CARMO MIRANDA DOS SAN</t>
  </si>
  <si>
    <t>MERCADO CARMINHA</t>
  </si>
  <si>
    <t>RUA RUA FRANCISCO JANUARIO, 96</t>
  </si>
  <si>
    <t>CAIXA D AGUA</t>
  </si>
  <si>
    <t>-11.545676</t>
  </si>
  <si>
    <t>-41.161507</t>
  </si>
  <si>
    <t>(740) 03653-2147</t>
  </si>
  <si>
    <t>0216-0076</t>
  </si>
  <si>
    <t>ERCIO NOVAIS DE SOUZA</t>
  </si>
  <si>
    <t>MERCANTIL NOVAIS</t>
  </si>
  <si>
    <t>RUA SOUZA BENTA CEL R</t>
  </si>
  <si>
    <t>-11.551532</t>
  </si>
  <si>
    <t>-41.157930</t>
  </si>
  <si>
    <t>(740) 00653-2217</t>
  </si>
  <si>
    <t>0216-0080</t>
  </si>
  <si>
    <t>ILDACI LEMOS CRUZ</t>
  </si>
  <si>
    <t>ILDA PADARIA E LANCH</t>
  </si>
  <si>
    <t>RUA RUA MORRO DO CHAPEU</t>
  </si>
  <si>
    <t>-11.764773</t>
  </si>
  <si>
    <t>-41.154408</t>
  </si>
  <si>
    <t>(071) 98290-8716</t>
  </si>
  <si>
    <t>0216-0092</t>
  </si>
  <si>
    <t>DANILLO MONTENEGRO ROCHA ME</t>
  </si>
  <si>
    <t>FRANGO E FRIOS 02</t>
  </si>
  <si>
    <t>AV JOEL MODESTO</t>
  </si>
  <si>
    <t>-11.549153</t>
  </si>
  <si>
    <t>-41.158443</t>
  </si>
  <si>
    <t>(074) 98811-6094</t>
  </si>
  <si>
    <t>0216-0098</t>
  </si>
  <si>
    <t>IVANETE GOMES MACHADO DE JESUS</t>
  </si>
  <si>
    <t>RESTAURANTE MACHADO</t>
  </si>
  <si>
    <t>AV CORONEL DIAS COELHO, 16</t>
  </si>
  <si>
    <t>-11.549444</t>
  </si>
  <si>
    <t>-41.157500</t>
  </si>
  <si>
    <t>(074) 99971-4141</t>
  </si>
  <si>
    <t>0216-0105</t>
  </si>
  <si>
    <t>JOSUE SOARES DOS SANTOS</t>
  </si>
  <si>
    <t>BAR DO BELL</t>
  </si>
  <si>
    <t>AV OTAVIO MANGUABEIRA, 17 / 02160105</t>
  </si>
  <si>
    <t>PEDRA GRANDE</t>
  </si>
  <si>
    <t>-11.546905</t>
  </si>
  <si>
    <t>-41.150753</t>
  </si>
  <si>
    <t>(074) 98801-8605</t>
  </si>
  <si>
    <t>0216-0111</t>
  </si>
  <si>
    <t>VANDERLEIA ALVES DE SOUSA</t>
  </si>
  <si>
    <t>PANIF PAO DE MEL</t>
  </si>
  <si>
    <t>PRC DA BANDEIRA, 160</t>
  </si>
  <si>
    <t>-11.551448</t>
  </si>
  <si>
    <t>-41.156563</t>
  </si>
  <si>
    <t>(074) 99962-1406</t>
  </si>
  <si>
    <t>0216-0117</t>
  </si>
  <si>
    <t>JOELIO DOS SANTOS NASCIMENTO</t>
  </si>
  <si>
    <t>ESPACO SOCIAL CHAPAD</t>
  </si>
  <si>
    <t>RUA RUA ELIAS PRIMO, 147</t>
  </si>
  <si>
    <t>ALTO DA CHAPADA</t>
  </si>
  <si>
    <t>-11.539384</t>
  </si>
  <si>
    <t>-41.172665</t>
  </si>
  <si>
    <t>(074) 98863-7221</t>
  </si>
  <si>
    <t>0216-0119</t>
  </si>
  <si>
    <t>SUELAINE DIAS DE MATOS</t>
  </si>
  <si>
    <t>MERCADINHO VELOSO</t>
  </si>
  <si>
    <t>RUA BELARMINO ROCHA, 54</t>
  </si>
  <si>
    <t>-11.547836</t>
  </si>
  <si>
    <t>-41.161068</t>
  </si>
  <si>
    <t>(074) 99971-6836</t>
  </si>
  <si>
    <t>0216-0129</t>
  </si>
  <si>
    <t>EDVALSON SANTOS DE OLIVEIRA</t>
  </si>
  <si>
    <t>MERCEARIA ARAUJO  01</t>
  </si>
  <si>
    <t>AV AVENIDA OATVIO MANGABEIRA, 306</t>
  </si>
  <si>
    <t>-11.546389</t>
  </si>
  <si>
    <t>-41.152500</t>
  </si>
  <si>
    <t>(074) 99816-5123</t>
  </si>
  <si>
    <t>0216-0132</t>
  </si>
  <si>
    <t>EDILZA ROSA DE OLIVEIRA SANTOS</t>
  </si>
  <si>
    <t>RESTAURANTE DA GAL</t>
  </si>
  <si>
    <t>TRV TRAVESSA PRINCIPAL 30 L OFICINA MECANICA / 02160132</t>
  </si>
  <si>
    <t>-10.978590</t>
  </si>
  <si>
    <t>-42.357554</t>
  </si>
  <si>
    <t>(074) 99950-8396</t>
  </si>
  <si>
    <t>0216-0140</t>
  </si>
  <si>
    <t>CARLOS PARACELOS LIMA DOS SANTOS</t>
  </si>
  <si>
    <t>ADEGA E LANCHES DOCE</t>
  </si>
  <si>
    <t>RUA RUA SEBASTIAO CARLOS, 153</t>
  </si>
  <si>
    <t>-11.544976</t>
  </si>
  <si>
    <t>-41.164074</t>
  </si>
  <si>
    <t>(074) 99937-0466</t>
  </si>
  <si>
    <t>0216-0148</t>
  </si>
  <si>
    <t>ELIZAFAN S B PEREIRA</t>
  </si>
  <si>
    <t>MERC ELIZA</t>
  </si>
  <si>
    <t>RUA JOEL MODESTO, 938</t>
  </si>
  <si>
    <t>-11.544640</t>
  </si>
  <si>
    <t>-41.170460</t>
  </si>
  <si>
    <t>0216-0153</t>
  </si>
  <si>
    <t>ROZANIA AVELINA LOPES</t>
  </si>
  <si>
    <t>CANTO DA ROSA</t>
  </si>
  <si>
    <t>RUA AKSOFF RIBEIRO, 764</t>
  </si>
  <si>
    <t>RODOVIARIA</t>
  </si>
  <si>
    <t>-11.547995</t>
  </si>
  <si>
    <t>-41.167572</t>
  </si>
  <si>
    <t>(074) 09965-9921</t>
  </si>
  <si>
    <t>0216-0189</t>
  </si>
  <si>
    <t>GILDETE DA SILVA OLIVEIRA</t>
  </si>
  <si>
    <t>BOX DA SUZANA 6</t>
  </si>
  <si>
    <t>PRC DE ALIMENTACAO, 6</t>
  </si>
  <si>
    <t>-11.548094</t>
  </si>
  <si>
    <t>-41.159054</t>
  </si>
  <si>
    <t>(074) 99969-3887</t>
  </si>
  <si>
    <t>0216-0200</t>
  </si>
  <si>
    <t>TOLENTINO OLIVER GUIMARAES NETO</t>
  </si>
  <si>
    <t>RESTAURANTE COLONIAL</t>
  </si>
  <si>
    <t>RUA CORONEL SOUZA BENTO, 49</t>
  </si>
  <si>
    <t>-11.551495</t>
  </si>
  <si>
    <t>-41.158060</t>
  </si>
  <si>
    <t>(074) 99918-9352</t>
  </si>
  <si>
    <t>0216-0205</t>
  </si>
  <si>
    <t>IVANILZA DIAS SOUZA</t>
  </si>
  <si>
    <t>BOX 15            01</t>
  </si>
  <si>
    <t>PRC ALIMENTACAO BOX 15, 15</t>
  </si>
  <si>
    <t>(074) 98801-7907</t>
  </si>
  <si>
    <t>0216-0209</t>
  </si>
  <si>
    <t>DIAMANTINA HOTEIS E TURISMO LTDA</t>
  </si>
  <si>
    <t>DIAMANT PALACE HOTEL</t>
  </si>
  <si>
    <t>RUA HONORIO PEREIRA, 43</t>
  </si>
  <si>
    <t>-11.551607</t>
  </si>
  <si>
    <t>-41.154940</t>
  </si>
  <si>
    <t>(074) 99922-0000</t>
  </si>
  <si>
    <t>0216-0224</t>
  </si>
  <si>
    <t>KEYCIANE PEREIRA DE OLIVEIRA</t>
  </si>
  <si>
    <t>CESTA DO POVO</t>
  </si>
  <si>
    <t>RUA DEOCLECIANO BARRETO, 363</t>
  </si>
  <si>
    <t>-11.549613</t>
  </si>
  <si>
    <t>-41.160793</t>
  </si>
  <si>
    <t>(400) 08116-0118</t>
  </si>
  <si>
    <t>0216-0225</t>
  </si>
  <si>
    <t>MARIA APARECIDA LOPES TEODORO</t>
  </si>
  <si>
    <t>BOX 17</t>
  </si>
  <si>
    <t>PRA PRACA DE ALIMENTACAO, 17</t>
  </si>
  <si>
    <t>-11.548021</t>
  </si>
  <si>
    <t>-41.159122</t>
  </si>
  <si>
    <t>(400) 09977-3112</t>
  </si>
  <si>
    <t>0216-0244</t>
  </si>
  <si>
    <t>NATHALIA ANJOS DA SILVA</t>
  </si>
  <si>
    <t>MERCADO S DE SOUZA</t>
  </si>
  <si>
    <t>RUA RAIMUNDO DIAS, 10</t>
  </si>
  <si>
    <t>-11.968904</t>
  </si>
  <si>
    <t>-41.641070</t>
  </si>
  <si>
    <t>(740) 99112-6710</t>
  </si>
  <si>
    <t>0216-0247</t>
  </si>
  <si>
    <t>MARCIA MAGALI BISPO DE ALMEIDA</t>
  </si>
  <si>
    <t>CASA DA PAMONHA</t>
  </si>
  <si>
    <t>AV AV JOEL MODESTO</t>
  </si>
  <si>
    <t>-11.548451</t>
  </si>
  <si>
    <t>-41.161304</t>
  </si>
  <si>
    <t>(740) 08809-2319</t>
  </si>
  <si>
    <t>0216-0265</t>
  </si>
  <si>
    <t>JACKSON GABRIEL DE OLIVEIRA</t>
  </si>
  <si>
    <t>MERCADO RIBEIRO 01</t>
  </si>
  <si>
    <t>AV AV ANTONIO BALBINO, 680</t>
  </si>
  <si>
    <t>-11.551262</t>
  </si>
  <si>
    <t>-41.149857</t>
  </si>
  <si>
    <t>(074) 99903-7821</t>
  </si>
  <si>
    <t>0216-0268</t>
  </si>
  <si>
    <t>JESSICA ALVES MENDES</t>
  </si>
  <si>
    <t>MERCADO CENTER</t>
  </si>
  <si>
    <t>PRC PRACA CENTRO DE ABASTECIMENTO, 17</t>
  </si>
  <si>
    <t>-11.548614</t>
  </si>
  <si>
    <t>-41.159218</t>
  </si>
  <si>
    <t>(074) 98885-1139</t>
  </si>
  <si>
    <t>0216-0276</t>
  </si>
  <si>
    <t>CARIO ARAUJO DOS SANTOS</t>
  </si>
  <si>
    <t>IMPERIO DO SALGADO</t>
  </si>
  <si>
    <t>RUA CORONEL DIAS COELHO, 9</t>
  </si>
  <si>
    <t>-11.550167</t>
  </si>
  <si>
    <t>-41.157470</t>
  </si>
  <si>
    <t>(074) 98842-7847</t>
  </si>
  <si>
    <t>0216-0277</t>
  </si>
  <si>
    <t>CHURRASCARIA E LANC</t>
  </si>
  <si>
    <t>ROD BA 0052 KM 274</t>
  </si>
  <si>
    <t>-11.546578</t>
  </si>
  <si>
    <t>-41.173275</t>
  </si>
  <si>
    <t>(074) 99936-4509</t>
  </si>
  <si>
    <t>0216-0301</t>
  </si>
  <si>
    <t>MAURELI SANTIAGO GONCALVES</t>
  </si>
  <si>
    <t>LANCH CHAPADA E CIA</t>
  </si>
  <si>
    <t>AV RUA RAIMUNDO COSTA, 284</t>
  </si>
  <si>
    <t>-11.544785</t>
  </si>
  <si>
    <t>-41.162178</t>
  </si>
  <si>
    <t>(074) 99996-8225</t>
  </si>
  <si>
    <t>0216-0303</t>
  </si>
  <si>
    <t>JOAO PEDRO SANTOS ARAUJO</t>
  </si>
  <si>
    <t>MERCEA CANTINHO DOCE</t>
  </si>
  <si>
    <t>RUA LARGO SAO SEBASTIAO</t>
  </si>
  <si>
    <t>-11.547640</t>
  </si>
  <si>
    <t>-41.149760</t>
  </si>
  <si>
    <t>(074) 99972-0239</t>
  </si>
  <si>
    <t>0216-0308</t>
  </si>
  <si>
    <t>NILSON DE SOUZA RIBEIRO - ME</t>
  </si>
  <si>
    <t>MERCADO PEDRA GRANDE</t>
  </si>
  <si>
    <t>RUA RUA JOSE MARIA TOURINHO, 361</t>
  </si>
  <si>
    <t>-11.550487</t>
  </si>
  <si>
    <t>-41.160930</t>
  </si>
  <si>
    <t>0216-0312</t>
  </si>
  <si>
    <t>JOSE CARLOS DAMASCENO DOS SANTOS</t>
  </si>
  <si>
    <t>BAR CUTIA</t>
  </si>
  <si>
    <t>AV AV ANTONIO BALBINO, 232</t>
  </si>
  <si>
    <t>-11.550030</t>
  </si>
  <si>
    <t>-41.153847</t>
  </si>
  <si>
    <t>(074) 99996-5368</t>
  </si>
  <si>
    <t>0216-0314</t>
  </si>
  <si>
    <t>JARDEL FILIPE RODRIGUES DOS SANTOS ROCHA</t>
  </si>
  <si>
    <t>MORANGAO</t>
  </si>
  <si>
    <t>RUA NOVA JERUSALEM, 317</t>
  </si>
  <si>
    <t>-11.553625</t>
  </si>
  <si>
    <t>-41.163700</t>
  </si>
  <si>
    <t>(074) 99955-7433</t>
  </si>
  <si>
    <t>0216-0319</t>
  </si>
  <si>
    <t>ANDERSON QUEIROZ BORGES</t>
  </si>
  <si>
    <t>MERCADO PONTO DA ECO</t>
  </si>
  <si>
    <t>RUA MORRO DO CHAPEU, 37</t>
  </si>
  <si>
    <t>LAGOA NOVA/ MORRO DO</t>
  </si>
  <si>
    <t>-11.765434</t>
  </si>
  <si>
    <t>-41.154576</t>
  </si>
  <si>
    <t>(074) 99907-3239</t>
  </si>
  <si>
    <t>0216-0322</t>
  </si>
  <si>
    <t>GIVANILTON FERREIRA BONFIM</t>
  </si>
  <si>
    <t>MEGA SUPERMERCADO LM</t>
  </si>
  <si>
    <t>PRC PC DO COMERCIO, 99</t>
  </si>
  <si>
    <t>ICO/MORRO DO CHAPEU</t>
  </si>
  <si>
    <t>-11.274416</t>
  </si>
  <si>
    <t>-41.019329</t>
  </si>
  <si>
    <t>(074) 98857-6092</t>
  </si>
  <si>
    <t>0216-0323</t>
  </si>
  <si>
    <t>VALDENIR BARBOSA FALCAO</t>
  </si>
  <si>
    <t>CHURASCARIA FALCAO</t>
  </si>
  <si>
    <t>PRC PC CENTRO DE ABASTECIMENTO, 35</t>
  </si>
  <si>
    <t>-11.548377</t>
  </si>
  <si>
    <t>-41.159470</t>
  </si>
  <si>
    <t>(074) 99909-1339</t>
  </si>
  <si>
    <t>0216-0346</t>
  </si>
  <si>
    <t>FLAVIANO DE CARVALHO LEMOS 01</t>
  </si>
  <si>
    <t>MERCEARIA IDEAL</t>
  </si>
  <si>
    <t>RUA RUA MORRO DO CHAPEU, 34</t>
  </si>
  <si>
    <t>POVOAD DE LAGOA NOVA</t>
  </si>
  <si>
    <t>-11.763141</t>
  </si>
  <si>
    <t>-41.153720</t>
  </si>
  <si>
    <t>(074) 99816-0796</t>
  </si>
  <si>
    <t>0216-0352</t>
  </si>
  <si>
    <t>ELVIS ALMEIDA SANTANA</t>
  </si>
  <si>
    <t>CIA DO CHURRASCO</t>
  </si>
  <si>
    <t>RUA RUA VALE OURO, 86</t>
  </si>
  <si>
    <t>CONTORNO MORRO DO CH</t>
  </si>
  <si>
    <t>-11.557054</t>
  </si>
  <si>
    <t>-41.154951</t>
  </si>
  <si>
    <t>(074) 99942-3470</t>
  </si>
  <si>
    <t>0216-0353</t>
  </si>
  <si>
    <t>CAMILE VIEIRA GOMES PIMENTA</t>
  </si>
  <si>
    <t>CHURRASCARIA E LANCH</t>
  </si>
  <si>
    <t>ROD RODOVIA BA 0052</t>
  </si>
  <si>
    <t>SEDE</t>
  </si>
  <si>
    <t>-11.546380</t>
  </si>
  <si>
    <t>-41.173115</t>
  </si>
  <si>
    <t>(074) 03653-2850</t>
  </si>
  <si>
    <t>0216-0354</t>
  </si>
  <si>
    <t>GERSON RAIMUNDO OLIVEIRA BISPO FILHO</t>
  </si>
  <si>
    <t>LIDER ORIENTAL    01</t>
  </si>
  <si>
    <t>AV AVENIDA SENHOR DOS PASSOS / TERREO</t>
  </si>
  <si>
    <t>-11.542790</t>
  </si>
  <si>
    <t>-41.155033</t>
  </si>
  <si>
    <t>(071) 99631-7678</t>
  </si>
  <si>
    <t>0216-0359</t>
  </si>
  <si>
    <t>SEBASTIAO CONCEICAO ALMEIDA</t>
  </si>
  <si>
    <t>PIZZA E PAST ALMEIDA</t>
  </si>
  <si>
    <t>RUA RUA SOUZA DANTAS, 61</t>
  </si>
  <si>
    <t>-11.550731</t>
  </si>
  <si>
    <t>-41.150314</t>
  </si>
  <si>
    <t>(074) 99903-8674</t>
  </si>
  <si>
    <t>0216-0360</t>
  </si>
  <si>
    <t>SIMONE CALIXTO DE SOUZA</t>
  </si>
  <si>
    <t>MERCADO VEM PRA K</t>
  </si>
  <si>
    <t>RUA MIGUEL RIBEIRO, 138</t>
  </si>
  <si>
    <t>-11.548147</t>
  </si>
  <si>
    <t>-41.165772</t>
  </si>
  <si>
    <t>(074) 99966-2041</t>
  </si>
  <si>
    <t>0216-0371</t>
  </si>
  <si>
    <t>IRMA DE OLIVEIRA SOUZA</t>
  </si>
  <si>
    <t>POUSADA MACHADO</t>
  </si>
  <si>
    <t>RUA JOEL MODESTO 1129 C, 1129</t>
  </si>
  <si>
    <t>-11.545812</t>
  </si>
  <si>
    <t>-41.168094</t>
  </si>
  <si>
    <t>(074) 99941-1571</t>
  </si>
  <si>
    <t>0216-0374</t>
  </si>
  <si>
    <t>EDIVALDO SOUZA DOS SANTOS</t>
  </si>
  <si>
    <t>DONDA BAR E DIST</t>
  </si>
  <si>
    <t>RUA RUA SANTA TEREZINHA, 106</t>
  </si>
  <si>
    <t>-11.545105</t>
  </si>
  <si>
    <t>-41.163364</t>
  </si>
  <si>
    <t>(074) 99959-6397</t>
  </si>
  <si>
    <t>0216-0376</t>
  </si>
  <si>
    <t>JOSE ALBERTO FIGUEREDO DE OLIVEIRA</t>
  </si>
  <si>
    <t>LANCH SEMPRE VIVA</t>
  </si>
  <si>
    <t>RUA CORONEL DIAS COELHO, 282</t>
  </si>
  <si>
    <t>-11.551913</t>
  </si>
  <si>
    <t>-41.157673</t>
  </si>
  <si>
    <t>(074) 99196-4367</t>
  </si>
  <si>
    <t>0216-0383</t>
  </si>
  <si>
    <t>IGOR SILVA DE OLIVEIRA</t>
  </si>
  <si>
    <t>MERCADO SAO RAFAEL01</t>
  </si>
  <si>
    <t>POV POVOADO SAO RAFAEL, 2</t>
  </si>
  <si>
    <t>POV. SAO RAFAEL</t>
  </si>
  <si>
    <t>-11.446111</t>
  </si>
  <si>
    <t>-41.381390</t>
  </si>
  <si>
    <t>(074) 98807-1440</t>
  </si>
  <si>
    <t>0216-0388</t>
  </si>
  <si>
    <t>CLEONICE OLIVEIRA DE ALMEIDA ANDRADE</t>
  </si>
  <si>
    <t>MERCADINHO OLIVEIR12</t>
  </si>
  <si>
    <t>RUA RUA DO TOCO, 77</t>
  </si>
  <si>
    <t>POVOADO LAGOA NOVA</t>
  </si>
  <si>
    <t>-11.765457</t>
  </si>
  <si>
    <t>-41.154247</t>
  </si>
  <si>
    <t>(074) 99953-6398</t>
  </si>
  <si>
    <t>0216-0391</t>
  </si>
  <si>
    <t>NAIARA LIMA DOS SANTOS</t>
  </si>
  <si>
    <t>MERCADO CLARA 01</t>
  </si>
  <si>
    <t>POV POVOADO DO TARECOO</t>
  </si>
  <si>
    <t>-11.409722</t>
  </si>
  <si>
    <t>-41.373055</t>
  </si>
  <si>
    <t>(074) 98853-1190</t>
  </si>
  <si>
    <t>0216-0394</t>
  </si>
  <si>
    <t>FRANCISCA ALMIRA DA SILVA</t>
  </si>
  <si>
    <t>PONTO DO LANCHE 02</t>
  </si>
  <si>
    <t>RUA RUA BELARMINO ROCHA, 43</t>
  </si>
  <si>
    <t>-11.548611</t>
  </si>
  <si>
    <t>-41.160000</t>
  </si>
  <si>
    <t>(074) 98827-7047</t>
  </si>
  <si>
    <t>0216-0395</t>
  </si>
  <si>
    <t>DAVID DO NASCIMENTO BARBOSA</t>
  </si>
  <si>
    <t>MERCADINHO DL</t>
  </si>
  <si>
    <t>PRC PRACA DA MATRIZ, 92</t>
  </si>
  <si>
    <t>ICO</t>
  </si>
  <si>
    <t>-11.273889</t>
  </si>
  <si>
    <t>-41.017223</t>
  </si>
  <si>
    <t>(074) 98814-5191</t>
  </si>
  <si>
    <t>0216-0399</t>
  </si>
  <si>
    <t>FREDSON BARRETO CERQUEIRA</t>
  </si>
  <si>
    <t>O ESQUINAO</t>
  </si>
  <si>
    <t>RUA RUA SENHOR DOS PASSOS, 419</t>
  </si>
  <si>
    <t>-11.545113</t>
  </si>
  <si>
    <t>-41.154922</t>
  </si>
  <si>
    <t>(074) 98839-1826</t>
  </si>
  <si>
    <t>0216-0404</t>
  </si>
  <si>
    <t>ANA LUIZA OLIVEIRA DE JESUS</t>
  </si>
  <si>
    <t>MERCEARIA C E A</t>
  </si>
  <si>
    <t>RUA RUA GABRIEL SOARES, 25</t>
  </si>
  <si>
    <t>-11.547350</t>
  </si>
  <si>
    <t>-41.145477</t>
  </si>
  <si>
    <t>(074) 98831-1192</t>
  </si>
  <si>
    <t>0216-0407</t>
  </si>
  <si>
    <t>CAROL CAFE LTDA</t>
  </si>
  <si>
    <t>CAROL CAFE</t>
  </si>
  <si>
    <t>ROD RODOVIA BA 052, 453</t>
  </si>
  <si>
    <t>-11.555005</t>
  </si>
  <si>
    <t>-41.161273</t>
  </si>
  <si>
    <t>(074) 98861-4222</t>
  </si>
  <si>
    <t>0216-0409</t>
  </si>
  <si>
    <t>MATEUS DA SILVA MADUREIRA</t>
  </si>
  <si>
    <t>24 HORAS DISTRIBUIDO</t>
  </si>
  <si>
    <t>RUA RUA DR CRESCENCIO LUCAS FERREIRA, 198</t>
  </si>
  <si>
    <t>-11.548604</t>
  </si>
  <si>
    <t>-41.165134</t>
  </si>
  <si>
    <t>(074) 98819-4643</t>
  </si>
  <si>
    <t>0216-0412</t>
  </si>
  <si>
    <t>NAUMI BARRETO CERQUEIRA EIRELI</t>
  </si>
  <si>
    <t>MERCADO DA PRACA  01</t>
  </si>
  <si>
    <t>PRC PRACA FLAVIANO GUIMARAES 558, 558</t>
  </si>
  <si>
    <t>-11.549343</t>
  </si>
  <si>
    <t>-41.157467</t>
  </si>
  <si>
    <t>(011) 98953-7151</t>
  </si>
  <si>
    <t>0216-0416</t>
  </si>
  <si>
    <t>LUCIANA DA SILVA ALVES PINHEIRO</t>
  </si>
  <si>
    <t>LANCHONETE PADARIA B</t>
  </si>
  <si>
    <t>AV AVENIDA JOEL MODESTO, 307</t>
  </si>
  <si>
    <t>-11.548727</t>
  </si>
  <si>
    <t>-41.160587</t>
  </si>
  <si>
    <t>(074) 98836-3288</t>
  </si>
  <si>
    <t>0216-0419</t>
  </si>
  <si>
    <t>GEORGINA BARBOSA DA SILVA ARAUJO</t>
  </si>
  <si>
    <t>DOCE DELICIA TRES IR</t>
  </si>
  <si>
    <t>RUA RUA EDGAR SIMOES, 369</t>
  </si>
  <si>
    <t>-11.547498</t>
  </si>
  <si>
    <t>-41.151550</t>
  </si>
  <si>
    <t>(011) 96067-0200</t>
  </si>
  <si>
    <t>0216-0426</t>
  </si>
  <si>
    <t>MATHEUS PIRES SEVERGNINI</t>
  </si>
  <si>
    <t>CHUR LANC CHIMARRAO</t>
  </si>
  <si>
    <t>ROD RODOVIA BA 052 S N</t>
  </si>
  <si>
    <t>-11.557233</t>
  </si>
  <si>
    <t>-41.157433</t>
  </si>
  <si>
    <t>(048) 99850-8708</t>
  </si>
  <si>
    <t>0216-0427</t>
  </si>
  <si>
    <t>JONIRLEI NASCIMENTO DOS SANTOS</t>
  </si>
  <si>
    <t>SUPERBARATO</t>
  </si>
  <si>
    <t>RUA RUA FRANCISCO SA, 56</t>
  </si>
  <si>
    <t>-11.550183</t>
  </si>
  <si>
    <t>-41.156210</t>
  </si>
  <si>
    <t>(074) 98812-7422</t>
  </si>
  <si>
    <t>0216-0430</t>
  </si>
  <si>
    <t>ELMA BARROS DOS SANTOS LIMA</t>
  </si>
  <si>
    <t>KIT LANCHONETE    01</t>
  </si>
  <si>
    <t>RUA RUA SANTA TEREZINHA, 159</t>
  </si>
  <si>
    <t>-11.544921</t>
  </si>
  <si>
    <t>-41.163920</t>
  </si>
  <si>
    <t>(074) 99813-9901</t>
  </si>
  <si>
    <t>0216-0432</t>
  </si>
  <si>
    <t>ESFIHA S HOUSE LTDA</t>
  </si>
  <si>
    <t>ESFIHA S HOUSE</t>
  </si>
  <si>
    <t>RUA RUA CORONEL DIAS COELHO, 158</t>
  </si>
  <si>
    <t>-11.550536</t>
  </si>
  <si>
    <t>-41.157391</t>
  </si>
  <si>
    <t>(077) 98152-4460</t>
  </si>
  <si>
    <t>0216-0433</t>
  </si>
  <si>
    <t>MARCUS VINICIUS ARAUJO SOUZA</t>
  </si>
  <si>
    <t>LANCHONET SANTA RITA</t>
  </si>
  <si>
    <t>AV AVENIDA BA 052, 274</t>
  </si>
  <si>
    <t>-11.544165</t>
  </si>
  <si>
    <t>-41.176040</t>
  </si>
  <si>
    <t>(074) 99948-3578</t>
  </si>
  <si>
    <t>0216-0435</t>
  </si>
  <si>
    <t>LARISSA PASSOS DE OLIVEIRA FIGUEREDO</t>
  </si>
  <si>
    <t>MERCADO MINI PRECO</t>
  </si>
  <si>
    <t>AV AVENIDA JOEL MODESTO, 279</t>
  </si>
  <si>
    <t>-11.548888</t>
  </si>
  <si>
    <t>-41.160313</t>
  </si>
  <si>
    <t>(074) 99998-3925</t>
  </si>
  <si>
    <t>0216-0437</t>
  </si>
  <si>
    <t>JULIO BESERRA DA SILVA FILHO</t>
  </si>
  <si>
    <t>MERCADIN PAGUE MENOS</t>
  </si>
  <si>
    <t>RUA RUA SUMARE, 157</t>
  </si>
  <si>
    <t>PEDRA GRANDE/MORRO D</t>
  </si>
  <si>
    <t>-11.545753</t>
  </si>
  <si>
    <t>-41.149570</t>
  </si>
  <si>
    <t>(074) 98859-7855</t>
  </si>
  <si>
    <t>0216-0439</t>
  </si>
  <si>
    <t>MAURICIO SANTOS CARNEIRO LTDA</t>
  </si>
  <si>
    <t>MERCADINHO ECONOMI01</t>
  </si>
  <si>
    <t>RUA SANTA TERESINHA, 120</t>
  </si>
  <si>
    <t>-11.544741</t>
  </si>
  <si>
    <t>-41.164738</t>
  </si>
  <si>
    <t>(749) 99986-5105</t>
  </si>
  <si>
    <t>0216-0453</t>
  </si>
  <si>
    <t>ANACLEIA DIAS DE OLIVEIRA SOUSA</t>
  </si>
  <si>
    <t>COMPLETE MERCEARIA</t>
  </si>
  <si>
    <t>RUA RUA GABRIEL SOARES, 170</t>
  </si>
  <si>
    <t>-11.547453</t>
  </si>
  <si>
    <t>-41.148293</t>
  </si>
  <si>
    <t>(074) 99999-7278</t>
  </si>
  <si>
    <t>0216-0454</t>
  </si>
  <si>
    <t>RENATO MORAIS BARRETO</t>
  </si>
  <si>
    <t>MERCADO PAGIE MENOS</t>
  </si>
  <si>
    <t>RUA RUA ARNALDO OLIVEIRA, 12</t>
  </si>
  <si>
    <t>-11.546674</t>
  </si>
  <si>
    <t>-41.162193</t>
  </si>
  <si>
    <t>(074) 98838-8971</t>
  </si>
  <si>
    <t>0216-0456</t>
  </si>
  <si>
    <t>LANDILTO PEREIRA DE MATTOS</t>
  </si>
  <si>
    <t>LANCHONETE UNIAO  01</t>
  </si>
  <si>
    <t>AV AVENIDA JOEL MODESTO, 2</t>
  </si>
  <si>
    <t>-11.548993</t>
  </si>
  <si>
    <t>-41.157364</t>
  </si>
  <si>
    <t>(062) 99220-9442</t>
  </si>
  <si>
    <t>0216-0458</t>
  </si>
  <si>
    <t>ANDRESSA YUMI QUEIROZ NOVAIS DOURADO</t>
  </si>
  <si>
    <t>ESKINAO SUPERMERCADO</t>
  </si>
  <si>
    <t>AV AVENIDA SENHOR DOS PASSOS, 420</t>
  </si>
  <si>
    <t>-11.545106</t>
  </si>
  <si>
    <t>-41.155094</t>
  </si>
  <si>
    <t>(074) 98866-2052</t>
  </si>
  <si>
    <t>0216-0459</t>
  </si>
  <si>
    <t>JADERSON JESUS DOS SANTOS 04236795540</t>
  </si>
  <si>
    <t>PADARIA 7 IRMAOS</t>
  </si>
  <si>
    <t>PRC PRACA DO COLEGIO, 41</t>
  </si>
  <si>
    <t>-11.763239</t>
  </si>
  <si>
    <t>-41.153080</t>
  </si>
  <si>
    <t>(075) 99725-4157</t>
  </si>
  <si>
    <t>0216-0472</t>
  </si>
  <si>
    <t>MOARA CHAAR PINHEIRO MARQUES</t>
  </si>
  <si>
    <t>VARANDA BISTRO    01</t>
  </si>
  <si>
    <t>TRV NOVA JERUSALEM, 200 / CASA</t>
  </si>
  <si>
    <t>BAIRRO DA PAZ</t>
  </si>
  <si>
    <t>-11.551699</t>
  </si>
  <si>
    <t>-41.172153</t>
  </si>
  <si>
    <t>(071) 98685-1048</t>
  </si>
  <si>
    <t>0216-0476</t>
  </si>
  <si>
    <t>51769196 ZAQUEU ALMEIDA ARAUJO</t>
  </si>
  <si>
    <t>MERCADO BARBOSA   01</t>
  </si>
  <si>
    <t>RUA 10A RUA NOVO HORIZONTE, 633</t>
  </si>
  <si>
    <t>-11.543197</t>
  </si>
  <si>
    <t>-41.171780</t>
  </si>
  <si>
    <t>(011) 06067-0200</t>
  </si>
  <si>
    <t>0216-0478</t>
  </si>
  <si>
    <t>ELIZENAIDE MARCELINO BARBOSA</t>
  </si>
  <si>
    <t>MERCADO DO POVO   01</t>
  </si>
  <si>
    <t>POV RUA POVOADO DE LAGOA NOVA</t>
  </si>
  <si>
    <t>-11.765204</t>
  </si>
  <si>
    <t>-41.154434</t>
  </si>
  <si>
    <t>0216-0480</t>
  </si>
  <si>
    <t>J. L. PIZZARIA LTDA</t>
  </si>
  <si>
    <t>MAGGIORE PIZZARIA 02</t>
  </si>
  <si>
    <t>RUA RUA NICOLAU GRASSI 90, 90</t>
  </si>
  <si>
    <t>-11.550549</t>
  </si>
  <si>
    <t>-41.156555</t>
  </si>
  <si>
    <t>(074) 98274-4526</t>
  </si>
  <si>
    <t>0216-0481</t>
  </si>
  <si>
    <t>LUCAS ROCHA DOS SANTOS</t>
  </si>
  <si>
    <t>PANORAMA BAR      01</t>
  </si>
  <si>
    <t>RUA RUA NICOLAU GRASSI, 68</t>
  </si>
  <si>
    <t>-11.550747</t>
  </si>
  <si>
    <t>-41.156550</t>
  </si>
  <si>
    <t>(074) 99970-8396</t>
  </si>
  <si>
    <t>0216-0484</t>
  </si>
  <si>
    <t>ESKINAO SUPERMERCADO LTDA</t>
  </si>
  <si>
    <t>SUPERMERCADO DO POV</t>
  </si>
  <si>
    <t>RUA RUA FRANCISCO SA 85, 85</t>
  </si>
  <si>
    <t>-11.550343</t>
  </si>
  <si>
    <t>-41.156136</t>
  </si>
  <si>
    <t>(074) 98122-0436</t>
  </si>
  <si>
    <t>0216-0485</t>
  </si>
  <si>
    <t>MARCELO ROCHA DE OLIVEIRA</t>
  </si>
  <si>
    <t>MERCADINHO DE SABRIN</t>
  </si>
  <si>
    <t>RUA RUA 05, 88</t>
  </si>
  <si>
    <t>-11.539636</t>
  </si>
  <si>
    <t>-41.171753</t>
  </si>
  <si>
    <t>(074) 99995-5623</t>
  </si>
  <si>
    <t>0216-0487</t>
  </si>
  <si>
    <t>RODRIGO MOREIRA PEREIRA</t>
  </si>
  <si>
    <t>LANCH DO POSTO SIDEL</t>
  </si>
  <si>
    <t>AV BA 052, 274</t>
  </si>
  <si>
    <t>-11.544585</t>
  </si>
  <si>
    <t>-41.175061</t>
  </si>
  <si>
    <t>(074) 99903-7728</t>
  </si>
  <si>
    <t>0216-0489</t>
  </si>
  <si>
    <t>ESFIHAS HOUSE LTDA</t>
  </si>
  <si>
    <t>ESFIHAS HOUSE</t>
  </si>
  <si>
    <t>PRC PRACA FLAVIANO GUIMARAES, 10</t>
  </si>
  <si>
    <t>-11.549204</t>
  </si>
  <si>
    <t>-41.157230</t>
  </si>
  <si>
    <t>0216-0490</t>
  </si>
  <si>
    <t>IANNA SILVA DOS SANTOS</t>
  </si>
  <si>
    <t>IANNA CONFEITEIRA</t>
  </si>
  <si>
    <t>RUA RUA SENHOR DOS PASSOS, 58</t>
  </si>
  <si>
    <t>-11.547931</t>
  </si>
  <si>
    <t>-41.155647</t>
  </si>
  <si>
    <t>(074) 98865-2788</t>
  </si>
  <si>
    <t>0216-0491</t>
  </si>
  <si>
    <t>JAQUELINE ALVES DOS SANTOS</t>
  </si>
  <si>
    <t>MERCADINHO VALE OU01</t>
  </si>
  <si>
    <t>RUA RUA VALE OURO 125, 125</t>
  </si>
  <si>
    <t>VALE OURO</t>
  </si>
  <si>
    <t>-11.557717</t>
  </si>
  <si>
    <t>-41.155884</t>
  </si>
  <si>
    <t>(074) 09964-4527</t>
  </si>
  <si>
    <t>0216-0495</t>
  </si>
  <si>
    <t>GILDACI AMORIM SANTOS</t>
  </si>
  <si>
    <t>RESTAURANTE E LANCH</t>
  </si>
  <si>
    <t>RUA RUA GETULIO VARGAS, 193</t>
  </si>
  <si>
    <t>-11.549782</t>
  </si>
  <si>
    <t>-41.156452</t>
  </si>
  <si>
    <t>(074) 98846-1099</t>
  </si>
  <si>
    <t>0216-0496</t>
  </si>
  <si>
    <t>CLAUDEMIRE CEZAR PEREIRA</t>
  </si>
  <si>
    <t>LANCHONETE MORANGO</t>
  </si>
  <si>
    <t>AV AVENIDA BA 052, 200</t>
  </si>
  <si>
    <t>-11.551484</t>
  </si>
  <si>
    <t>-41.165367</t>
  </si>
  <si>
    <t>(074) 99901-7672</t>
  </si>
  <si>
    <t>0216-0497</t>
  </si>
  <si>
    <t>MARINEIDE MORAIS RIOS</t>
  </si>
  <si>
    <t>MERCADINHO GOMES  02</t>
  </si>
  <si>
    <t>RUA RUA JOEL RIBEIRO, 209</t>
  </si>
  <si>
    <t>-11.546550</t>
  </si>
  <si>
    <t>-41.149307</t>
  </si>
  <si>
    <t>(074) 99938-2185</t>
  </si>
  <si>
    <t>0216-0502</t>
  </si>
  <si>
    <t>JANDIR ALVES SANTOS</t>
  </si>
  <si>
    <t>DUQUE DISTRIBUIDORA</t>
  </si>
  <si>
    <t>RUA RUA DUQUE CAXIAS, 149</t>
  </si>
  <si>
    <t>-11.550515</t>
  </si>
  <si>
    <t>-41.159164</t>
  </si>
  <si>
    <t>(074) 99913-3455</t>
  </si>
  <si>
    <t>0216-0503</t>
  </si>
  <si>
    <t>STEFANNY MASCARENHAS DA SILVA PIMENTEL</t>
  </si>
  <si>
    <t>MERCEARIA MUNDIAL</t>
  </si>
  <si>
    <t>RUA JONAS ARLEGO, 470</t>
  </si>
  <si>
    <t>-11.541108</t>
  </si>
  <si>
    <t>-41.153164</t>
  </si>
  <si>
    <t>(074) 09997-2284</t>
  </si>
  <si>
    <t>0216-0504</t>
  </si>
  <si>
    <t>MARILEIDE BEZERRA DE SOUZA</t>
  </si>
  <si>
    <t>QUERO MAIS SALGADEIR</t>
  </si>
  <si>
    <t>RUA NICOLAU GRASSI, 27</t>
  </si>
  <si>
    <t>-11.551264</t>
  </si>
  <si>
    <t>-41.156750</t>
  </si>
  <si>
    <t>(074) 99999-7423</t>
  </si>
  <si>
    <t>0216-0505</t>
  </si>
  <si>
    <t>SILVANIA DE SENA COSTA OLIVEIRA</t>
  </si>
  <si>
    <t>O ARMAZEM</t>
  </si>
  <si>
    <t>AV JOEL MODESTO, 312</t>
  </si>
  <si>
    <t>-11.548572</t>
  </si>
  <si>
    <t>-41.160515</t>
  </si>
  <si>
    <t>(074) 09964-0394</t>
  </si>
  <si>
    <t>0216-0506</t>
  </si>
  <si>
    <t>EDIGAR MARTINHO BARRETO</t>
  </si>
  <si>
    <t>AVENIDA CAFE</t>
  </si>
  <si>
    <t>AV JOEL MODESTO, 204</t>
  </si>
  <si>
    <t>-11.548688</t>
  </si>
  <si>
    <t>-41.159520</t>
  </si>
  <si>
    <t>(074) 09921-6589</t>
  </si>
  <si>
    <t>0216-0508</t>
  </si>
  <si>
    <t>MERCADO SUPER MODELO LTDA</t>
  </si>
  <si>
    <t>MERCADO SUPER MODELO</t>
  </si>
  <si>
    <t>RUA SUMARE, 273</t>
  </si>
  <si>
    <t>-11.544828</t>
  </si>
  <si>
    <t>-41.149082</t>
  </si>
  <si>
    <t>(074) 09986-5803</t>
  </si>
  <si>
    <t>0216-0514</t>
  </si>
  <si>
    <t>MAIARA ROCHA DA SILVA</t>
  </si>
  <si>
    <t>DIST E ESPETARIA</t>
  </si>
  <si>
    <t>AV JOEL MODESTO, 409</t>
  </si>
  <si>
    <t>-11.548562</t>
  </si>
  <si>
    <t>-41.161440</t>
  </si>
  <si>
    <t>(074) 99999-7295</t>
  </si>
  <si>
    <t>0216-0515</t>
  </si>
  <si>
    <t>KELE BORGES DE SANTANA SANTOS</t>
  </si>
  <si>
    <t>MERCADO SANTANA   01</t>
  </si>
  <si>
    <t>RUA ELICERIO BARBOSA, 141</t>
  </si>
  <si>
    <t>-11.546055</t>
  </si>
  <si>
    <t>-41.147034</t>
  </si>
  <si>
    <t>(074) 09886-2451</t>
  </si>
  <si>
    <t>0216-0516</t>
  </si>
  <si>
    <t>AGUINALDO CESAR PEREIRA</t>
  </si>
  <si>
    <t>PESQUEIRO DO MINERO</t>
  </si>
  <si>
    <t>POV BARRA II, 111</t>
  </si>
  <si>
    <t>BARRA II M DO CHAPEU</t>
  </si>
  <si>
    <t>-11.521268</t>
  </si>
  <si>
    <t>-41.174572</t>
  </si>
  <si>
    <t>(074) 99971-3582</t>
  </si>
  <si>
    <t>0216-0518</t>
  </si>
  <si>
    <t>TAMMY MOREIRA BARBOSA DE SOUZA</t>
  </si>
  <si>
    <t>CHOPP BURGER</t>
  </si>
  <si>
    <t>RUA NICOLAU GRASSI, 67</t>
  </si>
  <si>
    <t>-11.550927</t>
  </si>
  <si>
    <t>-41.156710</t>
  </si>
  <si>
    <t>(074) 09930-3237</t>
  </si>
  <si>
    <t>0216-0521</t>
  </si>
  <si>
    <t>JOSE CLAUDIO DE OLIVEIRA</t>
  </si>
  <si>
    <t>RESTAURANTE E LANC02</t>
  </si>
  <si>
    <t>RUA CORONEL DIAS COELHO, 33</t>
  </si>
  <si>
    <t>-11.549890</t>
  </si>
  <si>
    <t>-41.157350</t>
  </si>
  <si>
    <t>(074) 98843-1108</t>
  </si>
  <si>
    <t>0216-0523</t>
  </si>
  <si>
    <t>EDILEIDE FERREIRA LEMOS</t>
  </si>
  <si>
    <t>MERCADO PAGUE MENO04</t>
  </si>
  <si>
    <t>RUA RUA DAS FLORES 5, 5</t>
  </si>
  <si>
    <t>-11.765468</t>
  </si>
  <si>
    <t>-41.153618</t>
  </si>
  <si>
    <t>(074) 99809-6982</t>
  </si>
  <si>
    <t>0216-0524</t>
  </si>
  <si>
    <t>DANIEL OLIVEIRA DE SOUZA</t>
  </si>
  <si>
    <t>LOJA DO CAMINHONEIRO</t>
  </si>
  <si>
    <t>ROD RODOVIA BA 052 KM 274, 961</t>
  </si>
  <si>
    <t>RODOVIARIA MORRO DO</t>
  </si>
  <si>
    <t>-11.545593</t>
  </si>
  <si>
    <t>-41.174355</t>
  </si>
  <si>
    <t>(074) 99942-4004</t>
  </si>
  <si>
    <t>0216-0526</t>
  </si>
  <si>
    <t>KARINE GOMES SOARES</t>
  </si>
  <si>
    <t>MERCEARIA MILAGRES</t>
  </si>
  <si>
    <t>AV AVENIDA UTINGA 116, 116</t>
  </si>
  <si>
    <t>-11.557116</t>
  </si>
  <si>
    <t>-41.159153</t>
  </si>
  <si>
    <t>(074) 99916-5920</t>
  </si>
  <si>
    <t>0216-0527</t>
  </si>
  <si>
    <t>EVANDRO RODRIGUES DE OLIVEIRA</t>
  </si>
  <si>
    <t>ADEGA 074</t>
  </si>
  <si>
    <t>PRC PRACA DA BANDEIRA, 174</t>
  </si>
  <si>
    <t>-11.551324</t>
  </si>
  <si>
    <t>-41.156605</t>
  </si>
  <si>
    <t>(074) 99954-5656</t>
  </si>
  <si>
    <t>0216-0528</t>
  </si>
  <si>
    <t>KATIA APARECIDA SANTOS DAS MERCES</t>
  </si>
  <si>
    <t>MERCADO PELORINHO</t>
  </si>
  <si>
    <t>RUA MANOEL TEIXEIRA, 135</t>
  </si>
  <si>
    <t>-11.547183</t>
  </si>
  <si>
    <t>-41.152940</t>
  </si>
  <si>
    <t>(074) 09924-5716</t>
  </si>
  <si>
    <t>0216-0530</t>
  </si>
  <si>
    <t>DMS COMERCIO DE ALIMENTOS LTDA</t>
  </si>
  <si>
    <t>MERCADO MAGNO</t>
  </si>
  <si>
    <t>RUA SANTO ANTONIO, 154</t>
  </si>
  <si>
    <t>-11.540433</t>
  </si>
  <si>
    <t>-41.172808</t>
  </si>
  <si>
    <t>(074) 98832-5698</t>
  </si>
  <si>
    <t>0216-0532</t>
  </si>
  <si>
    <t>MARIA QUITERIA VALOIS COUTINHO CARNEIRO</t>
  </si>
  <si>
    <t>AVENIDA SUPERMERCADO</t>
  </si>
  <si>
    <t>AV JOEL MODESTO, 912</t>
  </si>
  <si>
    <t>-11.546710</t>
  </si>
  <si>
    <t>-41.165745</t>
  </si>
  <si>
    <t>(071) 99653-1816</t>
  </si>
  <si>
    <t>0216-0533</t>
  </si>
  <si>
    <t>JOANE PIRES DA SILVA BARBOSA</t>
  </si>
  <si>
    <t>FLORICUTURA ARAGUAI</t>
  </si>
  <si>
    <t>RUA ARAGUAIA, 2</t>
  </si>
  <si>
    <t>ARAGUAIA / MORRO DO</t>
  </si>
  <si>
    <t>-11.553672</t>
  </si>
  <si>
    <t>-41.163815</t>
  </si>
  <si>
    <t>(074) 09965-7715</t>
  </si>
  <si>
    <t>0216-0535</t>
  </si>
  <si>
    <t>DANIELA DA SILVA SALES GONSALVES</t>
  </si>
  <si>
    <t>SALES DISTRIBUIDORA</t>
  </si>
  <si>
    <t>RUA RUA CORONEL SOUZA BENTA, 656</t>
  </si>
  <si>
    <t>-11.551106</t>
  </si>
  <si>
    <t>-41.163800</t>
  </si>
  <si>
    <t>(074) 99955-1280</t>
  </si>
  <si>
    <t>0216-0536</t>
  </si>
  <si>
    <t>ELIANA DOS SANTOS CARNEIRO GONSALVES</t>
  </si>
  <si>
    <t>DOCES DA ELIANA</t>
  </si>
  <si>
    <t>RUA RUA 02 DE JULHO, 87</t>
  </si>
  <si>
    <t>-11.550763</t>
  </si>
  <si>
    <t>-41.154217</t>
  </si>
  <si>
    <t>(074) 99928-9792</t>
  </si>
  <si>
    <t>0216-0537</t>
  </si>
  <si>
    <t>IVANILTON DE SOUZA COSTA</t>
  </si>
  <si>
    <t>DISTRIBUIDORA E MERC</t>
  </si>
  <si>
    <t>AV AVENIDA TARECO, 17</t>
  </si>
  <si>
    <t>POV. CANA BRAVA M.DO</t>
  </si>
  <si>
    <t>-11.409689</t>
  </si>
  <si>
    <t>-41.372891</t>
  </si>
  <si>
    <t>(074) 98822-4226</t>
  </si>
  <si>
    <t>0216-0538</t>
  </si>
  <si>
    <t>EDNA FERREIRA DOS SANTOS AQUINO</t>
  </si>
  <si>
    <t>MERCADINHO POLLOS 01</t>
  </si>
  <si>
    <t>RUA TRINDADE, 80</t>
  </si>
  <si>
    <t>-11.551751</t>
  </si>
  <si>
    <t>-41.155886</t>
  </si>
  <si>
    <t>(074) 99943-9817</t>
  </si>
  <si>
    <t>0216-0539</t>
  </si>
  <si>
    <t>JOAO PAULO NASCIMENTO BRITO ROCHA</t>
  </si>
  <si>
    <t>PRETO WIVISSON</t>
  </si>
  <si>
    <t>RUA VALE OURO, 270</t>
  </si>
  <si>
    <t>-11.557173</t>
  </si>
  <si>
    <t>-41.156289</t>
  </si>
  <si>
    <t>(074) 09995-2605</t>
  </si>
  <si>
    <t>0216-0540</t>
  </si>
  <si>
    <t>ODAIR JOSE RIBEIRO ARAUJO</t>
  </si>
  <si>
    <t>PORCAO BAR E DIST</t>
  </si>
  <si>
    <t>AV ANTONIO BALBINO, 551</t>
  </si>
  <si>
    <t>SAO VICENTE</t>
  </si>
  <si>
    <t>-11.550814</t>
  </si>
  <si>
    <t>-41.151024</t>
  </si>
  <si>
    <t>(074) 09965-9204</t>
  </si>
  <si>
    <t>0216-0542</t>
  </si>
  <si>
    <t>IGOR SILVA DOS REIS</t>
  </si>
  <si>
    <t>MERC E PADARIA REIS</t>
  </si>
  <si>
    <t>RUA NOVO HORIZONTE, 253</t>
  </si>
  <si>
    <t>-11.543688</t>
  </si>
  <si>
    <t>-41.168318</t>
  </si>
  <si>
    <t>(074) 99818-4328</t>
  </si>
  <si>
    <t>0216-0543</t>
  </si>
  <si>
    <t>IEDA NUNES EDUARDO</t>
  </si>
  <si>
    <t>TERRACO JAPA</t>
  </si>
  <si>
    <t>RUA RUA FRIANDES ROCHA, 56</t>
  </si>
  <si>
    <t>-11.544843</t>
  </si>
  <si>
    <t>-41.154542</t>
  </si>
  <si>
    <t>0216-0545</t>
  </si>
  <si>
    <t>WILLOW BATISTA PEREIRA</t>
  </si>
  <si>
    <t>LOTUS DISTRIBUIDORA</t>
  </si>
  <si>
    <t>RUA JOEL MODESTO, 2017</t>
  </si>
  <si>
    <t>-11.544660</t>
  </si>
  <si>
    <t>-41.170210</t>
  </si>
  <si>
    <t>(074) 99952-3633</t>
  </si>
  <si>
    <t>0216-0547</t>
  </si>
  <si>
    <t>JUCELIO AVELINO DA SILVA AMORIM</t>
  </si>
  <si>
    <t>HORT FRUT VO ODETE</t>
  </si>
  <si>
    <t>AV 10 AVENIDA AV JORL MODESTO, 91</t>
  </si>
  <si>
    <t>-11.548438</t>
  </si>
  <si>
    <t>-41.157438</t>
  </si>
  <si>
    <t>(074) 98802-8531</t>
  </si>
  <si>
    <t>0216-0548</t>
  </si>
  <si>
    <t>ORLANI GOMES SANTOS</t>
  </si>
  <si>
    <t>TEMPERO DA CASA</t>
  </si>
  <si>
    <t>RUA SALATIEL GONCALVES DE OLIVEIRA, 99</t>
  </si>
  <si>
    <t>-11.543591</t>
  </si>
  <si>
    <t>-41.173328</t>
  </si>
  <si>
    <t>(074) 99939-7696</t>
  </si>
  <si>
    <t>0216-0549</t>
  </si>
  <si>
    <t>ROSIANE DE OLIVERIRA FREIRE</t>
  </si>
  <si>
    <t>MACARRAO E CIA ROSE</t>
  </si>
  <si>
    <t>PRC FLAVIANO GUIMARAES, 9</t>
  </si>
  <si>
    <t>-11.548797</t>
  </si>
  <si>
    <t>-41.157071</t>
  </si>
  <si>
    <t>(074) 98112-0480</t>
  </si>
  <si>
    <t>0216-0551</t>
  </si>
  <si>
    <t>DERALDO CESAR DE SOUZA</t>
  </si>
  <si>
    <t>LANCHONETE RODOVIARI</t>
  </si>
  <si>
    <t>RUA DA RODOVIARIA</t>
  </si>
  <si>
    <t>-11.547182</t>
  </si>
  <si>
    <t>-41.168455</t>
  </si>
  <si>
    <t>(075) 98223-6471</t>
  </si>
  <si>
    <t>0216-0555</t>
  </si>
  <si>
    <t>GUSTAVO FERREIRA DE SOUZA</t>
  </si>
  <si>
    <t>LANCHONETE POSTO BRA</t>
  </si>
  <si>
    <t>ROD BA 052 KM 274, 730</t>
  </si>
  <si>
    <t>-11.549778</t>
  </si>
  <si>
    <t>-41.168108</t>
  </si>
  <si>
    <t>(074) 98819-3170</t>
  </si>
  <si>
    <t>0216-0556</t>
  </si>
  <si>
    <t>RAFAELA ROSS DE CARVALHO MONTE NEGRO</t>
  </si>
  <si>
    <t>DISTRIBUIDORA MINI P</t>
  </si>
  <si>
    <t>RUA RUA DA ARENA, 30</t>
  </si>
  <si>
    <t>-11.273166</t>
  </si>
  <si>
    <t>-41.018525</t>
  </si>
  <si>
    <t>(074) 98817-4930</t>
  </si>
  <si>
    <t>0216-0557</t>
  </si>
  <si>
    <t>MESTRE DAS PIZZAS COMERCIO DE ALIMENTOS</t>
  </si>
  <si>
    <t>MESTRE DAS PIZZAS 04</t>
  </si>
  <si>
    <t>AV JOEL MODESTO 04, 193</t>
  </si>
  <si>
    <t>-11.549126</t>
  </si>
  <si>
    <t>-41.158779</t>
  </si>
  <si>
    <t>(074) 99984-8187</t>
  </si>
  <si>
    <t>0217-0007</t>
  </si>
  <si>
    <t>DULCINEIA XAVIER MASCARENHAS</t>
  </si>
  <si>
    <t>SUPERMERCADO MACAL</t>
  </si>
  <si>
    <t>RUA ADMIN RUA JOSE XAVIER / 02170007</t>
  </si>
  <si>
    <t>CENTRO MUL MO</t>
  </si>
  <si>
    <t>-11.966470</t>
  </si>
  <si>
    <t>-41.637962</t>
  </si>
  <si>
    <t>(074) 99136-3254</t>
  </si>
  <si>
    <t>0217-0008</t>
  </si>
  <si>
    <t>GENILDO XAVIER OLIVEIRA</t>
  </si>
  <si>
    <t>DOCES E SALGADOS GEN</t>
  </si>
  <si>
    <t>PRC PCA IMACULADA CONCEICAO</t>
  </si>
  <si>
    <t>-11.967916</t>
  </si>
  <si>
    <t>-41.641030</t>
  </si>
  <si>
    <t>0217-0011</t>
  </si>
  <si>
    <t>ANA PAULA ROSA DE SOUZA</t>
  </si>
  <si>
    <t>MERCADO CASA MACENO</t>
  </si>
  <si>
    <t>RUA RUA ALCEBIADES JOSE SILVA / 02170011</t>
  </si>
  <si>
    <t>-11.966213</t>
  </si>
  <si>
    <t>-41.641598</t>
  </si>
  <si>
    <t>(074) 99196-3816</t>
  </si>
  <si>
    <t>0217-0013</t>
  </si>
  <si>
    <t>LINDACI MARIA DE NOVAIS</t>
  </si>
  <si>
    <t>MERCADINHO SAO MATEU</t>
  </si>
  <si>
    <t>RUA JOAO PAULO II, 35 / 02170013</t>
  </si>
  <si>
    <t>-11.965796</t>
  </si>
  <si>
    <t>-41.638165</t>
  </si>
  <si>
    <t>(740) 00643-1352</t>
  </si>
  <si>
    <t>0217-0017</t>
  </si>
  <si>
    <t>BRUNO DE SOUZA PASSOS</t>
  </si>
  <si>
    <t>MERCADO BRANCA</t>
  </si>
  <si>
    <t>RUA SATELITE, 152 / 02170017</t>
  </si>
  <si>
    <t>-11.964800</t>
  </si>
  <si>
    <t>-41.639328</t>
  </si>
  <si>
    <t>(074) 99998-3184</t>
  </si>
  <si>
    <t>0217-0025</t>
  </si>
  <si>
    <t>ERIVALDO TELES DE OLIVEIRA</t>
  </si>
  <si>
    <t>SUP MENDONCA</t>
  </si>
  <si>
    <t>PRC PRACA DO COMERCIO, 95</t>
  </si>
  <si>
    <t>POV UMBURANAS LONGOS</t>
  </si>
  <si>
    <t>-11.923365</t>
  </si>
  <si>
    <t>-41.633327</t>
  </si>
  <si>
    <t>(740) 09188-4236</t>
  </si>
  <si>
    <t>0217-0034</t>
  </si>
  <si>
    <t>VERALUCIA EUZEBIA LEMOS</t>
  </si>
  <si>
    <t>MERCADO VERA LEMOS</t>
  </si>
  <si>
    <t>RUA ANA DE JESUS, 98 / 02170034</t>
  </si>
  <si>
    <t>-11.968880</t>
  </si>
  <si>
    <t>-41.638340</t>
  </si>
  <si>
    <t>3643-1452</t>
  </si>
  <si>
    <t>0217-0038</t>
  </si>
  <si>
    <t>JOAO BATISTA FAGUNDES ROSA</t>
  </si>
  <si>
    <t>PADARIA BATISTA</t>
  </si>
  <si>
    <t>RUA RUA JULIO RODRIGUES SN / 02170038</t>
  </si>
  <si>
    <t>-11.968554</t>
  </si>
  <si>
    <t>-41.639450</t>
  </si>
  <si>
    <t>0217-0041</t>
  </si>
  <si>
    <t>ARIOVALDO ALVES BOAVENTURA</t>
  </si>
  <si>
    <t>COMERCIAL IRMAOS MED</t>
  </si>
  <si>
    <t>RUA RUA 07 DE SETEMBRO, 48</t>
  </si>
  <si>
    <t>CENTRO/MULUNGU DO MO</t>
  </si>
  <si>
    <t>-11.965026</t>
  </si>
  <si>
    <t>-41.640450</t>
  </si>
  <si>
    <t>(074) 99138-5318</t>
  </si>
  <si>
    <t>0217-0043</t>
  </si>
  <si>
    <t>ENESIO DA SILVA ALMEIDA</t>
  </si>
  <si>
    <t>MERCADO BAGACEIRA</t>
  </si>
  <si>
    <t>RUA RUA OLAVO BILAC, 185</t>
  </si>
  <si>
    <t>CANUDOS</t>
  </si>
  <si>
    <t>-11.952726</t>
  </si>
  <si>
    <t>-41.619270</t>
  </si>
  <si>
    <t>(074) 99130-5728</t>
  </si>
  <si>
    <t>0217-0048</t>
  </si>
  <si>
    <t>GELSON DOS ANJOS ALVES</t>
  </si>
  <si>
    <t>BAR DO BEL</t>
  </si>
  <si>
    <t>RUA DO COMERCIO SN / 02170048</t>
  </si>
  <si>
    <t>-11.965687</t>
  </si>
  <si>
    <t>-41.639060</t>
  </si>
  <si>
    <t>(074) 99192-9836</t>
  </si>
  <si>
    <t>0217-0049</t>
  </si>
  <si>
    <t>GENELICIO SOUZA SOBRINHO</t>
  </si>
  <si>
    <t>MERCADINHO LUIZA 01</t>
  </si>
  <si>
    <t>RUA ACM SN</t>
  </si>
  <si>
    <t>UMBURANAS</t>
  </si>
  <si>
    <t>-11.884615</t>
  </si>
  <si>
    <t>-41.652576</t>
  </si>
  <si>
    <t>0217-0059</t>
  </si>
  <si>
    <t>JOAO BATISTA OLIVEIRA FRAGA</t>
  </si>
  <si>
    <t>MECADINHO FRAGA</t>
  </si>
  <si>
    <t>RUA MEDRADO S N</t>
  </si>
  <si>
    <t>POVOADO MEDRADO</t>
  </si>
  <si>
    <t>-11.874363</t>
  </si>
  <si>
    <t>-41.671820</t>
  </si>
  <si>
    <t>(400) 09928-8698</t>
  </si>
  <si>
    <t>0217-0066</t>
  </si>
  <si>
    <t>NOELIO DE SOUZA SANTOS</t>
  </si>
  <si>
    <t>CASA DE CARNE SANTO</t>
  </si>
  <si>
    <t>PRC DO COMERCIO SN</t>
  </si>
  <si>
    <t>-11.884189</t>
  </si>
  <si>
    <t>-41.653660</t>
  </si>
  <si>
    <t>(740) 09972-5522</t>
  </si>
  <si>
    <t>0217-0068</t>
  </si>
  <si>
    <t>DIEGO GUIMARAES DOS ANJOS</t>
  </si>
  <si>
    <t>MERCADO GUIMARAES</t>
  </si>
  <si>
    <t>RUA RUA GEORGE VERDE</t>
  </si>
  <si>
    <t>PRACA NOVA</t>
  </si>
  <si>
    <t>-11.968391</t>
  </si>
  <si>
    <t>-41.640537</t>
  </si>
  <si>
    <t>(740) 09192-6878</t>
  </si>
  <si>
    <t>0217-0069</t>
  </si>
  <si>
    <t>RENALDO RODRIGUES DE OLIVEIRA</t>
  </si>
  <si>
    <t>RENALDO RODRIGUES D</t>
  </si>
  <si>
    <t>RUA RUA 7 DE SETEMBRO, 105</t>
  </si>
  <si>
    <t>-11.965755</t>
  </si>
  <si>
    <t>-41.639774</t>
  </si>
  <si>
    <t>(740) 99153-6781</t>
  </si>
  <si>
    <t>0217-0073</t>
  </si>
  <si>
    <t>VANDERLEI MOURA DOS SANTOS</t>
  </si>
  <si>
    <t>MERCADINHO GABYLO</t>
  </si>
  <si>
    <t>PRC PRAC BERTOLDO SOUZA, 922</t>
  </si>
  <si>
    <t>-11.965575</t>
  </si>
  <si>
    <t>-41.641838</t>
  </si>
  <si>
    <t>(074) 09111-1930</t>
  </si>
  <si>
    <t>0217-0077</t>
  </si>
  <si>
    <t>RAIMUNDA MARIA BATISTA</t>
  </si>
  <si>
    <t>MERCADO COMPRE BEM04</t>
  </si>
  <si>
    <t>RUA RUA SATELITES, 70</t>
  </si>
  <si>
    <t>-11.964138</t>
  </si>
  <si>
    <t>-41.640020</t>
  </si>
  <si>
    <t>(074) 98143-0272</t>
  </si>
  <si>
    <t>0217-0079</t>
  </si>
  <si>
    <t>SUPERMERCADO ROCHA LTDA-EPP</t>
  </si>
  <si>
    <t>SUPERMERCADO ROCHA03</t>
  </si>
  <si>
    <t>PRC PRACA JOAO PRIMO, 40</t>
  </si>
  <si>
    <t>-11.966873</t>
  </si>
  <si>
    <t>-41.637802</t>
  </si>
  <si>
    <t>(074) 99121-7294</t>
  </si>
  <si>
    <t>0217-0088</t>
  </si>
  <si>
    <t>MARIA VIEIRA DA SILVA FILHA XAVIER</t>
  </si>
  <si>
    <t>LANC E REST QDELICIA</t>
  </si>
  <si>
    <t>PRC PRACA BERTOLDO SOUZA SANTOS, 175</t>
  </si>
  <si>
    <t>-11.965920</t>
  </si>
  <si>
    <t>-41.638450</t>
  </si>
  <si>
    <t>(074) 99112-7902</t>
  </si>
  <si>
    <t>0217-0089</t>
  </si>
  <si>
    <t>MARLENE TELES MACIEL</t>
  </si>
  <si>
    <t>PONTO DA TAPIOCA</t>
  </si>
  <si>
    <t>PRC PRACA SANTO ANTONIO, 182</t>
  </si>
  <si>
    <t>POV CANUDO / MULUNGU</t>
  </si>
  <si>
    <t>-11.964640</t>
  </si>
  <si>
    <t>-41.641800</t>
  </si>
  <si>
    <t>(074) 99114-1373</t>
  </si>
  <si>
    <t>0217-0093</t>
  </si>
  <si>
    <t>ELIAS RIBEIRO DA SILVA</t>
  </si>
  <si>
    <t>MERCADINHO OLIVEIR14</t>
  </si>
  <si>
    <t>AV AVENIDA ACM, 310</t>
  </si>
  <si>
    <t>-11.965491</t>
  </si>
  <si>
    <t>-41.642014</t>
  </si>
  <si>
    <t>(074) 99147-2072</t>
  </si>
  <si>
    <t>0217-0094</t>
  </si>
  <si>
    <t>WAGNER JOSE DE SOUZA</t>
  </si>
  <si>
    <t>MERCADINHO DO WAGNER</t>
  </si>
  <si>
    <t>PRC PRACA RUFINO DOA VENTURA, 214</t>
  </si>
  <si>
    <t>POV CANUDOS</t>
  </si>
  <si>
    <t>-11.952841</t>
  </si>
  <si>
    <t>-41.619354</t>
  </si>
  <si>
    <t>(074) 99190-7704</t>
  </si>
  <si>
    <t>0217-0097</t>
  </si>
  <si>
    <t>FLAVIA SOUZA OLIVEIRA VITOR</t>
  </si>
  <si>
    <t>MERCADO VITOR S</t>
  </si>
  <si>
    <t>RUA RUA BELARMINO SOUZA SANTOS, 65</t>
  </si>
  <si>
    <t>-11.967880</t>
  </si>
  <si>
    <t>-41.637880</t>
  </si>
  <si>
    <t>(074) 99147-0130</t>
  </si>
  <si>
    <t>0217-0102</t>
  </si>
  <si>
    <t>WESCLEY SOUZA GOMES</t>
  </si>
  <si>
    <t>MERCADO WESJP</t>
  </si>
  <si>
    <t>RUA RUA MULUNGU, 73</t>
  </si>
  <si>
    <t>BAIXA DA CAINANA</t>
  </si>
  <si>
    <t>-11.966655</t>
  </si>
  <si>
    <t>-41.672550</t>
  </si>
  <si>
    <t>(074) 99903-4826</t>
  </si>
  <si>
    <t>0217-0104</t>
  </si>
  <si>
    <t>KAUAN SOUZA DOS ANJOS SILVA</t>
  </si>
  <si>
    <t>DISTRIBUI ZE DO BUZO</t>
  </si>
  <si>
    <t>RUA RUA 7 DE SETEMBRO, 17</t>
  </si>
  <si>
    <t>-11.966026</t>
  </si>
  <si>
    <t>-41.639484</t>
  </si>
  <si>
    <t>(074) 98117-8929</t>
  </si>
  <si>
    <t>0217-0105</t>
  </si>
  <si>
    <t>LECIANE AMELIA SANTOS</t>
  </si>
  <si>
    <t>PADARIA RIOS</t>
  </si>
  <si>
    <t>RUA RUA BAHIA, 126</t>
  </si>
  <si>
    <t>-11.966431</t>
  </si>
  <si>
    <t>-41.637863</t>
  </si>
  <si>
    <t>(074) 98106-0134</t>
  </si>
  <si>
    <t>0217-0106</t>
  </si>
  <si>
    <t>MIKAEL KEVIN FONSECA DOS SANTOS</t>
  </si>
  <si>
    <t>CHURRASCARIA SERTANE</t>
  </si>
  <si>
    <t>TRV TRAVESSA JOSE SOUZA NOGUEIRA, 98</t>
  </si>
  <si>
    <t>-11.966469</t>
  </si>
  <si>
    <t>-41.646194</t>
  </si>
  <si>
    <t>(074) 99195-1665</t>
  </si>
  <si>
    <t>0217-0107</t>
  </si>
  <si>
    <t>ANGELITA SILVA DE SOUZA ANJOS</t>
  </si>
  <si>
    <t>MERCADO SILVA     02</t>
  </si>
  <si>
    <t>RUA RUA MARIO RIBEIRO</t>
  </si>
  <si>
    <t>-11.971097</t>
  </si>
  <si>
    <t>-41.638980</t>
  </si>
  <si>
    <t>(074) 99193-5577</t>
  </si>
  <si>
    <t>0217-0110</t>
  </si>
  <si>
    <t>MARIA APARECIDA DA COSTA MENDES</t>
  </si>
  <si>
    <t>SUPER MIX         02</t>
  </si>
  <si>
    <t>RUA RUA CAMPO VELHO, 210 / X</t>
  </si>
  <si>
    <t>-11.965685</t>
  </si>
  <si>
    <t>-41.641384</t>
  </si>
  <si>
    <t>(074) 98133-3520</t>
  </si>
  <si>
    <t>0217-0113</t>
  </si>
  <si>
    <t>WILLIAM SILVA DOS ANJOS</t>
  </si>
  <si>
    <t>RESTAU RODRIGUES</t>
  </si>
  <si>
    <t>AV ANTONIO CARLOS MAGALHAES, 110</t>
  </si>
  <si>
    <t>-11.966043</t>
  </si>
  <si>
    <t>-41.644444</t>
  </si>
  <si>
    <t>(076) 09219-3237</t>
  </si>
  <si>
    <t>0217-0114</t>
  </si>
  <si>
    <t>DEIDIANE OLIVEIRA LIMA</t>
  </si>
  <si>
    <t>ESPACO DELICIA</t>
  </si>
  <si>
    <t>AV ANTONIO CARLOS MAGALGAES, 560</t>
  </si>
  <si>
    <t>-11.965960</t>
  </si>
  <si>
    <t>-41.644175</t>
  </si>
  <si>
    <t>(074) 99177-5540</t>
  </si>
  <si>
    <t>0217-0116</t>
  </si>
  <si>
    <t>THAILE DA SILVA ROSA</t>
  </si>
  <si>
    <t>MERCADINBHO DIA A DI</t>
  </si>
  <si>
    <t>PRC ALCIDES SILVA, 118</t>
  </si>
  <si>
    <t>-11.963869</t>
  </si>
  <si>
    <t>-41.640618</t>
  </si>
  <si>
    <t>(074) 99109-8783</t>
  </si>
  <si>
    <t>0217-0117</t>
  </si>
  <si>
    <t>R O G COMERCO DE ALIMENTOS LTDA</t>
  </si>
  <si>
    <t>COMERCIAL RODRIGUE04</t>
  </si>
  <si>
    <t>RUA 7 DE SETEMBRO, 19</t>
  </si>
  <si>
    <t>-11.965722</t>
  </si>
  <si>
    <t>-41.639565</t>
  </si>
  <si>
    <t>(074) 99153-6781</t>
  </si>
  <si>
    <t>0218-0002</t>
  </si>
  <si>
    <t>EDIEUDES SOARES DE AMORIM</t>
  </si>
  <si>
    <t>MERCADINHO DE IV0096</t>
  </si>
  <si>
    <t>OUROLANDIA</t>
  </si>
  <si>
    <t>RUA ALVINO RODRIGUES DA SILV</t>
  </si>
  <si>
    <t>ENTRADA DA CIDADE</t>
  </si>
  <si>
    <t>-10.949010</t>
  </si>
  <si>
    <t>-41.066810</t>
  </si>
  <si>
    <t>(074) 98141-7279</t>
  </si>
  <si>
    <t>UILHIAS</t>
  </si>
  <si>
    <t>0218-0006</t>
  </si>
  <si>
    <t>MOISES BARBOSA DOS SANTOS</t>
  </si>
  <si>
    <t>LANCHONETE DO PO0097</t>
  </si>
  <si>
    <t>RUA RUA AGOSTINHO CRISTOVAO</t>
  </si>
  <si>
    <t>BARRAGEM OUROLANDIA</t>
  </si>
  <si>
    <t>-10.947876</t>
  </si>
  <si>
    <t>-41.065890</t>
  </si>
  <si>
    <t>(740) 03681-3000</t>
  </si>
  <si>
    <t>0218-0016</t>
  </si>
  <si>
    <t>JANEIDE SIQUEIRA SABINO</t>
  </si>
  <si>
    <t>ARMAZEM MOREIRA</t>
  </si>
  <si>
    <t>RUA JOSE PRADO ALVES PCA</t>
  </si>
  <si>
    <t>-10.971230</t>
  </si>
  <si>
    <t>-41.083282</t>
  </si>
  <si>
    <t>(074) 98128-3020</t>
  </si>
  <si>
    <t>0218-0020</t>
  </si>
  <si>
    <t>OCILENE FELIX DA SILVA</t>
  </si>
  <si>
    <t>BARNOVA ESPERANCA RR</t>
  </si>
  <si>
    <t>RUA RUA NOVA ESPERANCA, 32</t>
  </si>
  <si>
    <t>-10.968801</t>
  </si>
  <si>
    <t>-41.080696</t>
  </si>
  <si>
    <t>(074) 08105-6239</t>
  </si>
  <si>
    <t>0218-0032</t>
  </si>
  <si>
    <t>MARIA APARECIDA FREITAS DE JESUS</t>
  </si>
  <si>
    <t>MERCADINHO BELMONTE</t>
  </si>
  <si>
    <t>RUA RUA RUA NOVA</t>
  </si>
  <si>
    <t>-10.969231</t>
  </si>
  <si>
    <t>-41.077866</t>
  </si>
  <si>
    <t>(074) 98125-9491</t>
  </si>
  <si>
    <t>0218-0037</t>
  </si>
  <si>
    <t>MANUEL DE JESUS FERREIA</t>
  </si>
  <si>
    <t>MERCADINHO FERRE0101</t>
  </si>
  <si>
    <t>RUA LEALDINO BARBOSA RUA / 02180037</t>
  </si>
  <si>
    <t>LAGOA 33</t>
  </si>
  <si>
    <t>-10.851010</t>
  </si>
  <si>
    <t>-41.382225</t>
  </si>
  <si>
    <t>0218-0043</t>
  </si>
  <si>
    <t>ANIZIO RIBEIRO DA SILVA E CIA LTDA</t>
  </si>
  <si>
    <t>ARMAZEM RIBEIRO</t>
  </si>
  <si>
    <t>RUA RUA JOEL MUNIZ DE ALMEIDA, 60</t>
  </si>
  <si>
    <t>UMBURANAS OUROLANDIA</t>
  </si>
  <si>
    <t>-10.730512</t>
  </si>
  <si>
    <t>-41.324770</t>
  </si>
  <si>
    <t>(074) 98825-6496</t>
  </si>
  <si>
    <t>0218-0048</t>
  </si>
  <si>
    <t>ITAMAR PEQUENO DE MELO</t>
  </si>
  <si>
    <t>MERCADINHO MELO</t>
  </si>
  <si>
    <t>RUA ANTONIO JOSE DE MELO, 225</t>
  </si>
  <si>
    <t>-10.973487</t>
  </si>
  <si>
    <t>-41.084170</t>
  </si>
  <si>
    <t>(740) 03528-0021</t>
  </si>
  <si>
    <t>0218-0050</t>
  </si>
  <si>
    <t>GENILZA RODRIGUES DE LIMA</t>
  </si>
  <si>
    <t>MERCADINHO RODRI0123</t>
  </si>
  <si>
    <t>RUA RUA CINCO, 96</t>
  </si>
  <si>
    <t>CENTRO OUROLAN</t>
  </si>
  <si>
    <t>-10.968204</t>
  </si>
  <si>
    <t>-41.077480</t>
  </si>
  <si>
    <t>(740) 03681-2509</t>
  </si>
  <si>
    <t>0218-0051</t>
  </si>
  <si>
    <t>AMILTON MARQUES DOS SANTOS</t>
  </si>
  <si>
    <t>MERCADINHO MARQUES03</t>
  </si>
  <si>
    <t>RUA LOT SALUIANO ROCHA</t>
  </si>
  <si>
    <t>CENTRO OUROLAND</t>
  </si>
  <si>
    <t>-10.968164</t>
  </si>
  <si>
    <t>-41.077847</t>
  </si>
  <si>
    <t>(074) 98138-8480</t>
  </si>
  <si>
    <t>0218-0068</t>
  </si>
  <si>
    <t>AUREA LOPES DA SILVA</t>
  </si>
  <si>
    <t>MERC BOM PRECO 01</t>
  </si>
  <si>
    <t>PRC PRACA DA FEIRA, 45 / 02180068</t>
  </si>
  <si>
    <t>-10.969348</t>
  </si>
  <si>
    <t>-41.080486</t>
  </si>
  <si>
    <t>(074) 98147-7229</t>
  </si>
  <si>
    <t>0218-0071</t>
  </si>
  <si>
    <t>INACIO RIBEIRO DE BRITO</t>
  </si>
  <si>
    <t>INACIO SUPEMERCADOS</t>
  </si>
  <si>
    <t>AV AVENIDA JOSE FERREIRA DA SILVA</t>
  </si>
  <si>
    <t>-10.968997</t>
  </si>
  <si>
    <t>-41.081480</t>
  </si>
  <si>
    <t>(740) 08100-3927</t>
  </si>
  <si>
    <t>0218-0075</t>
  </si>
  <si>
    <t>EDIVALDO CARVALHO DE MELO</t>
  </si>
  <si>
    <t>SUPERMERCADO MELO 01</t>
  </si>
  <si>
    <t>RUA RUA AGOSTINHO ESTEVA NETO SN / 02180075</t>
  </si>
  <si>
    <t>-10.969593</t>
  </si>
  <si>
    <t>-41.080914</t>
  </si>
  <si>
    <t>(074) 03681-2112</t>
  </si>
  <si>
    <t>0218-0096</t>
  </si>
  <si>
    <t>ILZA ALVES DE BRITO</t>
  </si>
  <si>
    <t>MERCADINHO BRITO</t>
  </si>
  <si>
    <t>RUA LOTEAMENTO SALVIANO INACIO ROCHA, 2</t>
  </si>
  <si>
    <t>-10.969014</t>
  </si>
  <si>
    <t>-41.079075</t>
  </si>
  <si>
    <t>(400) 08124-7128</t>
  </si>
  <si>
    <t>0218-0102</t>
  </si>
  <si>
    <t>ROGERIO PENA FORTE</t>
  </si>
  <si>
    <t>PADARIA PENA FORTE</t>
  </si>
  <si>
    <t>PRC DO COMERCIO, 2222 / 02180102</t>
  </si>
  <si>
    <t>-10.971111</t>
  </si>
  <si>
    <t>-41.083237</t>
  </si>
  <si>
    <t>(074) 99916-8335</t>
  </si>
  <si>
    <t>0218-0135</t>
  </si>
  <si>
    <t>ADAO FERREIRA DE MORAIS</t>
  </si>
  <si>
    <t>DISTRIBUIDOR DE ADAO</t>
  </si>
  <si>
    <t>PRC PRACA DO COMERCIO SN1</t>
  </si>
  <si>
    <t>-10.850270</t>
  </si>
  <si>
    <t>-41.380430</t>
  </si>
  <si>
    <t>(074) 98895-9952</t>
  </si>
  <si>
    <t>0218-0142</t>
  </si>
  <si>
    <t>MARIA APARECIDA MOREIRA DE LIMA</t>
  </si>
  <si>
    <t>BAR PEIXE ASSADO 02</t>
  </si>
  <si>
    <t>RUA AUGUSTINO ESTEVAO SN</t>
  </si>
  <si>
    <t>-10.948303</t>
  </si>
  <si>
    <t>-41.065940</t>
  </si>
  <si>
    <t>(074) 98126-2768</t>
  </si>
  <si>
    <t>0218-0163</t>
  </si>
  <si>
    <t>CHARLES RIOS SANTOS ME</t>
  </si>
  <si>
    <t>PANIFI OURO BRANCO</t>
  </si>
  <si>
    <t>AV AVENIDA DO CRUZEIRO, 29</t>
  </si>
  <si>
    <t>-10.970143</t>
  </si>
  <si>
    <t>-41.081604</t>
  </si>
  <si>
    <t>(074) 98146-4477</t>
  </si>
  <si>
    <t>0218-0164</t>
  </si>
  <si>
    <t>MIRAILDE SILVA DE JESUS</t>
  </si>
  <si>
    <t>CHICKEN IN GRILL MAC</t>
  </si>
  <si>
    <t>PRC PRACA JOAO DANTAS DE CARVALHO, 114</t>
  </si>
  <si>
    <t>-10.968974</t>
  </si>
  <si>
    <t>-41.081880</t>
  </si>
  <si>
    <t>(074) 99988-4505</t>
  </si>
  <si>
    <t>0218-0171</t>
  </si>
  <si>
    <t>HIPERMERCADO OUROLANDIA LTDA EPP</t>
  </si>
  <si>
    <t>TEODOR E VASCONCELOS</t>
  </si>
  <si>
    <t>AV TRAV JOSE PEDRO ALVES, 30</t>
  </si>
  <si>
    <t>-10.971512</t>
  </si>
  <si>
    <t>-41.083280</t>
  </si>
  <si>
    <t>(074) 98123-2766</t>
  </si>
  <si>
    <t>0218-0174</t>
  </si>
  <si>
    <t>SUPERMERCADO E PANIFICADORA O CESTAO LTD</t>
  </si>
  <si>
    <t>SUPERMERCADO CESTA01</t>
  </si>
  <si>
    <t>RUA R SALVIANO INACIO ROCHA</t>
  </si>
  <si>
    <t>-10.969562</t>
  </si>
  <si>
    <t>-41.076374</t>
  </si>
  <si>
    <t>(074) 98136-0968</t>
  </si>
  <si>
    <t>0218-0203</t>
  </si>
  <si>
    <t>WESLEY DO NASCIMENTO</t>
  </si>
  <si>
    <t>COPA GAZ</t>
  </si>
  <si>
    <t>RUA NOVA, 456</t>
  </si>
  <si>
    <t>-10.973200</t>
  </si>
  <si>
    <t>-41.084040</t>
  </si>
  <si>
    <t>(074) 98113-2738</t>
  </si>
  <si>
    <t>0218-0208</t>
  </si>
  <si>
    <t>CREONICE RIBEIRO CAMACAM</t>
  </si>
  <si>
    <t>CONV POSTO CAMACAM</t>
  </si>
  <si>
    <t>AV ALVENITO BARBOSA, 271</t>
  </si>
  <si>
    <t>-10.852308</t>
  </si>
  <si>
    <t>-41.377090</t>
  </si>
  <si>
    <t>(074) 98853-7921</t>
  </si>
  <si>
    <t>0218-0216</t>
  </si>
  <si>
    <t>ADIZANILSA MOTA SANTANA</t>
  </si>
  <si>
    <t>MERCADO CENTRO 01</t>
  </si>
  <si>
    <t>RUA BOA VISTA DE FORA</t>
  </si>
  <si>
    <t>(074) 98119-7690</t>
  </si>
  <si>
    <t>0218-0217</t>
  </si>
  <si>
    <t>LIDIANE DIAS DE FREITAS</t>
  </si>
  <si>
    <t>KITANDA LIDIANE</t>
  </si>
  <si>
    <t>RUA RUA DO CRUZEIRO, 38</t>
  </si>
  <si>
    <t>-10.970292</t>
  </si>
  <si>
    <t>-41.080430</t>
  </si>
  <si>
    <t>(074) 99952-3013</t>
  </si>
  <si>
    <t>0218-0221</t>
  </si>
  <si>
    <t>UILIAM CRUZ DOS SANTOS</t>
  </si>
  <si>
    <t>MERCADINHO SAO JOS03</t>
  </si>
  <si>
    <t>RUA ABELIO PERREIRA, 213</t>
  </si>
  <si>
    <t>-10.970713</t>
  </si>
  <si>
    <t>-41.080070</t>
  </si>
  <si>
    <t>(074) 98812-2560</t>
  </si>
  <si>
    <t>0218-0228</t>
  </si>
  <si>
    <t>CATIA PEQUENO DE MELO</t>
  </si>
  <si>
    <t>VERDURAO MELLO</t>
  </si>
  <si>
    <t>PRC PRC JOAO DANTAS DE CARVALHO, 43</t>
  </si>
  <si>
    <t>-10.969093</t>
  </si>
  <si>
    <t>-41.081450</t>
  </si>
  <si>
    <t>(074) 98123-2004</t>
  </si>
  <si>
    <t>0218-0240</t>
  </si>
  <si>
    <t>RONIE VON XAVIER ALVES</t>
  </si>
  <si>
    <t>SUPERMERCADO COMPR</t>
  </si>
  <si>
    <t>RUA SALVIANO INACIO ROCHA, 314</t>
  </si>
  <si>
    <t>-10.968608</t>
  </si>
  <si>
    <t>-41.075270</t>
  </si>
  <si>
    <t>(074) 98124-8298</t>
  </si>
  <si>
    <t>0218-0244</t>
  </si>
  <si>
    <t>SUPERMERCADO QUELANNA</t>
  </si>
  <si>
    <t>SUPERMERCAD QUELANNA</t>
  </si>
  <si>
    <t>RUA RUA JOAO GOMES, 46</t>
  </si>
  <si>
    <t>-10.852326</t>
  </si>
  <si>
    <t>-41.381420</t>
  </si>
  <si>
    <t>(074) 98817-6509</t>
  </si>
  <si>
    <t>0218-0253</t>
  </si>
  <si>
    <t>MARIA AURICELIA DE SOUZA</t>
  </si>
  <si>
    <t>MER MAURICIO GABRIEL</t>
  </si>
  <si>
    <t>RUA RUA DO CRUZEIRO, 37</t>
  </si>
  <si>
    <t>-10.970115</t>
  </si>
  <si>
    <t>-41.080580</t>
  </si>
  <si>
    <t>(074) 98819-9622</t>
  </si>
  <si>
    <t>0218-0262</t>
  </si>
  <si>
    <t>MARIA APARECIDA CASSIMIRO</t>
  </si>
  <si>
    <t>POINT PAULISTA</t>
  </si>
  <si>
    <t>RUA ALVINO RODRIGUES, 28</t>
  </si>
  <si>
    <t>BARRAGEM</t>
  </si>
  <si>
    <t>-10.950947</t>
  </si>
  <si>
    <t>-41.068077</t>
  </si>
  <si>
    <t>(074) 98125-7895</t>
  </si>
  <si>
    <t>0218-0263</t>
  </si>
  <si>
    <t>GENESIO BARBOSA DE MIRANDA LIMA</t>
  </si>
  <si>
    <t>UNIAO DIST E ATACADO</t>
  </si>
  <si>
    <t>AV ALVENITO BARBOSA, 25</t>
  </si>
  <si>
    <t>LAGOA DO 33</t>
  </si>
  <si>
    <t>-10.851666</t>
  </si>
  <si>
    <t>-41.380833</t>
  </si>
  <si>
    <t>(074) 99911-8096</t>
  </si>
  <si>
    <t>0218-0274</t>
  </si>
  <si>
    <t>MARIA DO SOCORRO BRITO PEREIRA</t>
  </si>
  <si>
    <t>MERCADINHO MWE</t>
  </si>
  <si>
    <t>RUA RUA NOVA, 175</t>
  </si>
  <si>
    <t>-10.969722</t>
  </si>
  <si>
    <t>-41.071390</t>
  </si>
  <si>
    <t>(074) 98117-8511</t>
  </si>
  <si>
    <t>0218-0277</t>
  </si>
  <si>
    <t>JOSE HENRIQUE MUNIZ DA SILVA</t>
  </si>
  <si>
    <t>MERC E KITANDA MUNIZ</t>
  </si>
  <si>
    <t>RUA ABELINO CORREIA DE MELO, 218</t>
  </si>
  <si>
    <t>-10.974167</t>
  </si>
  <si>
    <t>-41.081390</t>
  </si>
  <si>
    <t>(074) 98126-4919</t>
  </si>
  <si>
    <t>0218-0278</t>
  </si>
  <si>
    <t>LIDIANE ALVES DE SOUZA</t>
  </si>
  <si>
    <t>MERCADO SOUZA 04</t>
  </si>
  <si>
    <t>RUA RUA NOVA, 396</t>
  </si>
  <si>
    <t>LOTEAMENTO SALVIANO</t>
  </si>
  <si>
    <t>-10.967778</t>
  </si>
  <si>
    <t>-41.075554</t>
  </si>
  <si>
    <t>(074) 98138-9580</t>
  </si>
  <si>
    <t>0218-0285</t>
  </si>
  <si>
    <t>ADELSO ROSA DA GAMA NASCIMENTO</t>
  </si>
  <si>
    <t>H E A LANC E VARIEDA</t>
  </si>
  <si>
    <t>POV POVOADO BAIXA DO ZE FELIX, 44</t>
  </si>
  <si>
    <t>BAIXA DO ZE FELIX</t>
  </si>
  <si>
    <t>-10.808056</t>
  </si>
  <si>
    <t>-41.264720</t>
  </si>
  <si>
    <t>(074) 99904-4188</t>
  </si>
  <si>
    <t>0218-0286</t>
  </si>
  <si>
    <t>HENRIQUE CAVALCANTE DE AMORIM</t>
  </si>
  <si>
    <t>ADEGA BEER 01</t>
  </si>
  <si>
    <t>RUA RUA NOVA ESPERANCA, 55</t>
  </si>
  <si>
    <t>-10.968803</t>
  </si>
  <si>
    <t>-41.080452</t>
  </si>
  <si>
    <t>(074) 98102-3540</t>
  </si>
  <si>
    <t>0218-0289</t>
  </si>
  <si>
    <t>CRISTIANO DA SILVA MAIA</t>
  </si>
  <si>
    <t>MERC E KITANDA J P</t>
  </si>
  <si>
    <t>TRV TRAV ABELINO CORREIA DE MELO, 42</t>
  </si>
  <si>
    <t>-10.973333</t>
  </si>
  <si>
    <t>-41.083332</t>
  </si>
  <si>
    <t>(074) 98110-7939</t>
  </si>
  <si>
    <t>0218-0290</t>
  </si>
  <si>
    <t>ANTONIO LUIZ OLIVEIRA LIMA</t>
  </si>
  <si>
    <t>PAO E MAIS DELICATES</t>
  </si>
  <si>
    <t>TRV TRVESSA QUADRA H LOT SALVIANO INACIO ROC, 115</t>
  </si>
  <si>
    <t>-41.076390</t>
  </si>
  <si>
    <t>0218-0292</t>
  </si>
  <si>
    <t>ZENILTON BRASILEIRO DOS SANTOS</t>
  </si>
  <si>
    <t>ZENILTON BRASILEIRO</t>
  </si>
  <si>
    <t>PRC PRACA ROSA MARQUES, 8</t>
  </si>
  <si>
    <t>CAATINGA DO MOURA</t>
  </si>
  <si>
    <t>-10.974722</t>
  </si>
  <si>
    <t>-40.765556</t>
  </si>
  <si>
    <t>(074) 98803-6374</t>
  </si>
  <si>
    <t>0218-0295</t>
  </si>
  <si>
    <t>GAMANIEL FELIX DA SILVA</t>
  </si>
  <si>
    <t>RESTAURANTE PALADAR</t>
  </si>
  <si>
    <t>TRV TRAVESSA 4 NOVO HORIZONTE, 15</t>
  </si>
  <si>
    <t>-10.966415</t>
  </si>
  <si>
    <t>-41.077500</t>
  </si>
  <si>
    <t>(074) 99937-3981</t>
  </si>
  <si>
    <t>0218-0303</t>
  </si>
  <si>
    <t>ROMILSON DE CARVALHO SANTOS</t>
  </si>
  <si>
    <t>GOLD BEER</t>
  </si>
  <si>
    <t>RUA RUA JOSE FERREIRA DA SILVA, 125</t>
  </si>
  <si>
    <t>-10.968980</t>
  </si>
  <si>
    <t>-41.081040</t>
  </si>
  <si>
    <t>(074) 98132-9860</t>
  </si>
  <si>
    <t>0218-0306</t>
  </si>
  <si>
    <t>OSMAR RIBEIRO DA SILVA</t>
  </si>
  <si>
    <t>DISTRIBUIDORA L B</t>
  </si>
  <si>
    <t>RUA NOVO HORIZONTE, 25</t>
  </si>
  <si>
    <t>-10.974811</t>
  </si>
  <si>
    <t>-41.082973</t>
  </si>
  <si>
    <t>(074) 98100-3787</t>
  </si>
  <si>
    <t>0218-0308</t>
  </si>
  <si>
    <t>MARIA DA CONCEICAO DA SILVA CONSTANTINO</t>
  </si>
  <si>
    <t>LANCHONETE        01</t>
  </si>
  <si>
    <t>PRC PRACA BAIXA ZE FELIZ, 27</t>
  </si>
  <si>
    <t>-10.807919</t>
  </si>
  <si>
    <t>-41.264618</t>
  </si>
  <si>
    <t>0218-0309</t>
  </si>
  <si>
    <t>NOELMA FREITAS CARNEIRO SOUZA</t>
  </si>
  <si>
    <t>SOUZA MASSAS</t>
  </si>
  <si>
    <t>AV AVENIDA JOSE FERREIRA DA SILVA, 113</t>
  </si>
  <si>
    <t>-10.969347</t>
  </si>
  <si>
    <t>-41.081917</t>
  </si>
  <si>
    <t>(074) 98103-6804</t>
  </si>
  <si>
    <t>0218-0310</t>
  </si>
  <si>
    <t>GIRLANE DIAS CERQUEIRA</t>
  </si>
  <si>
    <t>CHURRAS PROSA DE BAR</t>
  </si>
  <si>
    <t>RUA RUA JOSE FERREIRA DA SILVA, 1260</t>
  </si>
  <si>
    <t>-10.965802</t>
  </si>
  <si>
    <t>-41.076706</t>
  </si>
  <si>
    <t>(074) 98125-8842</t>
  </si>
  <si>
    <t>0218-0311</t>
  </si>
  <si>
    <t>HEIDE DAIANE MOREIRA DE LIMA C SOUZA</t>
  </si>
  <si>
    <t>PASTEL DA DAY</t>
  </si>
  <si>
    <t>RUA RUA AGOSTINHO ESTEVAO NETO, 897</t>
  </si>
  <si>
    <t>-10.948220</t>
  </si>
  <si>
    <t>-41.065994</t>
  </si>
  <si>
    <t>(074) 98119-6615</t>
  </si>
  <si>
    <t>0218-0313</t>
  </si>
  <si>
    <t>JAQUELINE DE SOUSA DA SILVA</t>
  </si>
  <si>
    <t>ESPETINHO DA PRETA</t>
  </si>
  <si>
    <t>RUA RUA ALVIN RODRIGUES DA SILVA, 157</t>
  </si>
  <si>
    <t>-10.967093</t>
  </si>
  <si>
    <t>-41.078613</t>
  </si>
  <si>
    <t>(074) 99999-1673</t>
  </si>
  <si>
    <t>0218-0318</t>
  </si>
  <si>
    <t>JUDENICE CARVALHO SANTOS</t>
  </si>
  <si>
    <t>MERCEARIA CARVALHO01</t>
  </si>
  <si>
    <t>RUA RUA CENTRAL DE ALAZAO, 117</t>
  </si>
  <si>
    <t>ALAZAO / RURAL</t>
  </si>
  <si>
    <t>-10.968955</t>
  </si>
  <si>
    <t>-41.081375</t>
  </si>
  <si>
    <t>(074) 99810-6837</t>
  </si>
  <si>
    <t>0218-0319</t>
  </si>
  <si>
    <t>LUIZ BARBOSA ALMEIDA</t>
  </si>
  <si>
    <t>CHURR SAO GERALDO</t>
  </si>
  <si>
    <t>AV AVENIDA ALVINO RODRIGUES, 29</t>
  </si>
  <si>
    <t>-10.957016</t>
  </si>
  <si>
    <t>-41.071487</t>
  </si>
  <si>
    <t>(075) 98185-6315</t>
  </si>
  <si>
    <t>0218-0320</t>
  </si>
  <si>
    <t>VAGNO JESUS DOS SANTOS</t>
  </si>
  <si>
    <t>MERCADO DO VAGNO</t>
  </si>
  <si>
    <t>RUA RUA ALVINO RODRIGUES, 277</t>
  </si>
  <si>
    <t>-10.968127</t>
  </si>
  <si>
    <t>-41.075596</t>
  </si>
  <si>
    <t>(074) 98114-7981</t>
  </si>
  <si>
    <t>0218-0323</t>
  </si>
  <si>
    <t>ALTEMIR CORREIA DE OLIVEIRA</t>
  </si>
  <si>
    <t>BAR DO ZECA</t>
  </si>
  <si>
    <t>RUA RUA DA UMBURANAS, 86</t>
  </si>
  <si>
    <t>-10.966893</t>
  </si>
  <si>
    <t>-41.085293</t>
  </si>
  <si>
    <t>(074) 98128-0118</t>
  </si>
  <si>
    <t>0218-0325</t>
  </si>
  <si>
    <t>JISLENA MESSIAS RAMOS GONCALO</t>
  </si>
  <si>
    <t>BOLO E CIA        01</t>
  </si>
  <si>
    <t>RUA RUA 07 DE SETEMBRO, 15</t>
  </si>
  <si>
    <t>-10.970634</t>
  </si>
  <si>
    <t>-41.082350</t>
  </si>
  <si>
    <t>(074) 98154-8718</t>
  </si>
  <si>
    <t>0218-0331</t>
  </si>
  <si>
    <t>ARENA AZEVEDO LTDA</t>
  </si>
  <si>
    <t>ARENA AZEVEDO     01</t>
  </si>
  <si>
    <t>AV AV ALVINO RODRIGUES DA SILVA</t>
  </si>
  <si>
    <t>-10.959675</t>
  </si>
  <si>
    <t>-41.073430</t>
  </si>
  <si>
    <t>(074) 98106-6824</t>
  </si>
  <si>
    <t>0218-0334</t>
  </si>
  <si>
    <t>JOSENILDA VIEIRA DE CARVALHO</t>
  </si>
  <si>
    <t>RESTAURANTE VARANDAS</t>
  </si>
  <si>
    <t>RUA RUA JOSE FERREIRA DA SILVA, 156</t>
  </si>
  <si>
    <t>CENTRO/ OUROLANDIA</t>
  </si>
  <si>
    <t>-10.968998</t>
  </si>
  <si>
    <t>-41.081055</t>
  </si>
  <si>
    <t>(074) 99800-5169</t>
  </si>
  <si>
    <t>0218-0337</t>
  </si>
  <si>
    <t>MERCADINHO NOVA DESCOBERTA LTDA</t>
  </si>
  <si>
    <t>MERCA NOVA DESCOBERT</t>
  </si>
  <si>
    <t>FAZ FAZENDA NOVA DESCOBERTA</t>
  </si>
  <si>
    <t>ZONA RURAL OUROLANDI</t>
  </si>
  <si>
    <t>-10.968871</t>
  </si>
  <si>
    <t>-41.081510</t>
  </si>
  <si>
    <t>(074) 98101-2214</t>
  </si>
  <si>
    <t>0218-0341</t>
  </si>
  <si>
    <t>W S LIMA SUPERMERCADO LTDA</t>
  </si>
  <si>
    <t>MERCADINHO WATILA</t>
  </si>
  <si>
    <t>RUA DAS FLORES, 39</t>
  </si>
  <si>
    <t>ALAGADICO</t>
  </si>
  <si>
    <t>-10.679047</t>
  </si>
  <si>
    <t>-41.287964</t>
  </si>
  <si>
    <t>(749) 09919-4649</t>
  </si>
  <si>
    <t>0218-0342</t>
  </si>
  <si>
    <t>COMERCIAL SANTOS E SERVICOS LTDA</t>
  </si>
  <si>
    <t>MERCADINHO SANTOS 11</t>
  </si>
  <si>
    <t>RUA DO CAMPO, 91</t>
  </si>
  <si>
    <t>-10.681815</t>
  </si>
  <si>
    <t>-41.286846</t>
  </si>
  <si>
    <t>(074) 09919-9186</t>
  </si>
  <si>
    <t>0218-0343</t>
  </si>
  <si>
    <t>PEDRO FRANCISO GOMES</t>
  </si>
  <si>
    <t>MINE MERCADO GOMES</t>
  </si>
  <si>
    <t>RUA RUA DA UMBURANAS, 101</t>
  </si>
  <si>
    <t>-10.966827</t>
  </si>
  <si>
    <t>-41.085370</t>
  </si>
  <si>
    <t>(074) 98116-6816</t>
  </si>
  <si>
    <t>0218-0344</t>
  </si>
  <si>
    <t>GLADSON DA SILVA LIMA</t>
  </si>
  <si>
    <t>COMERCIAL ANDRADE 02</t>
  </si>
  <si>
    <t>RUA RUA ALVINO LUIZ DE OLIVEIRA, 1155</t>
  </si>
  <si>
    <t>-10.852008</t>
  </si>
  <si>
    <t>-41.378017</t>
  </si>
  <si>
    <t>(074) 99811-0255</t>
  </si>
  <si>
    <t>0218-0345</t>
  </si>
  <si>
    <t>MERCADINHO SANTO ANTONIO OUROLANDIA LTDA</t>
  </si>
  <si>
    <t>MERCADINHO SANTO AN</t>
  </si>
  <si>
    <t>LOT LOTEAMENTO PEDRO TEODORO</t>
  </si>
  <si>
    <t>-10.974444</t>
  </si>
  <si>
    <t>-41.080494</t>
  </si>
  <si>
    <t>(074) 98125-7739</t>
  </si>
  <si>
    <t>0218-0346</t>
  </si>
  <si>
    <t>ISABELLA COSTA LIMA</t>
  </si>
  <si>
    <t>UNIAO DISTRI E ATACA</t>
  </si>
  <si>
    <t>PRC STO ANTONIO, 10</t>
  </si>
  <si>
    <t>-10.851580</t>
  </si>
  <si>
    <t>-41.380840</t>
  </si>
  <si>
    <t>(074) 99943-0077</t>
  </si>
  <si>
    <t>0218-0347</t>
  </si>
  <si>
    <t>ADAILTON MARQUES DOS SANTOS</t>
  </si>
  <si>
    <t>MERCADINHO A S    01</t>
  </si>
  <si>
    <t>AV MARECHAL DEODORO DA FONSECA, 200</t>
  </si>
  <si>
    <t>-10.969487</t>
  </si>
  <si>
    <t>-41.076391</t>
  </si>
  <si>
    <t>(074) 99124-7165</t>
  </si>
  <si>
    <t>0218-0348</t>
  </si>
  <si>
    <t>MARCELO MIRANDA DE MORAIS</t>
  </si>
  <si>
    <t>LANCHONETE ALVORADA</t>
  </si>
  <si>
    <t>AV ALVINO RODRIGUES, 50</t>
  </si>
  <si>
    <t>-10.968610</t>
  </si>
  <si>
    <t>-41.080470</t>
  </si>
  <si>
    <t>(074) 98104-5004</t>
  </si>
  <si>
    <t>0218-0349</t>
  </si>
  <si>
    <t>M PEREIRA DA SILVA ATACADO E VAREJO</t>
  </si>
  <si>
    <t>MM ATACADISTA</t>
  </si>
  <si>
    <t>RUA DOS BERTOS</t>
  </si>
  <si>
    <t>CASA NOVA</t>
  </si>
  <si>
    <t>-10.948216</t>
  </si>
  <si>
    <t>-41.066071</t>
  </si>
  <si>
    <t>(074) 98103-3470</t>
  </si>
  <si>
    <t>0218-0350</t>
  </si>
  <si>
    <t>VERONICE CONCEICAO DA COSTA</t>
  </si>
  <si>
    <t>RESTAURANTE PALADA02</t>
  </si>
  <si>
    <t>RUA JOSE FERREIRA DA SILVA SN</t>
  </si>
  <si>
    <t>-10.967027</t>
  </si>
  <si>
    <t>-41.078055</t>
  </si>
  <si>
    <t>(074) 98115-9890</t>
  </si>
  <si>
    <t>0218-0351</t>
  </si>
  <si>
    <t>BEZERRA GOMES LTDA</t>
  </si>
  <si>
    <t>HOTEL VALE DOS VENTO</t>
  </si>
  <si>
    <t>FAZ FAZENDA PEDRA DA ARARA</t>
  </si>
  <si>
    <t>FAZENDA PEDRA DA ARA</t>
  </si>
  <si>
    <t>-10.963560</t>
  </si>
  <si>
    <t>-41.074900</t>
  </si>
  <si>
    <t>(074) 98128-8686</t>
  </si>
  <si>
    <t>0218-0352</t>
  </si>
  <si>
    <t>AM DSTRIBUIDORA LTDA</t>
  </si>
  <si>
    <t>AM DISTRIBUIDORA</t>
  </si>
  <si>
    <t>AV ANTONIO JOSE DE MELO, 120</t>
  </si>
  <si>
    <t>-10.973125</t>
  </si>
  <si>
    <t>-41.084164</t>
  </si>
  <si>
    <t>(074) 98114-3978</t>
  </si>
  <si>
    <t>0218-0353</t>
  </si>
  <si>
    <t>BABY BURGE HAMBURGUERIA LTDA</t>
  </si>
  <si>
    <t>BABY BURGER</t>
  </si>
  <si>
    <t>RUA DO CRUZEIRO, 42</t>
  </si>
  <si>
    <t>-10.970228</t>
  </si>
  <si>
    <t>-41.081745</t>
  </si>
  <si>
    <t>(074) 98128-7494</t>
  </si>
  <si>
    <t>0218-0354</t>
  </si>
  <si>
    <t>MERCADO LINS SILVA LTDA</t>
  </si>
  <si>
    <t>MERCADINHO SILVA  03</t>
  </si>
  <si>
    <t>PRC SAOP JOAO RODRIGUES DA SILVA, 132</t>
  </si>
  <si>
    <t>DISTRITO DE ALAGADIC</t>
  </si>
  <si>
    <t>-10.681901</t>
  </si>
  <si>
    <t>-41.287315</t>
  </si>
  <si>
    <t>(074) 98144-6436</t>
  </si>
  <si>
    <t>0218-0355</t>
  </si>
  <si>
    <t>JAMILE DE JESUS FERREIRA</t>
  </si>
  <si>
    <t>EMPERIO DISTRI DE BE</t>
  </si>
  <si>
    <t>AV ALVINO RODRIGUES DA SILVA, 77</t>
  </si>
  <si>
    <t>0.0.000000</t>
  </si>
  <si>
    <t>(075) 98175-7258</t>
  </si>
  <si>
    <t>0218-0356</t>
  </si>
  <si>
    <t>AVANILTON MARQUES DOS SANTOS</t>
  </si>
  <si>
    <t>DISTRIBUIDORA VL</t>
  </si>
  <si>
    <t>AV ALVINO RODRIGUES, 468</t>
  </si>
  <si>
    <t>(074) 99998-0950</t>
  </si>
  <si>
    <t>0218-0357</t>
  </si>
  <si>
    <t>B P DA SILVA MERCADO</t>
  </si>
  <si>
    <t>UIBAI</t>
  </si>
  <si>
    <t>RUA BATISTA, 210</t>
  </si>
  <si>
    <t>HIDROLANDIA /UIBAI</t>
  </si>
  <si>
    <t>-11.260166</t>
  </si>
  <si>
    <t>-42.156145</t>
  </si>
  <si>
    <t>(035) 99955-8253</t>
  </si>
  <si>
    <t>0219-0005</t>
  </si>
  <si>
    <t>JOSE MENDES FILHO</t>
  </si>
  <si>
    <t>SUPERMERCADO MENDES</t>
  </si>
  <si>
    <t>PRC PRACA COMERCIO 1</t>
  </si>
  <si>
    <t>-11.295828</t>
  </si>
  <si>
    <t>-41.987316</t>
  </si>
  <si>
    <t>(074) 98858-8173</t>
  </si>
  <si>
    <t>0219-0006</t>
  </si>
  <si>
    <t>MACIA ALENCAR SOUZA</t>
  </si>
  <si>
    <t>SUP BOM PRECO</t>
  </si>
  <si>
    <t>AV AV SAO GABRIEL, 51</t>
  </si>
  <si>
    <t>-11.294905</t>
  </si>
  <si>
    <t>-41.987137</t>
  </si>
  <si>
    <t>(074) 98819-6627</t>
  </si>
  <si>
    <t>0219-0010</t>
  </si>
  <si>
    <t>CEREALISTA BARRO BRANCO LTDA</t>
  </si>
  <si>
    <t>SUP BARRO BRANCO</t>
  </si>
  <si>
    <t>RUA PAZ LG, 230</t>
  </si>
  <si>
    <t>-11.297505</t>
  </si>
  <si>
    <t>-41.988537</t>
  </si>
  <si>
    <t>(740) 98855-9470</t>
  </si>
  <si>
    <t>0219-0018</t>
  </si>
  <si>
    <t>EVANDO OLIVEIRA MACHADO</t>
  </si>
  <si>
    <t>MERCADO UNIAO</t>
  </si>
  <si>
    <t>POV POV BAIXA VERDE</t>
  </si>
  <si>
    <t>-11.270548</t>
  </si>
  <si>
    <t>-41.945724</t>
  </si>
  <si>
    <t>(740) 09964-7534</t>
  </si>
  <si>
    <t>0219-0019</t>
  </si>
  <si>
    <t>FRANCISCO CICERO DA SILVA</t>
  </si>
  <si>
    <t>MERCADINHO PADRE CIC</t>
  </si>
  <si>
    <t>POV DE POV BAIXA VERDE / 02190019</t>
  </si>
  <si>
    <t>-11.271555</t>
  </si>
  <si>
    <t>-41.944040</t>
  </si>
  <si>
    <t>(740) 09997-7115</t>
  </si>
  <si>
    <t>0219-0033</t>
  </si>
  <si>
    <t>PATRICIA ALVES CANA VERDE</t>
  </si>
  <si>
    <t>SUPER GUEDES</t>
  </si>
  <si>
    <t>RUA RUA DIREITA, 12</t>
  </si>
  <si>
    <t>-11.297842</t>
  </si>
  <si>
    <t>-41.991585</t>
  </si>
  <si>
    <t>(740) 98811-3849</t>
  </si>
  <si>
    <t>0219-0039</t>
  </si>
  <si>
    <t>VALTERNEI NUNES MACHADO</t>
  </si>
  <si>
    <t>ARMAZEM SAO GABRIEL</t>
  </si>
  <si>
    <t>AV AVENIDA MANOEL NOVAES, 180</t>
  </si>
  <si>
    <t>-11.295671</t>
  </si>
  <si>
    <t>-41.986910</t>
  </si>
  <si>
    <t>(740) 98812-8835</t>
  </si>
  <si>
    <t>0219-0048</t>
  </si>
  <si>
    <t>OLDEMAR PEREIRA SOUZA</t>
  </si>
  <si>
    <t>LANCHEST</t>
  </si>
  <si>
    <t>AV MANOEL NOVAES / 02190048</t>
  </si>
  <si>
    <t>-11.297301</t>
  </si>
  <si>
    <t>-41.985966</t>
  </si>
  <si>
    <t>(740) 09956-4974</t>
  </si>
  <si>
    <t>0219-0049</t>
  </si>
  <si>
    <t>ARISTON ALVES DOS SANTOS</t>
  </si>
  <si>
    <t>PASTELARIA A M</t>
  </si>
  <si>
    <t>RUA DA IGREJA, 33</t>
  </si>
  <si>
    <t>-11.297936</t>
  </si>
  <si>
    <t>-41.990852</t>
  </si>
  <si>
    <t>3640-1611</t>
  </si>
  <si>
    <t>0219-0094</t>
  </si>
  <si>
    <t>JOABIO ALVES RODRIGUES ME</t>
  </si>
  <si>
    <t>NV ADEGA SANT CECILA</t>
  </si>
  <si>
    <t>RUA R MANOEL FERREIRA, 1</t>
  </si>
  <si>
    <t>-11.296300</t>
  </si>
  <si>
    <t>-41.987865</t>
  </si>
  <si>
    <t>(074) 99933-9254</t>
  </si>
  <si>
    <t>0219-0107</t>
  </si>
  <si>
    <t>ERIESTON PEREIRA OLIVEIRA</t>
  </si>
  <si>
    <t>RESTAUR DO ERIESTON</t>
  </si>
  <si>
    <t>AV AV SAO GABRIEL, 173</t>
  </si>
  <si>
    <t>-11.294095</t>
  </si>
  <si>
    <t>-41.986317</t>
  </si>
  <si>
    <t>(074) 99805-9187</t>
  </si>
  <si>
    <t>0219-0109</t>
  </si>
  <si>
    <t>KAIC OLIVEIRA REIS</t>
  </si>
  <si>
    <t>BAR DO GALEGUINHO</t>
  </si>
  <si>
    <t>RUA RUA DJALMA BESSA, 80</t>
  </si>
  <si>
    <t>-11.298599</t>
  </si>
  <si>
    <t>-41.987995</t>
  </si>
  <si>
    <t>(074) 99806-9187</t>
  </si>
  <si>
    <t>0219-0114</t>
  </si>
  <si>
    <t>LUCAS CARLOS LIMA</t>
  </si>
  <si>
    <t>MERC SANTO ESPEDITO</t>
  </si>
  <si>
    <t>PRC PRACA DO COMERCIO, 258</t>
  </si>
  <si>
    <t>-11.335366</t>
  </si>
  <si>
    <t>-42.134777</t>
  </si>
  <si>
    <t>(074) 98844-5402</t>
  </si>
  <si>
    <t>0219-0116</t>
  </si>
  <si>
    <t>SIMAO ARTUZETE DE OLIVEIRA</t>
  </si>
  <si>
    <t>BOTECO DO ARTHUR</t>
  </si>
  <si>
    <t>AV AVENIDA EMIDIO MACHADO, 69</t>
  </si>
  <si>
    <t>-11.298223</t>
  </si>
  <si>
    <t>-41.990334</t>
  </si>
  <si>
    <t>(074) 98806-1994</t>
  </si>
  <si>
    <t>0219-0119</t>
  </si>
  <si>
    <t>BEATRIZ PEREIRA MENDES</t>
  </si>
  <si>
    <t>MERCADINHO ANA CLARA</t>
  </si>
  <si>
    <t>RUA RUA ANTONIO MOREIRA MACHADO, 58</t>
  </si>
  <si>
    <t>-11.296989</t>
  </si>
  <si>
    <t>-41.993504</t>
  </si>
  <si>
    <t>(074) 98835-8733</t>
  </si>
  <si>
    <t>0219-0126</t>
  </si>
  <si>
    <t>ARICELIA MACHADO GOMES</t>
  </si>
  <si>
    <t>MERCADINHO T G</t>
  </si>
  <si>
    <t>RUA RUA SEBASTIAO DOURADO, 161</t>
  </si>
  <si>
    <t>BARRO BRANCO</t>
  </si>
  <si>
    <t>-11.334227</t>
  </si>
  <si>
    <t>-42.026580</t>
  </si>
  <si>
    <t>(074) 98826-4147</t>
  </si>
  <si>
    <t>0219-0132</t>
  </si>
  <si>
    <t>ALFREU VELOSO DE SOUZA</t>
  </si>
  <si>
    <t>MERCEARIA DO ALFREU</t>
  </si>
  <si>
    <t>PRC PRACA DO COMERCIO, 75</t>
  </si>
  <si>
    <t>CAMPO FORMOSO</t>
  </si>
  <si>
    <t>-11.333675</t>
  </si>
  <si>
    <t>-41.997955</t>
  </si>
  <si>
    <t>0219-0138</t>
  </si>
  <si>
    <t>GILIAN BARBOSA DE SOUZA</t>
  </si>
  <si>
    <t>BAR GELA GUELA</t>
  </si>
  <si>
    <t>PRC PRACA DO COMERCIO, 93</t>
  </si>
  <si>
    <t>-11.333611</t>
  </si>
  <si>
    <t>-41.997776</t>
  </si>
  <si>
    <t>(074) 99926-8713</t>
  </si>
  <si>
    <t>0219-0140</t>
  </si>
  <si>
    <t>BEATRIZ MABEL OLIVEIRA DE SOUZA</t>
  </si>
  <si>
    <t>MERCADO OLIVEIRA 01</t>
  </si>
  <si>
    <t>RUA RUA RECIFE, 969</t>
  </si>
  <si>
    <t>-11.326667</t>
  </si>
  <si>
    <t>-42.005833</t>
  </si>
  <si>
    <t>(074) 99951-6210</t>
  </si>
  <si>
    <t>0219-0157</t>
  </si>
  <si>
    <t>COMERCIAL DE ALIMENTOS SOUZA E SOUZA LTD</t>
  </si>
  <si>
    <t>COMERCIAL SOUZA E SO</t>
  </si>
  <si>
    <t>RUA RUA MANOEL FERREIRA, 106</t>
  </si>
  <si>
    <t>-41.988170</t>
  </si>
  <si>
    <t>0219-0159</t>
  </si>
  <si>
    <t>ODIRLEI ALVES SANTOS</t>
  </si>
  <si>
    <t>MERCADO DA VIDA</t>
  </si>
  <si>
    <t>RUA RUA DA IGREJA, 1 / A</t>
  </si>
  <si>
    <t>-11.333173</t>
  </si>
  <si>
    <t>-41.996376</t>
  </si>
  <si>
    <t>(074) 98853-4733</t>
  </si>
  <si>
    <t>0219-0161</t>
  </si>
  <si>
    <t>KAUA RODRIGUES DE CASTRO</t>
  </si>
  <si>
    <t>LUPUS BAR</t>
  </si>
  <si>
    <t>AV AVENIDA LAGOA DA CANABRAVA, 585</t>
  </si>
  <si>
    <t>-11.294024</t>
  </si>
  <si>
    <t>-41.991386</t>
  </si>
  <si>
    <t>(074) 99995-1640</t>
  </si>
  <si>
    <t>0219-0162</t>
  </si>
  <si>
    <t>DORIEDISON ROCHA MACHADO</t>
  </si>
  <si>
    <t>MERCADO COMPRE BEM2</t>
  </si>
  <si>
    <t>AV AVENIDA MANOEL NOVAIS, 109</t>
  </si>
  <si>
    <t>-11.295925</t>
  </si>
  <si>
    <t>-41.986780</t>
  </si>
  <si>
    <t>(074) 98872-7902</t>
  </si>
  <si>
    <t>0219-0163</t>
  </si>
  <si>
    <t>LIZANDRA VALCA MACHADO</t>
  </si>
  <si>
    <t>MERCAD COMPRE BEM 2</t>
  </si>
  <si>
    <t>PRA PRACA AURORA, 235</t>
  </si>
  <si>
    <t>-11.294125</t>
  </si>
  <si>
    <t>-41.990723</t>
  </si>
  <si>
    <t>0219-0164</t>
  </si>
  <si>
    <t>SONIA MAGALI GAMA MACHADO</t>
  </si>
  <si>
    <t>MERCEARIA DO JOAO 04</t>
  </si>
  <si>
    <t>RUA RUA MANOEL FRANCISCO MACHADO 200, 200</t>
  </si>
  <si>
    <t>-11.293057</t>
  </si>
  <si>
    <t>-41.992030</t>
  </si>
  <si>
    <t>(074) 98809-7240</t>
  </si>
  <si>
    <t>0219-0165</t>
  </si>
  <si>
    <t>ANDREIA ROCHA DA SILVA</t>
  </si>
  <si>
    <t>MINE MERCADO BRITO</t>
  </si>
  <si>
    <t>RUA RUA NOVA, 83</t>
  </si>
  <si>
    <t>-11.294324</t>
  </si>
  <si>
    <t>-41.994970</t>
  </si>
  <si>
    <t>(011) 96724-4096</t>
  </si>
  <si>
    <t>0219-0166</t>
  </si>
  <si>
    <t>ROZEMAR BARRETO DA SILVA SOUSA</t>
  </si>
  <si>
    <t>MERCADO DA ECONOMI03</t>
  </si>
  <si>
    <t>RUA RUA RUI BARBOSA, 93</t>
  </si>
  <si>
    <t>-11.334002</t>
  </si>
  <si>
    <t>-41.998550</t>
  </si>
  <si>
    <t>(074) 99936-6053</t>
  </si>
  <si>
    <t>0219-0170</t>
  </si>
  <si>
    <t>EDSON MIRANDA MACHADO</t>
  </si>
  <si>
    <t>BABI LANCHES</t>
  </si>
  <si>
    <t>RUA RUA DIREITA, 100</t>
  </si>
  <si>
    <t>-11.297957</t>
  </si>
  <si>
    <t>-41.990833</t>
  </si>
  <si>
    <t>(074) 98812-3293</t>
  </si>
  <si>
    <t>0219-0171</t>
  </si>
  <si>
    <t>JOAO VITOR MENDES SOUZA</t>
  </si>
  <si>
    <t>TURIBA LANCHES</t>
  </si>
  <si>
    <t>RUA DIREITA, 14</t>
  </si>
  <si>
    <t>-11.297976</t>
  </si>
  <si>
    <t>-41.990950</t>
  </si>
  <si>
    <t>(074) 98863-5969</t>
  </si>
  <si>
    <t>0219-0172</t>
  </si>
  <si>
    <t>CARLOS ROBERTO FERREIRA ROCHA</t>
  </si>
  <si>
    <t>RESTAURANTE HR</t>
  </si>
  <si>
    <t>RUA LAGOA DE JOAO FERREIRA</t>
  </si>
  <si>
    <t>-11.295804</t>
  </si>
  <si>
    <t>-41.986683</t>
  </si>
  <si>
    <t>(074) 99972-0647</t>
  </si>
  <si>
    <t>0219-0174</t>
  </si>
  <si>
    <t>RITA MIRANDA CARLOS</t>
  </si>
  <si>
    <t>MERCADINHO DO MATEUS</t>
  </si>
  <si>
    <t>RUA AREA RURAL DE PRESIDENTE DUTRA, 533</t>
  </si>
  <si>
    <t>CANOAZINHO / PRESIDE</t>
  </si>
  <si>
    <t>-11.308461</t>
  </si>
  <si>
    <t>-42.049465</t>
  </si>
  <si>
    <t>(074) 98826-2377</t>
  </si>
  <si>
    <t>0219-0176</t>
  </si>
  <si>
    <t>NECI CARVALHO DO ROSARIO MIRANDA</t>
  </si>
  <si>
    <t>PIZZARIA LA FAMIGLIA</t>
  </si>
  <si>
    <t>RUA DIREITA, 67</t>
  </si>
  <si>
    <t>-11.298208</t>
  </si>
  <si>
    <t>-41.990627</t>
  </si>
  <si>
    <t>(074) 88521-0116</t>
  </si>
  <si>
    <t>0219-0177</t>
  </si>
  <si>
    <t>NIVON LOPES DE OLIVEIRA</t>
  </si>
  <si>
    <t>CLUBE DANCE HITES</t>
  </si>
  <si>
    <t>RUA STA CLARA, 71</t>
  </si>
  <si>
    <t>-11.335087</t>
  </si>
  <si>
    <t>-42.033482</t>
  </si>
  <si>
    <t>(074) 99972-7427</t>
  </si>
  <si>
    <t>0219-0178</t>
  </si>
  <si>
    <t>RODRIGO ALECRIM DA SILVA</t>
  </si>
  <si>
    <t>HENEY RESTAURANTE</t>
  </si>
  <si>
    <t>RUA SEBASTIAO DOURADO, 192</t>
  </si>
  <si>
    <t>-11.334423</t>
  </si>
  <si>
    <t>-42.027575</t>
  </si>
  <si>
    <t>(074) 99969-2798</t>
  </si>
  <si>
    <t>0219-0179</t>
  </si>
  <si>
    <t>NELSON CASTRO DURAES</t>
  </si>
  <si>
    <t>SACOLA CHEIA MERCADO</t>
  </si>
  <si>
    <t>PRC DO COMERCIO, 131</t>
  </si>
  <si>
    <t>-11.295927</t>
  </si>
  <si>
    <t>-41.987380</t>
  </si>
  <si>
    <t>(074) 98819-4900</t>
  </si>
  <si>
    <t>0219-0180</t>
  </si>
  <si>
    <t>PAULO KAIQUE SOUSA SILVA</t>
  </si>
  <si>
    <t>BAR ADEGA E CONVENIE</t>
  </si>
  <si>
    <t>RUA DA ESPERANCA, 13</t>
  </si>
  <si>
    <t>-11.295557</t>
  </si>
  <si>
    <t>-41.987770</t>
  </si>
  <si>
    <t>(074) 97400-7015</t>
  </si>
  <si>
    <t>0219-0181</t>
  </si>
  <si>
    <t>JOSE AILTON PAZ SILVA</t>
  </si>
  <si>
    <t>MERCADO SARATUBA</t>
  </si>
  <si>
    <t>RUA LAGOA DE CANA BRAVA, 256</t>
  </si>
  <si>
    <t>PRESIDENTE DUTRA P D</t>
  </si>
  <si>
    <t>-11.291618</t>
  </si>
  <si>
    <t>-41.989979</t>
  </si>
  <si>
    <t>(074) 98808-0146</t>
  </si>
  <si>
    <t>0219-0182</t>
  </si>
  <si>
    <t>VERIALUSSEM RODRIGUES CHAGAS</t>
  </si>
  <si>
    <t>MERCADO PEREIRA   01</t>
  </si>
  <si>
    <t>RUA SEBASTIAO DOURADO, 315</t>
  </si>
  <si>
    <t>-11.334303</t>
  </si>
  <si>
    <t>-42.029001</t>
  </si>
  <si>
    <t>0219-0183</t>
  </si>
  <si>
    <t>PEDRO VITOR FERREIRA DE SOUSA</t>
  </si>
  <si>
    <t>CASA DE CARNE FERREI</t>
  </si>
  <si>
    <t>RUA AREA RURAL DE PRESIDENTE DUTRA, 43</t>
  </si>
  <si>
    <t>AREA RURAL DE PRESID</t>
  </si>
  <si>
    <t>-11.264051</t>
  </si>
  <si>
    <t>-41.974132</t>
  </si>
  <si>
    <t>(074) 99937-5109</t>
  </si>
  <si>
    <t>0219-0184</t>
  </si>
  <si>
    <t>WESLEY SOUZA ROCHA</t>
  </si>
  <si>
    <t>ESPACO W 2 LANCHONET</t>
  </si>
  <si>
    <t>RUA JOSE FRANCISCO MACHADO, 70</t>
  </si>
  <si>
    <t>-11.298320</t>
  </si>
  <si>
    <t>-41.990161</t>
  </si>
  <si>
    <t>(074) 98847-2952</t>
  </si>
  <si>
    <t>0219-0185</t>
  </si>
  <si>
    <t>ADEMAR BARRETO CUNHA JUNIOR LTDA</t>
  </si>
  <si>
    <t>SUPER MERC E GALPAO</t>
  </si>
  <si>
    <t>RUA GRANDE, 12</t>
  </si>
  <si>
    <t>-11.333918</t>
  </si>
  <si>
    <t>-41.998502</t>
  </si>
  <si>
    <t>(074) 99941-4176</t>
  </si>
  <si>
    <t>0219-0186</t>
  </si>
  <si>
    <t>ANTONIO ALVES TEIXEIRA</t>
  </si>
  <si>
    <t>MERCADINHO DO ALEMAO</t>
  </si>
  <si>
    <t>RUA ANTONIO MOREIRA MACHADO, 50</t>
  </si>
  <si>
    <t>-11.296700</t>
  </si>
  <si>
    <t>-41.993655</t>
  </si>
  <si>
    <t>(074) 98861-9270</t>
  </si>
  <si>
    <t>0219-0187</t>
  </si>
  <si>
    <t>GISVALDO RIBEIRO DA SILVA</t>
  </si>
  <si>
    <t>BAR RIBEIRO       01</t>
  </si>
  <si>
    <t>AV MANOEL NOVAIS, 383</t>
  </si>
  <si>
    <t>-11.297994</t>
  </si>
  <si>
    <t>-41.985593</t>
  </si>
  <si>
    <t>(074) 98106-6013</t>
  </si>
  <si>
    <t>0220-0002</t>
  </si>
  <si>
    <t>SEBASTIAO GOMES DA COSTA</t>
  </si>
  <si>
    <t>BAR DO TIAO</t>
  </si>
  <si>
    <t>RUA DE BESOURO SAO GABRIEL</t>
  </si>
  <si>
    <t>BESOURO</t>
  </si>
  <si>
    <t>-41.787464</t>
  </si>
  <si>
    <t>(074) 99930-1646</t>
  </si>
  <si>
    <t>0220-0007</t>
  </si>
  <si>
    <t>JERRE ABADES DA COSTA</t>
  </si>
  <si>
    <t>MERCADINHO CAROLINE</t>
  </si>
  <si>
    <t>RUA RUA SAO FRANCISCO, 54</t>
  </si>
  <si>
    <t>-11.124465</t>
  </si>
  <si>
    <t>-41.787630</t>
  </si>
  <si>
    <t>(400) 09984-3020</t>
  </si>
  <si>
    <t>0220-0008</t>
  </si>
  <si>
    <t>SIDNEY BISPO DOS SANTOS</t>
  </si>
  <si>
    <t>BAR SUPER MAGAL</t>
  </si>
  <si>
    <t>RUA RUA DAS ARVORES, 500 / A</t>
  </si>
  <si>
    <t>VARIANTE 02</t>
  </si>
  <si>
    <t>-11.150253</t>
  </si>
  <si>
    <t>-41.812172</t>
  </si>
  <si>
    <t>(074) 99954-8738</t>
  </si>
  <si>
    <t>0220-0010</t>
  </si>
  <si>
    <t>NILVAN RIBEIRO DE SOUZA</t>
  </si>
  <si>
    <t>CEREAL E MERC SOUZA</t>
  </si>
  <si>
    <t>AV AV DOIS DE JULHO, 110</t>
  </si>
  <si>
    <t>CENTRO-S.GABR</t>
  </si>
  <si>
    <t>-11.228501</t>
  </si>
  <si>
    <t>-41.878685</t>
  </si>
  <si>
    <t>(074) 99969-3492</t>
  </si>
  <si>
    <t>0220-0013</t>
  </si>
  <si>
    <t>LUCILIA MOTA SILVA SANTOS</t>
  </si>
  <si>
    <t>REST PEIXE E CIA 01</t>
  </si>
  <si>
    <t>RUA DO AV PRESIDENTE DUTRA, 41</t>
  </si>
  <si>
    <t>-11.230123</t>
  </si>
  <si>
    <t>-41.881153</t>
  </si>
  <si>
    <t>(074) 08128-4155</t>
  </si>
  <si>
    <t>0220-0014</t>
  </si>
  <si>
    <t>MARIA DA CONCEICAO GERONIMO</t>
  </si>
  <si>
    <t>REST SABOREAR</t>
  </si>
  <si>
    <t>AV PRESIDENTE DUTRA, 290</t>
  </si>
  <si>
    <t>-11.230817</t>
  </si>
  <si>
    <t>-41.883434</t>
  </si>
  <si>
    <t>(740) 08105-5650</t>
  </si>
  <si>
    <t>0220-0015</t>
  </si>
  <si>
    <t>CRISTIANA JULIA MARCELINO</t>
  </si>
  <si>
    <t>BAR E MERC SANTOS</t>
  </si>
  <si>
    <t>RUA POVOADO DE GUARANI</t>
  </si>
  <si>
    <t>POVOADO DE GUARANI</t>
  </si>
  <si>
    <t>-11.149359</t>
  </si>
  <si>
    <t>-41.838852</t>
  </si>
  <si>
    <t>(074) 03647-1181</t>
  </si>
  <si>
    <t>0220-0028</t>
  </si>
  <si>
    <t>CLESIOMAR BATISTA ALVES</t>
  </si>
  <si>
    <t>RANGO DO CLESIO</t>
  </si>
  <si>
    <t>RUA MINERVINO JOSE VAZ</t>
  </si>
  <si>
    <t>-11.228270</t>
  </si>
  <si>
    <t>-41.878340</t>
  </si>
  <si>
    <t>(074) 99806-5082</t>
  </si>
  <si>
    <t>0220-0030</t>
  </si>
  <si>
    <t>TELMA CRISTINA CAVALCANTE DOS SANTOS</t>
  </si>
  <si>
    <t>REST E CHUR SAL GROS</t>
  </si>
  <si>
    <t>AV AVENIDA RAUL FERREIRA DAS VIRGENS, 2</t>
  </si>
  <si>
    <t>-11.237105</t>
  </si>
  <si>
    <t>-41.872250</t>
  </si>
  <si>
    <t>(074) 99800-5839</t>
  </si>
  <si>
    <t>0220-0033</t>
  </si>
  <si>
    <t>JUCIGLEIDE NOVAES GAMA BARETO</t>
  </si>
  <si>
    <t>PADARIA ARCADAS</t>
  </si>
  <si>
    <t>PRC PCA MINERVINO JOSE VAZ, 124</t>
  </si>
  <si>
    <t>-11.227782</t>
  </si>
  <si>
    <t>-41.877125</t>
  </si>
  <si>
    <t>(074) 99926-6111</t>
  </si>
  <si>
    <t>0220-0034</t>
  </si>
  <si>
    <t>RERIVALDO PEREIRA DA SILVA</t>
  </si>
  <si>
    <t>MERCADINHO LUAN</t>
  </si>
  <si>
    <t>RUA R GAIVOTA, 296</t>
  </si>
  <si>
    <t>-11.326159</t>
  </si>
  <si>
    <t>-41.865704</t>
  </si>
  <si>
    <t>(074) 99926-5320</t>
  </si>
  <si>
    <t>0220-0036</t>
  </si>
  <si>
    <t>ANTONIO BARRETO SENA FILHO</t>
  </si>
  <si>
    <t>BAR E LANCHONETE W K</t>
  </si>
  <si>
    <t>RUA RUA 02 DE JULHO, 137</t>
  </si>
  <si>
    <t>-11.228577</t>
  </si>
  <si>
    <t>-41.878983</t>
  </si>
  <si>
    <t>(074) 99995-5835</t>
  </si>
  <si>
    <t>0220-0044</t>
  </si>
  <si>
    <t>UEUDISNEI BATISTA ALMEIDA</t>
  </si>
  <si>
    <t>BAR RODOVIARIA    01</t>
  </si>
  <si>
    <t>RUA RUA DOIS DE JULHO, 91</t>
  </si>
  <si>
    <t>-11.228448</t>
  </si>
  <si>
    <t>-41.878445</t>
  </si>
  <si>
    <t>(740) 99978-2055</t>
  </si>
  <si>
    <t>0220-0050</t>
  </si>
  <si>
    <t>MARIA ELENA MARTINS DE SOUZA</t>
  </si>
  <si>
    <t>MERCADO STA ELENA</t>
  </si>
  <si>
    <t>RUA RUA LADISLAU JOSE DE BRI, 307</t>
  </si>
  <si>
    <t>-11.225492</t>
  </si>
  <si>
    <t>-41.871100</t>
  </si>
  <si>
    <t>(740) 98100-6789</t>
  </si>
  <si>
    <t>0220-0055</t>
  </si>
  <si>
    <t>JANETE EDUARDO DE SOUZA</t>
  </si>
  <si>
    <t>BAR DA JANETE</t>
  </si>
  <si>
    <t>PRC EUZEBIO DOS REIS, 87</t>
  </si>
  <si>
    <t>GAMELEIRA DO JACARE</t>
  </si>
  <si>
    <t>-11.068159</t>
  </si>
  <si>
    <t>-41.689621</t>
  </si>
  <si>
    <t>(400) 00602-7081</t>
  </si>
  <si>
    <t>0220-0056</t>
  </si>
  <si>
    <t>MANOEL CARLOS DE SOUZA DOURADO</t>
  </si>
  <si>
    <t>BAR DO LITINHO</t>
  </si>
  <si>
    <t>RUA DA CAIXA, 70</t>
  </si>
  <si>
    <t>-11.067124</t>
  </si>
  <si>
    <t>-41.689733</t>
  </si>
  <si>
    <t>(074) 99913-0792</t>
  </si>
  <si>
    <t>0220-0057</t>
  </si>
  <si>
    <t>CARLOS CESAR AMORIM REIS</t>
  </si>
  <si>
    <t>SUP CAMIRIM</t>
  </si>
  <si>
    <t>PRC PRC EUZEBIO REIS, 59</t>
  </si>
  <si>
    <t>-11.067847</t>
  </si>
  <si>
    <t>-41.690016</t>
  </si>
  <si>
    <t>(074) 99972-4911</t>
  </si>
  <si>
    <t>0220-0064</t>
  </si>
  <si>
    <t>JOAO RODRIGUES DA CRUZ SOBRINHO</t>
  </si>
  <si>
    <t>MERCADO SAO JOAO 01</t>
  </si>
  <si>
    <t>RUA EVERGISTRO C BRITO, 74</t>
  </si>
  <si>
    <t>MANCAMBAO I</t>
  </si>
  <si>
    <t>-11.221969</t>
  </si>
  <si>
    <t>-41.873173</t>
  </si>
  <si>
    <t>(074) 99985-4793</t>
  </si>
  <si>
    <t>0220-0072</t>
  </si>
  <si>
    <t>COMERCIAL FERREIRA E SILVA</t>
  </si>
  <si>
    <t>SUPERMERC TEM DE TUD</t>
  </si>
  <si>
    <t>AV DE DOIS JULHO, 32</t>
  </si>
  <si>
    <t>-11.228370</t>
  </si>
  <si>
    <t>-41.877983</t>
  </si>
  <si>
    <t>(074) 99981-9413</t>
  </si>
  <si>
    <t>0220-0080</t>
  </si>
  <si>
    <t>ADAILTON VITOR DE SOUZA</t>
  </si>
  <si>
    <t>MERCADO DA LINDA</t>
  </si>
  <si>
    <t>RUA RUA ALFREDO MACHADO, 130</t>
  </si>
  <si>
    <t>-11.231720</t>
  </si>
  <si>
    <t>-41.880127</t>
  </si>
  <si>
    <t>(740) 08104-5186</t>
  </si>
  <si>
    <t>0220-0082</t>
  </si>
  <si>
    <t>IEIDA ROCHA DA GAMA</t>
  </si>
  <si>
    <t>PIZZARIA RE PANTANAL</t>
  </si>
  <si>
    <t>RUA RUA 2 DE JULHO, 47</t>
  </si>
  <si>
    <t>-11.228705</t>
  </si>
  <si>
    <t>-41.879528</t>
  </si>
  <si>
    <t>(074) 99902-2738</t>
  </si>
  <si>
    <t>0220-0090</t>
  </si>
  <si>
    <t>ERENALDO MENDES BATISTA</t>
  </si>
  <si>
    <t>BUDEGA MENDES</t>
  </si>
  <si>
    <t>PRC PRACA DO COMERCIO, 44</t>
  </si>
  <si>
    <t>POVOADO GABRIELZINHO</t>
  </si>
  <si>
    <t>-11.225513</t>
  </si>
  <si>
    <t>-41.897205</t>
  </si>
  <si>
    <t>(074) 99995-9099</t>
  </si>
  <si>
    <t>0220-0100</t>
  </si>
  <si>
    <t>FRANCISCO DAS CHAGAS DE SOUZA DINIZ</t>
  </si>
  <si>
    <t>BAR POR DO SOL 02</t>
  </si>
  <si>
    <t>PRC SAO FRANCISCO, 25</t>
  </si>
  <si>
    <t>-11.123965</t>
  </si>
  <si>
    <t>(074) 99968-5017</t>
  </si>
  <si>
    <t>0220-0134</t>
  </si>
  <si>
    <t>SIDILEIDE GOMES CORDEIRO BATISTA</t>
  </si>
  <si>
    <t>BAR DA SIDI</t>
  </si>
  <si>
    <t>RUA BAIXAO DOS HONORATO</t>
  </si>
  <si>
    <t>BAIXAO DO HONORATO</t>
  </si>
  <si>
    <t>-11.132321</t>
  </si>
  <si>
    <t>-41.835910</t>
  </si>
  <si>
    <t>9911-7270</t>
  </si>
  <si>
    <t>0220-0149</t>
  </si>
  <si>
    <t>UILLIAN DE SOUZA FREIRE</t>
  </si>
  <si>
    <t>DISBEF</t>
  </si>
  <si>
    <t>RUA TENENTE EVARISTO DE ABREU, 27</t>
  </si>
  <si>
    <t>-11.228310</t>
  </si>
  <si>
    <t>-41.876957</t>
  </si>
  <si>
    <t>(074) 99962-9327</t>
  </si>
  <si>
    <t>0220-0150</t>
  </si>
  <si>
    <t>EDIVALDO BATISTA DA CRUZ</t>
  </si>
  <si>
    <t>BAR DO PE 01</t>
  </si>
  <si>
    <t>RUA ANTONIO JOSE DA ROCHA, 353</t>
  </si>
  <si>
    <t>-11.222438</t>
  </si>
  <si>
    <t>-41.875027</t>
  </si>
  <si>
    <t>(074) 99926-2275</t>
  </si>
  <si>
    <t>0220-0152</t>
  </si>
  <si>
    <t>MACIO ALVES DOS SANTOS</t>
  </si>
  <si>
    <t>MERCADINHO RAFAELA</t>
  </si>
  <si>
    <t>RUA ANTONIO MIRANDA, 292</t>
  </si>
  <si>
    <t>MARIA CANDIDA</t>
  </si>
  <si>
    <t>-11.226967</t>
  </si>
  <si>
    <t>-41.881763</t>
  </si>
  <si>
    <t>(740) 99945-0395</t>
  </si>
  <si>
    <t>0220-0177</t>
  </si>
  <si>
    <t>VILMA FERREIRA DA SILVA</t>
  </si>
  <si>
    <t>MERCADINHO DA VILMA</t>
  </si>
  <si>
    <t>RUA RUA 5, 95</t>
  </si>
  <si>
    <t>POPULARES</t>
  </si>
  <si>
    <t>-11.226697</t>
  </si>
  <si>
    <t>-41.884110</t>
  </si>
  <si>
    <t>(074) 98133-7810</t>
  </si>
  <si>
    <t>0220-0189</t>
  </si>
  <si>
    <t>ADRIANO DA GAMA FERREIRA</t>
  </si>
  <si>
    <t>LANCHONETE FAMILIAR</t>
  </si>
  <si>
    <t>ROD RODOVIA BA 052 KM 333</t>
  </si>
  <si>
    <t>AVENIDA CONTORNO</t>
  </si>
  <si>
    <t>-11.339730</t>
  </si>
  <si>
    <t>-41.674090</t>
  </si>
  <si>
    <t>(074) 99941-9140</t>
  </si>
  <si>
    <t>0220-0200</t>
  </si>
  <si>
    <t>GILDENE EDUARDO BORGES</t>
  </si>
  <si>
    <t>DENNY LANCHES</t>
  </si>
  <si>
    <t>PRC PRACA MINERVINO JOSE VAZ, 140</t>
  </si>
  <si>
    <t>-11.227821</t>
  </si>
  <si>
    <t>-41.874577</t>
  </si>
  <si>
    <t>(074) 99935-7788</t>
  </si>
  <si>
    <t>0220-0203</t>
  </si>
  <si>
    <t>LAIANE DOURADO SENA GAMA</t>
  </si>
  <si>
    <t>DISTRIBUIDORA AGUIA</t>
  </si>
  <si>
    <t>PRC PRC MINERVINO JOSE VAZ, 72</t>
  </si>
  <si>
    <t>-11.228312</t>
  </si>
  <si>
    <t>-41.877007</t>
  </si>
  <si>
    <t>(074) 99944-0094</t>
  </si>
  <si>
    <t>0220-0206</t>
  </si>
  <si>
    <t>DELEON LUIZ DA SILVA</t>
  </si>
  <si>
    <t>MERC ADRIANA</t>
  </si>
  <si>
    <t>RUA NESTOR JOSE DE SENA, 97</t>
  </si>
  <si>
    <t>MANCAMBAO 2</t>
  </si>
  <si>
    <t>-11.221840</t>
  </si>
  <si>
    <t>-41.866722</t>
  </si>
  <si>
    <t>(074) 99935-6130</t>
  </si>
  <si>
    <t>0220-0207</t>
  </si>
  <si>
    <t>FABIANO DO NASCIMENTO</t>
  </si>
  <si>
    <t>HIPER MERCADO FILHOS</t>
  </si>
  <si>
    <t>RUA 2 DE JULHO, 213</t>
  </si>
  <si>
    <t>-11.228553</t>
  </si>
  <si>
    <t>-41.878536</t>
  </si>
  <si>
    <t>(074) 99999-1458</t>
  </si>
  <si>
    <t>0220-0221</t>
  </si>
  <si>
    <t>JAILTON CIRILO DOS SANTOS</t>
  </si>
  <si>
    <t>MERCADINHO LETICIA02</t>
  </si>
  <si>
    <t>RUA LADISLAU JOSE JOSE DE BRITO, 464</t>
  </si>
  <si>
    <t>MACAMBAO</t>
  </si>
  <si>
    <t>-11.225718</t>
  </si>
  <si>
    <t>-41.870876</t>
  </si>
  <si>
    <t>(074) 09958-2700</t>
  </si>
  <si>
    <t>0220-0224</t>
  </si>
  <si>
    <t>JILVAN CARVALHO DO NASCIMENTO</t>
  </si>
  <si>
    <t>REST QUINTAL BISTRO</t>
  </si>
  <si>
    <t>RUA RUA FILINTO MACHADO, 195</t>
  </si>
  <si>
    <t>-11.229308</t>
  </si>
  <si>
    <t>-41.874990</t>
  </si>
  <si>
    <t>(074) 99998-6049</t>
  </si>
  <si>
    <t>0220-0232</t>
  </si>
  <si>
    <t>ANTONIO BATISTA PAIVA MARTHINS</t>
  </si>
  <si>
    <t>BAR PASSA AQUI</t>
  </si>
  <si>
    <t>RUA RUA CASTRO ALVES, 114</t>
  </si>
  <si>
    <t>-11.229568</t>
  </si>
  <si>
    <t>-41.880440</t>
  </si>
  <si>
    <t>(075) 99992-6022</t>
  </si>
  <si>
    <t>0220-0233</t>
  </si>
  <si>
    <t>GLEICIANE GONCALVES DO NASCIMENTO</t>
  </si>
  <si>
    <t>MERCADINHO SAO JOA01</t>
  </si>
  <si>
    <t>AV AVENIDA RAUL F DAS VIRGENS, 338</t>
  </si>
  <si>
    <t>-11.231445</t>
  </si>
  <si>
    <t>-41.875023</t>
  </si>
  <si>
    <t>(074) 99987-6068</t>
  </si>
  <si>
    <t>0220-0237</t>
  </si>
  <si>
    <t>CARLOS ALBERTO ALVES BARRETO EIRELI</t>
  </si>
  <si>
    <t>ATACADISTA BARRETO</t>
  </si>
  <si>
    <t>RUA RUA ODILON DURAESS, 20</t>
  </si>
  <si>
    <t>-11.227680</t>
  </si>
  <si>
    <t>-41.877068</t>
  </si>
  <si>
    <t>(074) 99961-4511</t>
  </si>
  <si>
    <t>0220-0239</t>
  </si>
  <si>
    <t>GIDEAO ALVES ROCHA</t>
  </si>
  <si>
    <t>BARBEARIA D NAVALHA</t>
  </si>
  <si>
    <t>RUA RUA ANTONIO MIRANDA, 98</t>
  </si>
  <si>
    <t>MARIA CANDIDA / SAO</t>
  </si>
  <si>
    <t>-11.229187</t>
  </si>
  <si>
    <t>-41.878265</t>
  </si>
  <si>
    <t>(074) 99965-6196</t>
  </si>
  <si>
    <t>0220-0246</t>
  </si>
  <si>
    <t>MERCANTIL DE ALIMENTOS JT LTDA</t>
  </si>
  <si>
    <t>SUPERMERCADO LIMA 01</t>
  </si>
  <si>
    <t>PRC PRACA MINERVINO JOSE VAZ, 27</t>
  </si>
  <si>
    <t>-11.228395</t>
  </si>
  <si>
    <t>-41.877510</t>
  </si>
  <si>
    <t>(074) 99937-4663</t>
  </si>
  <si>
    <t>0220-0247</t>
  </si>
  <si>
    <t>MICAEL SOUZA ANDRADE</t>
  </si>
  <si>
    <t>REST GALINHA CAIPIRA</t>
  </si>
  <si>
    <t>AV AV MIGUEL SERRA, 1125</t>
  </si>
  <si>
    <t>-11.192862</t>
  </si>
  <si>
    <t>-41.914307</t>
  </si>
  <si>
    <t>(074) 99933-9252</t>
  </si>
  <si>
    <t>0220-0256</t>
  </si>
  <si>
    <t>FERNANDO BARROS DA SILVA</t>
  </si>
  <si>
    <t>ACOU E VER BOM PRECO</t>
  </si>
  <si>
    <t>PRC MINERVINO JOSE VAZ, 48</t>
  </si>
  <si>
    <t>-11.228333</t>
  </si>
  <si>
    <t>-41.877224</t>
  </si>
  <si>
    <t>(074) 99971-6132</t>
  </si>
  <si>
    <t>0220-0257</t>
  </si>
  <si>
    <t>GAUDIGLEIA ALVES FERREIRA DE ALMEIDA</t>
  </si>
  <si>
    <t>MERCADINHO RONI 2</t>
  </si>
  <si>
    <t>PRC PRACA DO COMERCIO 1, 7</t>
  </si>
  <si>
    <t>GABRIELZINHO</t>
  </si>
  <si>
    <t>-11.225833</t>
  </si>
  <si>
    <t>-41.896390</t>
  </si>
  <si>
    <t>(074) 99956-3380</t>
  </si>
  <si>
    <t>0220-0261</t>
  </si>
  <si>
    <t>IAN CARLOS DOS SANTOS</t>
  </si>
  <si>
    <t>BURGUER HOUSE</t>
  </si>
  <si>
    <t>RUA ANTONIO PEREIRA ROCHA, 223</t>
  </si>
  <si>
    <t>MANCANBAO</t>
  </si>
  <si>
    <t>-11.225278</t>
  </si>
  <si>
    <t>(074) 99979-5587</t>
  </si>
  <si>
    <t>0220-0263</t>
  </si>
  <si>
    <t>UENDEL MACIEL GONCALVES</t>
  </si>
  <si>
    <t>BAR GONCALVES</t>
  </si>
  <si>
    <t>RUA RUA ANTONIO PEREIRA GONCALVES, 275</t>
  </si>
  <si>
    <t>-11.225000</t>
  </si>
  <si>
    <t>(074) 99805-3718</t>
  </si>
  <si>
    <t>0220-0265</t>
  </si>
  <si>
    <t>ELIS CAIRO ARAUJO DOURADO FILHO</t>
  </si>
  <si>
    <t>MERCAD CASA DA SOGRA</t>
  </si>
  <si>
    <t>AV AVENIDA DOIS DE JULHO, 142</t>
  </si>
  <si>
    <t>-11.228611</t>
  </si>
  <si>
    <t>-41.878887</t>
  </si>
  <si>
    <t>(074) 99931-1339</t>
  </si>
  <si>
    <t>0220-0271</t>
  </si>
  <si>
    <t>REGINALDO GONSALVES DE ARAUJO</t>
  </si>
  <si>
    <t>PANIFICADORA ARAUJO</t>
  </si>
  <si>
    <t>RUA RUA DOIS DE JULHO, 141</t>
  </si>
  <si>
    <t>-11.228653</t>
  </si>
  <si>
    <t>-41.879618</t>
  </si>
  <si>
    <t>(074) 99979-1919</t>
  </si>
  <si>
    <t>0220-0273</t>
  </si>
  <si>
    <t>MANOELA MONTEIRO DE BARROS</t>
  </si>
  <si>
    <t>BAR DO MANOEL 01</t>
  </si>
  <si>
    <t>PRC PRACA DA FEIRA BOX 4</t>
  </si>
  <si>
    <t>PRACA DA FEIRA BOX 4</t>
  </si>
  <si>
    <t>-11.229722</t>
  </si>
  <si>
    <t>(074) 99967-9471</t>
  </si>
  <si>
    <t>0220-0283</t>
  </si>
  <si>
    <t>FOGO RUSTICO COMERCIAL DE ALIMENTOS</t>
  </si>
  <si>
    <t>FOGO RUSTICO</t>
  </si>
  <si>
    <t>RUA RUA ADALBERTO BARRETO, 610</t>
  </si>
  <si>
    <t>-11.225175</t>
  </si>
  <si>
    <t>-41.882614</t>
  </si>
  <si>
    <t>(074) 99995-0321</t>
  </si>
  <si>
    <t>0220-0284</t>
  </si>
  <si>
    <t>IVANILDO SILVA OLIVEIRA</t>
  </si>
  <si>
    <t>BAR DO VANI       01</t>
  </si>
  <si>
    <t>RUA RUA DELFINO DE OLIVEIRA, 147</t>
  </si>
  <si>
    <t>-11.227588</t>
  </si>
  <si>
    <t>-41.881886</t>
  </si>
  <si>
    <t>(074) 99802-9614</t>
  </si>
  <si>
    <t>0220-0285</t>
  </si>
  <si>
    <t>HILDONETE ROSA GONSALVES DOS SANTOS</t>
  </si>
  <si>
    <t>MERCADO LUANA 2</t>
  </si>
  <si>
    <t>TRV TV VARIANTE, 60</t>
  </si>
  <si>
    <t>VARIANTE</t>
  </si>
  <si>
    <t>-11.150383</t>
  </si>
  <si>
    <t>-41.813156</t>
  </si>
  <si>
    <t>(011) 96484-6131</t>
  </si>
  <si>
    <t>0220-0286</t>
  </si>
  <si>
    <t>SIVALDO JOSE DOS SANTOS</t>
  </si>
  <si>
    <t>BBB MERCADO</t>
  </si>
  <si>
    <t>RUA RUA DA CAIXA D AGUA, 30</t>
  </si>
  <si>
    <t>BAIXAO DOS HONORATOS</t>
  </si>
  <si>
    <t>-11.132424</t>
  </si>
  <si>
    <t>-41.835987</t>
  </si>
  <si>
    <t>(014) 99128-9055</t>
  </si>
  <si>
    <t>0220-0290</t>
  </si>
  <si>
    <t>MATEUS ROCHA MACHADO</t>
  </si>
  <si>
    <t>ACOUGUE GABRIEL</t>
  </si>
  <si>
    <t>RUA RUA DA FLOESA, 29</t>
  </si>
  <si>
    <t>-11.224563</t>
  </si>
  <si>
    <t>-41.872467</t>
  </si>
  <si>
    <t>(074) 98125-4023</t>
  </si>
  <si>
    <t>0220-0296</t>
  </si>
  <si>
    <t>HELIO MOREIRA MOITINHO</t>
  </si>
  <si>
    <t>MERCADINHO VIVENDA02</t>
  </si>
  <si>
    <t>RUA RUA 7 DE SETEMBRO, 108</t>
  </si>
  <si>
    <t>-11.228016</t>
  </si>
  <si>
    <t>-41.877705</t>
  </si>
  <si>
    <t>(074) 99956-1441</t>
  </si>
  <si>
    <t>0220-0297</t>
  </si>
  <si>
    <t>FABIO DANILO CORREIA DO NASCIMENTO</t>
  </si>
  <si>
    <t>HIPER MERCADO FILH01</t>
  </si>
  <si>
    <t>PRC PRACA JONAS PEREIRA, 219</t>
  </si>
  <si>
    <t>-11.227211</t>
  </si>
  <si>
    <t>-41.871967</t>
  </si>
  <si>
    <t>(074) 09999-1458</t>
  </si>
  <si>
    <t>0220-0298</t>
  </si>
  <si>
    <t>HERCULES SILVA SAMPAIO</t>
  </si>
  <si>
    <t>BOB LANCHES       01</t>
  </si>
  <si>
    <t>PRC PRACA MINERVINO JOSE VAZ, 49</t>
  </si>
  <si>
    <t>-11.228391</t>
  </si>
  <si>
    <t>-41.877380</t>
  </si>
  <si>
    <t>(087) 99145-3252</t>
  </si>
  <si>
    <t>0220-0301</t>
  </si>
  <si>
    <t>AMANDA INACIA DE MIRANDA</t>
  </si>
  <si>
    <t>TO NO TRABALHO</t>
  </si>
  <si>
    <t>RUA RUA EVERGISTRO C BRITO, 601</t>
  </si>
  <si>
    <t>QUIXABEIRA</t>
  </si>
  <si>
    <t>-11.217345</t>
  </si>
  <si>
    <t>-41.874516</t>
  </si>
  <si>
    <t>(074) 99971-4300</t>
  </si>
  <si>
    <t>0220-0302</t>
  </si>
  <si>
    <t>MICAEL ROCHA DA SILVA LTDA</t>
  </si>
  <si>
    <t>MERCADO PINGA NOSTRA</t>
  </si>
  <si>
    <t>AV AVENIDA GETULIO VARGAS, 297</t>
  </si>
  <si>
    <t>-11.228117</t>
  </si>
  <si>
    <t>-41.877070</t>
  </si>
  <si>
    <t>(035) 99962-5810</t>
  </si>
  <si>
    <t>0220-0303</t>
  </si>
  <si>
    <t>RODRIGO BASTOS MIRANDA DA SILVA</t>
  </si>
  <si>
    <t>MERCADO MIRANDA   03</t>
  </si>
  <si>
    <t>RUA RUA LUIS VIANA 242, 242</t>
  </si>
  <si>
    <t>-11.218890</t>
  </si>
  <si>
    <t>-41.869587</t>
  </si>
  <si>
    <t>(074) 99923-7898</t>
  </si>
  <si>
    <t>0220-0304</t>
  </si>
  <si>
    <t>CILAS FERREIRA DOS SANTOS</t>
  </si>
  <si>
    <t>VARIANTE SAB NORDEST</t>
  </si>
  <si>
    <t>RUA OLIVIO ALECRIM, 551</t>
  </si>
  <si>
    <t>-11.231014</t>
  </si>
  <si>
    <t>-41.876360</t>
  </si>
  <si>
    <t>(074) 99943-2156</t>
  </si>
  <si>
    <t>0220-0306</t>
  </si>
  <si>
    <t>ANA BERTILIA GOMES MACHADO</t>
  </si>
  <si>
    <t>JR DISTRIBUIDORA  01</t>
  </si>
  <si>
    <t>RUA EVERGISTRO C BRITO, 15</t>
  </si>
  <si>
    <t>-11.222663</t>
  </si>
  <si>
    <t>-41.873177</t>
  </si>
  <si>
    <t>(074) 09995-9252</t>
  </si>
  <si>
    <t>0220-0308</t>
  </si>
  <si>
    <t>BRUNA PAULA DE OLIVEIRA</t>
  </si>
  <si>
    <t>ADEGA DO BAIRRO</t>
  </si>
  <si>
    <t>AV RAUL F DAS VIRGENS, 376</t>
  </si>
  <si>
    <t>-11.231766</t>
  </si>
  <si>
    <t>-41.874935</t>
  </si>
  <si>
    <t>(074) 99975-7767</t>
  </si>
  <si>
    <t>0220-0309</t>
  </si>
  <si>
    <t>ALAN OLIVEIRA</t>
  </si>
  <si>
    <t>HIPER MERCAD FILH0S</t>
  </si>
  <si>
    <t>RUA JASMIM, 220</t>
  </si>
  <si>
    <t>-11.220290</t>
  </si>
  <si>
    <t>-41.870375</t>
  </si>
  <si>
    <t>0220-0310</t>
  </si>
  <si>
    <t>FELIPE ABREU DE ALMEIDA</t>
  </si>
  <si>
    <t>FELIPE ABREU</t>
  </si>
  <si>
    <t>RUA FILINTO MACHADO</t>
  </si>
  <si>
    <t>-11.228056</t>
  </si>
  <si>
    <t>-41.878242</t>
  </si>
  <si>
    <t>(011) 91523-9715</t>
  </si>
  <si>
    <t>0220-0312</t>
  </si>
  <si>
    <t>RIAN BARRETO ROCHA</t>
  </si>
  <si>
    <t>74 ACAIDEIRA</t>
  </si>
  <si>
    <t>RUA SETE DE SETEMBRO, 298</t>
  </si>
  <si>
    <t>-11.227944</t>
  </si>
  <si>
    <t>-41.877575</t>
  </si>
  <si>
    <t>(074) 99817-9487</t>
  </si>
  <si>
    <t>0220-0313</t>
  </si>
  <si>
    <t>AUBA MAILA SENA</t>
  </si>
  <si>
    <t>PIZZA DO RANCHO</t>
  </si>
  <si>
    <t>RUA ARLINDO RIBEIRO, 520</t>
  </si>
  <si>
    <t>-11.229681</t>
  </si>
  <si>
    <t>-41.879500</t>
  </si>
  <si>
    <t>(074) 99933-4997</t>
  </si>
  <si>
    <t>0220-0315</t>
  </si>
  <si>
    <t>CAIO BRUNO BEZERA DOS SANTOS</t>
  </si>
  <si>
    <t>OXENTE PIZZARIA</t>
  </si>
  <si>
    <t>RUA CAROLINA DOURADO DAS VIRGEN, 115</t>
  </si>
  <si>
    <t>RAUL DAS VIGEN</t>
  </si>
  <si>
    <t>-11.229623</t>
  </si>
  <si>
    <t>-41.876041</t>
  </si>
  <si>
    <t>(074) 99920-7025</t>
  </si>
  <si>
    <t>0220-0316</t>
  </si>
  <si>
    <t>SIDINELIA ALVES MIRANDA</t>
  </si>
  <si>
    <t>SALGADOS DA NEIA</t>
  </si>
  <si>
    <t>RUA RUA 01, 31</t>
  </si>
  <si>
    <t>-11.227385</t>
  </si>
  <si>
    <t>-41.882223</t>
  </si>
  <si>
    <t>(074) 99808-9556</t>
  </si>
  <si>
    <t>0220-0317</t>
  </si>
  <si>
    <t>VAGNER LEADRO GOMES DE ALMEIDA</t>
  </si>
  <si>
    <t>RESTAURANTE DO LEO</t>
  </si>
  <si>
    <t>RUA TOME DE SOUZA, 8888</t>
  </si>
  <si>
    <t>-11.068819</t>
  </si>
  <si>
    <t>-41.690157</t>
  </si>
  <si>
    <t>(074) 99995-4688</t>
  </si>
  <si>
    <t>0220-0318</t>
  </si>
  <si>
    <t>ANTONIO DE PADUA DE SOUZA CARNEIRO</t>
  </si>
  <si>
    <t>BAR DA BAIXADA</t>
  </si>
  <si>
    <t>PRC EUZEBIO DOS REIS, 20</t>
  </si>
  <si>
    <t>-11.068694</t>
  </si>
  <si>
    <t>-41.690095</t>
  </si>
  <si>
    <t>(074) 99957-8335</t>
  </si>
  <si>
    <t>0220-0319</t>
  </si>
  <si>
    <t>CLAUDIO CLECIO CAMACAM BOMFIM</t>
  </si>
  <si>
    <t>MERCADO BARRETAO</t>
  </si>
  <si>
    <t>PRC EUSEBIO DOS REIS, 46</t>
  </si>
  <si>
    <t>-11.068280</t>
  </si>
  <si>
    <t>-41.690421</t>
  </si>
  <si>
    <t>(074) 99950-5324</t>
  </si>
  <si>
    <t>0220-0320</t>
  </si>
  <si>
    <t>MARISTELA DOS REIS SILVA</t>
  </si>
  <si>
    <t>MERCADO MENOR PREC01</t>
  </si>
  <si>
    <t>PRC EUSEBIO DOS REIS, 28</t>
  </si>
  <si>
    <t>-11.067792</t>
  </si>
  <si>
    <t>-41.690353</t>
  </si>
  <si>
    <t>(074) 99933-5837</t>
  </si>
  <si>
    <t>0220-0321</t>
  </si>
  <si>
    <t>CLEDSON CEZAR DE SOUZA</t>
  </si>
  <si>
    <t>MERCADINHO LUIZA  01</t>
  </si>
  <si>
    <t>RUA ARISTEU M DE AMORIM, 131</t>
  </si>
  <si>
    <t>-11.068582</t>
  </si>
  <si>
    <t>-41.692172</t>
  </si>
  <si>
    <t>(074) 99900-6587</t>
  </si>
  <si>
    <t>0220-0322</t>
  </si>
  <si>
    <t>BIRACY SOUZA PEREIRA</t>
  </si>
  <si>
    <t>ABUDEGA E RESTAURANT</t>
  </si>
  <si>
    <t>RUA TOME DE SOUZA, 42</t>
  </si>
  <si>
    <t>-11.068940</t>
  </si>
  <si>
    <t>-41.690084</t>
  </si>
  <si>
    <t>(074) 99800-3320</t>
  </si>
  <si>
    <t>0220-0323</t>
  </si>
  <si>
    <t>LOURIAN FILHA BISPO DOS SANTOS REIS</t>
  </si>
  <si>
    <t>MERCADO DA LOURA</t>
  </si>
  <si>
    <t>PRC EUSEBIO DOS REIS, 95</t>
  </si>
  <si>
    <t>-11.068207</t>
  </si>
  <si>
    <t>-41.689588</t>
  </si>
  <si>
    <t>(074) 99951-5552</t>
  </si>
  <si>
    <t>0220-0324</t>
  </si>
  <si>
    <t>MAURICIO DA SILVA GONCALVES</t>
  </si>
  <si>
    <t>VAJERAO SUPERMERCADO</t>
  </si>
  <si>
    <t>AV CAJAZEIRAS, 340</t>
  </si>
  <si>
    <t>VARIANTE 1</t>
  </si>
  <si>
    <t>-11.154610</t>
  </si>
  <si>
    <t>-41.819412</t>
  </si>
  <si>
    <t>(074) 09995-4676</t>
  </si>
  <si>
    <t>0220-0325</t>
  </si>
  <si>
    <t>ISTEFANE DE S NASCIMENTO</t>
  </si>
  <si>
    <t>SUPERM E HORTIFR VER</t>
  </si>
  <si>
    <t>RUA 2 DE JULHO, 204</t>
  </si>
  <si>
    <t>-11.228434</t>
  </si>
  <si>
    <t>-41.878946</t>
  </si>
  <si>
    <t>(074) 99804-9619</t>
  </si>
  <si>
    <t>0220-0326</t>
  </si>
  <si>
    <t>74 ACAIDEIRA      01</t>
  </si>
  <si>
    <t>RUA 7 DE SETEMBRO, 298</t>
  </si>
  <si>
    <t>-11.227795</t>
  </si>
  <si>
    <t>-41.877203</t>
  </si>
  <si>
    <t>(074) 99817-9987</t>
  </si>
  <si>
    <t>0220-0327</t>
  </si>
  <si>
    <t>ROMULO LIMA SANTANA</t>
  </si>
  <si>
    <t>MERCADO DISTRI BENIC</t>
  </si>
  <si>
    <t>RUA ANTONIO PEREIRA, 559</t>
  </si>
  <si>
    <t>MANCAMBAO</t>
  </si>
  <si>
    <t>-11.226633</t>
  </si>
  <si>
    <t>-41.869874</t>
  </si>
  <si>
    <t>(074) 99972-0869</t>
  </si>
  <si>
    <t>0220-0328</t>
  </si>
  <si>
    <t>JUSTINA FREITAS FORMIGA NETA</t>
  </si>
  <si>
    <t>ICE HAUSE</t>
  </si>
  <si>
    <t>PRC MINERVINO JOSE, 192</t>
  </si>
  <si>
    <t>-11.228158</t>
  </si>
  <si>
    <t>-41.877552</t>
  </si>
  <si>
    <t>(074) 99999-8184</t>
  </si>
  <si>
    <t>0220-0329</t>
  </si>
  <si>
    <t>JOSIANA FRANCISCA DOS SANTOS</t>
  </si>
  <si>
    <t>HIPER MERCADO FILH03</t>
  </si>
  <si>
    <t>RUA 2 DE JULHO, 95</t>
  </si>
  <si>
    <t>-11.228509</t>
  </si>
  <si>
    <t>-41.878509</t>
  </si>
  <si>
    <t>(074) 99961-6021</t>
  </si>
  <si>
    <t>0220-0330</t>
  </si>
  <si>
    <t>HOSTIANIANA ROSA PEREIRA</t>
  </si>
  <si>
    <t>MERCADINHO MARIA  01</t>
  </si>
  <si>
    <t>PRC MANOEL OLIMPIO, 21</t>
  </si>
  <si>
    <t>MACANBAO I</t>
  </si>
  <si>
    <t>-11.225265</t>
  </si>
  <si>
    <t>-41.862041</t>
  </si>
  <si>
    <t>(074) 99971-8608</t>
  </si>
  <si>
    <t>0220-0332</t>
  </si>
  <si>
    <t>CARLOS ALBERTO ALVES BARRETO</t>
  </si>
  <si>
    <t>ATAVADISTA BARRETO</t>
  </si>
  <si>
    <t>RUA ODILON DURAES, 20</t>
  </si>
  <si>
    <t>SAO GABRIL/SAO GABRI</t>
  </si>
  <si>
    <t>-11.227775</t>
  </si>
  <si>
    <t>-41.877286</t>
  </si>
  <si>
    <t>0221-0001</t>
  </si>
  <si>
    <t>MARIA DAS GRACAS G.OLIVEIRA</t>
  </si>
  <si>
    <t>MERCADO LUIZA 02</t>
  </si>
  <si>
    <t>RUA RUA SAO JOSE S</t>
  </si>
  <si>
    <t>CAMPO ALEGRE</t>
  </si>
  <si>
    <t>-12.085834</t>
  </si>
  <si>
    <t>-41.608890</t>
  </si>
  <si>
    <t>(071) 99221-9586</t>
  </si>
  <si>
    <t>0221-0003</t>
  </si>
  <si>
    <t>REINALDO JOSE DE SOUZA</t>
  </si>
  <si>
    <t>MERCADO RENATA</t>
  </si>
  <si>
    <t>RUA RUA DA NATA, 574</t>
  </si>
  <si>
    <t>MORRINHO DE CIMA</t>
  </si>
  <si>
    <t>-12.079733</t>
  </si>
  <si>
    <t>-41.600740</t>
  </si>
  <si>
    <t>(075) 09187-3895</t>
  </si>
  <si>
    <t>0221-0004</t>
  </si>
  <si>
    <t>SEBASTIAO DIAS DE ARAUJO</t>
  </si>
  <si>
    <t>ESPETINHO SO O OURO</t>
  </si>
  <si>
    <t>RUA BARNABE GASPAR RUA, 99991</t>
  </si>
  <si>
    <t>-12.088790</t>
  </si>
  <si>
    <t>-41.647880</t>
  </si>
  <si>
    <t>(075) 98212-9148</t>
  </si>
  <si>
    <t>0221-0010</t>
  </si>
  <si>
    <t>AURINDO GOMES DOS ANJOS</t>
  </si>
  <si>
    <t>MERCADINHO ANJOS</t>
  </si>
  <si>
    <t>RUA RUA JOSE VENCESLAU</t>
  </si>
  <si>
    <t>-12.093183</t>
  </si>
  <si>
    <t>-41.648150</t>
  </si>
  <si>
    <t>(075) 99171-7265</t>
  </si>
  <si>
    <t>0221-0014</t>
  </si>
  <si>
    <t>ROSELI GONCALVES DE SOUZA</t>
  </si>
  <si>
    <t>MERC BOM JESUS</t>
  </si>
  <si>
    <t>PRC JUTAHI MAGUALHAES, 78</t>
  </si>
  <si>
    <t>-12.089579</t>
  </si>
  <si>
    <t>-41.648060</t>
  </si>
  <si>
    <t>(075) 99151-0403</t>
  </si>
  <si>
    <t>0221-0015</t>
  </si>
  <si>
    <t>RAIMUNDA ROSA DE SOUZA</t>
  </si>
  <si>
    <t>MERCADO BARBOSA</t>
  </si>
  <si>
    <t>RUA JUTAHY MAGALHAES R, 166</t>
  </si>
  <si>
    <t>-12.089611</t>
  </si>
  <si>
    <t>-41.648083</t>
  </si>
  <si>
    <t>(075) 99180-8143</t>
  </si>
  <si>
    <t>0221-0016</t>
  </si>
  <si>
    <t>VALTERNEI NEVES DOS SANTOS</t>
  </si>
  <si>
    <t>MERCADO FORUM</t>
  </si>
  <si>
    <t>RUA JUTAHY MAGALHAES R</t>
  </si>
  <si>
    <t>-12.089535</t>
  </si>
  <si>
    <t>-41.647743</t>
  </si>
  <si>
    <t>(071) 99188-2965</t>
  </si>
  <si>
    <t>0221-0022</t>
  </si>
  <si>
    <t>VANDERLINO RODRIGUES GOMES</t>
  </si>
  <si>
    <t>BAR E MERCADO VANDER</t>
  </si>
  <si>
    <t>POV DE POVOADO ARSENIO</t>
  </si>
  <si>
    <t>POV ARSENIO</t>
  </si>
  <si>
    <t>-12.065386</t>
  </si>
  <si>
    <t>-41.599216</t>
  </si>
  <si>
    <t>(075) 99138-4213</t>
  </si>
  <si>
    <t>0221-0023</t>
  </si>
  <si>
    <t>EDIMAR DE LIMA ALVES</t>
  </si>
  <si>
    <t>ACOUGUE E MERC MN</t>
  </si>
  <si>
    <t>PRC DO PRACA MERCADAO</t>
  </si>
  <si>
    <t>-12.091535</t>
  </si>
  <si>
    <t>-41.651245</t>
  </si>
  <si>
    <t>(071) 99279-5178</t>
  </si>
  <si>
    <t>0221-0028</t>
  </si>
  <si>
    <t>GILBERTO ARAUJO VIEIRA</t>
  </si>
  <si>
    <t>MERCADO VIEIRA</t>
  </si>
  <si>
    <t>RUA ANTONIO CARLOS MAGALHAES, 172</t>
  </si>
  <si>
    <t>SEGREDO</t>
  </si>
  <si>
    <t>-12.014167</t>
  </si>
  <si>
    <t>-41.668888</t>
  </si>
  <si>
    <t>(075) 99986-1565</t>
  </si>
  <si>
    <t>0221-0035</t>
  </si>
  <si>
    <t>RONILDO MEDEIROS DOS ANJOS</t>
  </si>
  <si>
    <t>PIZZARIA SI</t>
  </si>
  <si>
    <t>PRC PRACA BOM JESUS</t>
  </si>
  <si>
    <t>CISTERNA S SOAR</t>
  </si>
  <si>
    <t>-11.929616</t>
  </si>
  <si>
    <t>-41.853050</t>
  </si>
  <si>
    <t>(075) 99982-4899</t>
  </si>
  <si>
    <t>0221-0037</t>
  </si>
  <si>
    <t>EDSON JOSE DO NASCIMENTO</t>
  </si>
  <si>
    <t>PENSAO NR</t>
  </si>
  <si>
    <t>PRC PRACA MANOEL TEIXEIRA LEI, 27</t>
  </si>
  <si>
    <t>-12.091222</t>
  </si>
  <si>
    <t>-41.647280</t>
  </si>
  <si>
    <t>(075) 99130-9957</t>
  </si>
  <si>
    <t>0221-0048</t>
  </si>
  <si>
    <t>AURORA LOPES DE SOUZA</t>
  </si>
  <si>
    <t>MERCADINHO OLIVEIR06</t>
  </si>
  <si>
    <t>POV PAU FERRO, 9992</t>
  </si>
  <si>
    <t>POV PAU FERRO</t>
  </si>
  <si>
    <t>-12.137041</t>
  </si>
  <si>
    <t>-41.611168</t>
  </si>
  <si>
    <t>(075) 99916-6345</t>
  </si>
  <si>
    <t>0221-0054</t>
  </si>
  <si>
    <t>JENILSON DOS ANJOS SANTOS</t>
  </si>
  <si>
    <t>ADEGA E ACOUGUE ZE L</t>
  </si>
  <si>
    <t>PRC PRACA DO COMERCIO, 28</t>
  </si>
  <si>
    <t>CISTERNA</t>
  </si>
  <si>
    <t>-11.928717</t>
  </si>
  <si>
    <t>-41.856125</t>
  </si>
  <si>
    <t>(075) 99799-6612</t>
  </si>
  <si>
    <t>0221-0059</t>
  </si>
  <si>
    <t>SEIXAS SA TELES SILVA</t>
  </si>
  <si>
    <t>MERCADINHO SATELES</t>
  </si>
  <si>
    <t>PRC AGRIPINO MENDES, 32</t>
  </si>
  <si>
    <t>POV SEGREDO</t>
  </si>
  <si>
    <t>-12.016534</t>
  </si>
  <si>
    <t>-41.668040</t>
  </si>
  <si>
    <t>(077) 99205-9522</t>
  </si>
  <si>
    <t>0221-0069</t>
  </si>
  <si>
    <t>LUSINEIA ROSA EVANGELISTA</t>
  </si>
  <si>
    <t>MERCADO ESQUINA</t>
  </si>
  <si>
    <t>RUA RUA BARAUNA, 9</t>
  </si>
  <si>
    <t>POVOADO CAMPO ALEGRE</t>
  </si>
  <si>
    <t>-12.086177</t>
  </si>
  <si>
    <t>-41.608948</t>
  </si>
  <si>
    <t>(075) 99223-8499</t>
  </si>
  <si>
    <t>0221-0078</t>
  </si>
  <si>
    <t>VANILSON MIGUEL DE SOUZA</t>
  </si>
  <si>
    <t>MERCADO S CRISTOVAO</t>
  </si>
  <si>
    <t>RUA BARNABE GASPAR, 30</t>
  </si>
  <si>
    <t>-12.089107</t>
  </si>
  <si>
    <t>-41.647870</t>
  </si>
  <si>
    <t>(075) 99252-6704</t>
  </si>
  <si>
    <t>0221-0081</t>
  </si>
  <si>
    <t>JONAS FERREIRA DOS SANTOS</t>
  </si>
  <si>
    <t>DISTRIBUIDORA FERREI</t>
  </si>
  <si>
    <t>RUA PAU FERRO SN</t>
  </si>
  <si>
    <t>-12.137516</t>
  </si>
  <si>
    <t>-41.610725</t>
  </si>
  <si>
    <t>(075) 99239-3643</t>
  </si>
  <si>
    <t>0221-0086</t>
  </si>
  <si>
    <t>RONILSON DE SOUZA FERNANDES</t>
  </si>
  <si>
    <t>BAR DO XO</t>
  </si>
  <si>
    <t>POV POV PAU DE FERRO, 42</t>
  </si>
  <si>
    <t>-12.143539</t>
  </si>
  <si>
    <t>-41.616238</t>
  </si>
  <si>
    <t>(077) 99847-8218</t>
  </si>
  <si>
    <t>0221-0087</t>
  </si>
  <si>
    <t>GILDEMAR RIBEIRO DE SOUZA</t>
  </si>
  <si>
    <t>MERCADINHO GISOM</t>
  </si>
  <si>
    <t>POV POVOADO PAU FERRO, 530</t>
  </si>
  <si>
    <t>-12.140036</t>
  </si>
  <si>
    <t>-41.610058</t>
  </si>
  <si>
    <t>(075) 99115-2057</t>
  </si>
  <si>
    <t>0221-0095</t>
  </si>
  <si>
    <t>MAIRA SANTOS VIEIRA</t>
  </si>
  <si>
    <t>MARCAO CEREAIS</t>
  </si>
  <si>
    <t>RUA JOSE RODRIGUES COSTA</t>
  </si>
  <si>
    <t>-12.092469</t>
  </si>
  <si>
    <t>-41.648396</t>
  </si>
  <si>
    <t>(750) 09190-5516</t>
  </si>
  <si>
    <t>0221-0104</t>
  </si>
  <si>
    <t>IRES BATISTA DA SILVA SOUZA</t>
  </si>
  <si>
    <t>MERCADINHO SOS</t>
  </si>
  <si>
    <t>PRC PRACA 1 DE MAIO, 82</t>
  </si>
  <si>
    <t>-41.467224</t>
  </si>
  <si>
    <t>(074) 99982-1026</t>
  </si>
  <si>
    <t>0221-0107</t>
  </si>
  <si>
    <t>GILBERTO MARTINS DOS ANJOS JUNIOR</t>
  </si>
  <si>
    <t>PIZZARIA SABOROSA</t>
  </si>
  <si>
    <t>PRC AGRIPINO MENDES, 1</t>
  </si>
  <si>
    <t>-12.016726</t>
  </si>
  <si>
    <t>-41.668076</t>
  </si>
  <si>
    <t>(075) 98256-1480</t>
  </si>
  <si>
    <t>0221-0108</t>
  </si>
  <si>
    <t>EDIVALDO GASPAR DE SOUZA</t>
  </si>
  <si>
    <t>MERCADO NORDESTE</t>
  </si>
  <si>
    <t>RUA R ARAUJO, 45</t>
  </si>
  <si>
    <t>-12.086322</t>
  </si>
  <si>
    <t>-41.608624</t>
  </si>
  <si>
    <t>(075) 99866-5592</t>
  </si>
  <si>
    <t>0221-0109</t>
  </si>
  <si>
    <t>OBERLANDIO DOS ANJOS EVANGELISTA</t>
  </si>
  <si>
    <t>MERCADO DOIS IRMAOS</t>
  </si>
  <si>
    <t>RUA R SITIO DA PALMA, 189</t>
  </si>
  <si>
    <t>-12.088923</t>
  </si>
  <si>
    <t>-41.649870</t>
  </si>
  <si>
    <t>(075) 99141-4410</t>
  </si>
  <si>
    <t>0221-0113</t>
  </si>
  <si>
    <t>ALINE SOUZA MENDES SANTOS - ME</t>
  </si>
  <si>
    <t>RESTAURANTE AEROPOR</t>
  </si>
  <si>
    <t>ROD RODOVIA BA 122</t>
  </si>
  <si>
    <t>ZONA RURAL</t>
  </si>
  <si>
    <t>-12.094476</t>
  </si>
  <si>
    <t>-41.640778</t>
  </si>
  <si>
    <t>(077) 99973-9910</t>
  </si>
  <si>
    <t>0221-0114</t>
  </si>
  <si>
    <t>VERONICA ROSA DE SOUZA</t>
  </si>
  <si>
    <t>SUPERM COMPRE CERTO</t>
  </si>
  <si>
    <t>PRC PRACA DR OTTO ALENCAR</t>
  </si>
  <si>
    <t>-12.091275</t>
  </si>
  <si>
    <t>-41.651554</t>
  </si>
  <si>
    <t>(075) 99189-5221</t>
  </si>
  <si>
    <t>0221-0123</t>
  </si>
  <si>
    <t>ERNANDES DOS ANJOS OLIVEIRA</t>
  </si>
  <si>
    <t>PADARIA OLIVEIRA 04</t>
  </si>
  <si>
    <t>RUA RUA IDALINO PINTO, 331</t>
  </si>
  <si>
    <t>-12.093451</t>
  </si>
  <si>
    <t>(759) 99203-4256</t>
  </si>
  <si>
    <t>0221-0128</t>
  </si>
  <si>
    <t>MARCOS RODRIGUES DOS SANTOS</t>
  </si>
  <si>
    <t>CRIS SALGADOS 2</t>
  </si>
  <si>
    <t>RUA SIMPLICIANO LINS, 1</t>
  </si>
  <si>
    <t>-12.246670</t>
  </si>
  <si>
    <t>-41.616577</t>
  </si>
  <si>
    <t>0221-0132</t>
  </si>
  <si>
    <t>KAIQUE JOSE DOS SANTOS</t>
  </si>
  <si>
    <t>MERCADINHO OLIVEIR11</t>
  </si>
  <si>
    <t>AV AVENIDA DOMPEDROI, 45</t>
  </si>
  <si>
    <t>OUTRO LADO</t>
  </si>
  <si>
    <t>-12.086596</t>
  </si>
  <si>
    <t>-41.648586</t>
  </si>
  <si>
    <t>(075) 99204-9247</t>
  </si>
  <si>
    <t>0221-0133</t>
  </si>
  <si>
    <t>JULIO CESAR VIEIRA DE SOUSA</t>
  </si>
  <si>
    <t>LCH PZ FLOR D LIBANO</t>
  </si>
  <si>
    <t>RUA RUA ROSALVO FELIZ, 94</t>
  </si>
  <si>
    <t>-12.088481</t>
  </si>
  <si>
    <t>-41.649380</t>
  </si>
  <si>
    <t>(075) 99246-8739</t>
  </si>
  <si>
    <t>0221-0135</t>
  </si>
  <si>
    <t>ANTONIO CARLOS RIBEIRO DOS SANTOS</t>
  </si>
  <si>
    <t>LANCHONETE 2 IRMAO01</t>
  </si>
  <si>
    <t>RUA JOVELINO MENDES, 164</t>
  </si>
  <si>
    <t>-12.016328</t>
  </si>
  <si>
    <t>-41.669247</t>
  </si>
  <si>
    <t>(075) 99914-9119</t>
  </si>
  <si>
    <t>0221-0139</t>
  </si>
  <si>
    <t>WASHINGTON GASPAR DE SOUZA</t>
  </si>
  <si>
    <t>DIST NEGO DAGUA</t>
  </si>
  <si>
    <t>RUA RUA DA BARRIGUDA, 72</t>
  </si>
  <si>
    <t>-12.089167</t>
  </si>
  <si>
    <t>-41.648613</t>
  </si>
  <si>
    <t>(075) 99176-7661</t>
  </si>
  <si>
    <t>0221-0144</t>
  </si>
  <si>
    <t>LAERTE OLIVEIRA BARBOSA</t>
  </si>
  <si>
    <t>COMERCIAL OLIVEIRA04</t>
  </si>
  <si>
    <t>POV POVOADO CISTERNA, 999</t>
  </si>
  <si>
    <t>POVOADO CISTERNA</t>
  </si>
  <si>
    <t>-11.928780</t>
  </si>
  <si>
    <t>-41.856327</t>
  </si>
  <si>
    <t>(074) 99981-6979</t>
  </si>
  <si>
    <t>0221-0145</t>
  </si>
  <si>
    <t>JOAQUIM ALVES DE MEDEIROS</t>
  </si>
  <si>
    <t>MERCADO MEDEIROS</t>
  </si>
  <si>
    <t>PRC PACA BOM JESUS, 9995</t>
  </si>
  <si>
    <t>-11.928489</t>
  </si>
  <si>
    <t>-41.855446</t>
  </si>
  <si>
    <t>(075) 99874-6954</t>
  </si>
  <si>
    <t>0221-0147</t>
  </si>
  <si>
    <t>DOALDO RODRIGUES DE OLIVEIRA</t>
  </si>
  <si>
    <t>MERCADO SAO VICENT01</t>
  </si>
  <si>
    <t>RUA RUA RODRIGUES COSTA, 20</t>
  </si>
  <si>
    <t>-12.094167</t>
  </si>
  <si>
    <t>-41.651943</t>
  </si>
  <si>
    <t>(075) 99269-3520</t>
  </si>
  <si>
    <t>0221-0149</t>
  </si>
  <si>
    <t>EDMILSON DE JESUS LTDA</t>
  </si>
  <si>
    <t>MERC ENCONT DA ECONO</t>
  </si>
  <si>
    <t>RUA JOAO SOUTO SOAREES, 169</t>
  </si>
  <si>
    <t>-12.091463</t>
  </si>
  <si>
    <t>-41.649258</t>
  </si>
  <si>
    <t>(075) 99154-3055</t>
  </si>
  <si>
    <t>0221-0150</t>
  </si>
  <si>
    <t>MARIVAN ROSA DOS ANJOS</t>
  </si>
  <si>
    <t>MERCADO DEQUIX</t>
  </si>
  <si>
    <t>RUA RUA BOM JARDIM, 9995</t>
  </si>
  <si>
    <t>-11.928883</t>
  </si>
  <si>
    <t>-41.856430</t>
  </si>
  <si>
    <t>(075) 99807-6722</t>
  </si>
  <si>
    <t>0221-0154</t>
  </si>
  <si>
    <t>HENRIQUE EVANGELISTA DE ARAUJO</t>
  </si>
  <si>
    <t>IMPORIO DAS BEBIDAS</t>
  </si>
  <si>
    <t>AV AVENIDA HELENA SAMPAIO, 450</t>
  </si>
  <si>
    <t>-12.087247</t>
  </si>
  <si>
    <t>-41.648660</t>
  </si>
  <si>
    <t>(074) 99136-8344</t>
  </si>
  <si>
    <t>0221-0155</t>
  </si>
  <si>
    <t>GABRIEL JESUS DE SOUZA</t>
  </si>
  <si>
    <t>BIEL BEBIDAS DIST</t>
  </si>
  <si>
    <t>RUA RUA DO CONTORNO, 9989</t>
  </si>
  <si>
    <t>-12.087482</t>
  </si>
  <si>
    <t>-41.648937</t>
  </si>
  <si>
    <t>(075) 98188-1294</t>
  </si>
  <si>
    <t>0221-0160</t>
  </si>
  <si>
    <t>HENRIQUE FERNANDES ARAUJO</t>
  </si>
  <si>
    <t>MERCADO ARAUJO    01</t>
  </si>
  <si>
    <t>PRC PRACA DR OTTO ALENCAR, 160</t>
  </si>
  <si>
    <t>-12.092096</t>
  </si>
  <si>
    <t>-41.650800</t>
  </si>
  <si>
    <t>(075) 99200-9692</t>
  </si>
  <si>
    <t>0221-0163</t>
  </si>
  <si>
    <t>JEFERSON NOVAIS DE SOUZA</t>
  </si>
  <si>
    <t>SALGADERIA NOVAIS</t>
  </si>
  <si>
    <t>POV POVOADO CAMPO ALEGRE</t>
  </si>
  <si>
    <t>-12.086396</t>
  </si>
  <si>
    <t>-41.608612</t>
  </si>
  <si>
    <t>(011) 95927-0323</t>
  </si>
  <si>
    <t>0221-0164</t>
  </si>
  <si>
    <t>MARIA DE FATIMA SOUZA NOVAIS</t>
  </si>
  <si>
    <t>MERCEARIA DA ECONOMI</t>
  </si>
  <si>
    <t>RUA RUA ANTONIO NEVESS, 12</t>
  </si>
  <si>
    <t>-12.091468</t>
  </si>
  <si>
    <t>-41.649220</t>
  </si>
  <si>
    <t>0221-0167</t>
  </si>
  <si>
    <t>HENRIQUE MIRANDA ARAUJO</t>
  </si>
  <si>
    <t>PASTELARIA RICO SABO</t>
  </si>
  <si>
    <t>RUA RUA ROSALVO FELIX, 230</t>
  </si>
  <si>
    <t>-12.090390</t>
  </si>
  <si>
    <t>-41.650223</t>
  </si>
  <si>
    <t>(074) 99104-6266</t>
  </si>
  <si>
    <t>0221-0169</t>
  </si>
  <si>
    <t>ALANA ALVES FERREIRA</t>
  </si>
  <si>
    <t>HORA DO LANCHE</t>
  </si>
  <si>
    <t>RUA IDALINA PINTO, 131</t>
  </si>
  <si>
    <t>-12.091723</t>
  </si>
  <si>
    <t>-41.648678</t>
  </si>
  <si>
    <t>(075) 99227-7216</t>
  </si>
  <si>
    <t>0221-0170</t>
  </si>
  <si>
    <t>REGINALDO SOUZA TEIXEIRA</t>
  </si>
  <si>
    <t>SNUKA BAR</t>
  </si>
  <si>
    <t>RUA RUA DO CONTORNO, 313 / B</t>
  </si>
  <si>
    <t>-12.015113</t>
  </si>
  <si>
    <t>-41.669678</t>
  </si>
  <si>
    <t>(075) 98186-4358</t>
  </si>
  <si>
    <t>0221-0171</t>
  </si>
  <si>
    <t>ELVIS TEIXEIRA DE SOUZA</t>
  </si>
  <si>
    <t>EMILIA BURGUER</t>
  </si>
  <si>
    <t>PRC PRACA ABEL MEDEIROS</t>
  </si>
  <si>
    <t>EMILIA / SOUTO SOARE</t>
  </si>
  <si>
    <t>-11.929580</t>
  </si>
  <si>
    <t>-41.852436</t>
  </si>
  <si>
    <t>(075) 99872-0997</t>
  </si>
  <si>
    <t>0221-0173</t>
  </si>
  <si>
    <t>TAIRINE MEDEIROS OLIVEIRA</t>
  </si>
  <si>
    <t>ADEGA GAMAS       01</t>
  </si>
  <si>
    <t>RUA 07 DE SETEMBRO, 87</t>
  </si>
  <si>
    <t>GAMELEIRA/GAMELEIRA</t>
  </si>
  <si>
    <t>-11.911297</t>
  </si>
  <si>
    <t>-41.745449</t>
  </si>
  <si>
    <t>(074) 99984-7767</t>
  </si>
  <si>
    <t>0221-0174</t>
  </si>
  <si>
    <t>ALDELICIO JOSE DOS ANJOS</t>
  </si>
  <si>
    <t>DISTRIBUIDORA DELO B</t>
  </si>
  <si>
    <t>PRA PRACA DA MATRIZ, 115</t>
  </si>
  <si>
    <t>-12.086273</t>
  </si>
  <si>
    <t>-41.608560</t>
  </si>
  <si>
    <t>(075) 99241-9302</t>
  </si>
  <si>
    <t>0221-0175</t>
  </si>
  <si>
    <t>MARCOS DE ARAUJO EVANGELISTA</t>
  </si>
  <si>
    <t>KM YAKISOBA E SUSHI</t>
  </si>
  <si>
    <t>RUA DA LIBERDADE, 9988</t>
  </si>
  <si>
    <t>-12.087913</t>
  </si>
  <si>
    <t>-41.648556</t>
  </si>
  <si>
    <t>(011) 96439-5973</t>
  </si>
  <si>
    <t>0221-0176</t>
  </si>
  <si>
    <t>FREDSON DE SOUZA OLIVEIRA EVANGELISTA</t>
  </si>
  <si>
    <t>MERCADO NOVAIS    02</t>
  </si>
  <si>
    <t>RUA JOSE FERNANDES, 9999</t>
  </si>
  <si>
    <t>-41.649742</t>
  </si>
  <si>
    <t>(075) 99119-0953</t>
  </si>
  <si>
    <t>0221-0177</t>
  </si>
  <si>
    <t>ROGERIO MONZINI OLIVEIRA</t>
  </si>
  <si>
    <t>MERCADO E ACOUGUE M</t>
  </si>
  <si>
    <t>PRC PRACA BOM JESUS SN</t>
  </si>
  <si>
    <t>CISTERNA/ SOUTO SOAR</t>
  </si>
  <si>
    <t>-11.928730</t>
  </si>
  <si>
    <t>-41.856130</t>
  </si>
  <si>
    <t>0221-0178</t>
  </si>
  <si>
    <t>MERCADO IOVANE LTDA</t>
  </si>
  <si>
    <t>GRUPO IOVANE</t>
  </si>
  <si>
    <t>RUA JUCELINO JOSE DE SOUZA, 44</t>
  </si>
  <si>
    <t>-11.929605</t>
  </si>
  <si>
    <t>-41.852352</t>
  </si>
  <si>
    <t>(075) 99916-5150</t>
  </si>
  <si>
    <t>0221-0179</t>
  </si>
  <si>
    <t>ANGELICA ROSA DOS SANTOS</t>
  </si>
  <si>
    <t>RESTA CHAP DE COURO</t>
  </si>
  <si>
    <t>AV HELENA SAMPAIO SN CASA</t>
  </si>
  <si>
    <t>-12.087392</t>
  </si>
  <si>
    <t>-41.648820</t>
  </si>
  <si>
    <t>(011) 97738-1093</t>
  </si>
  <si>
    <t>0221-0180</t>
  </si>
  <si>
    <t>JOSE SOUZA OLIVEIRA</t>
  </si>
  <si>
    <t>MERCADO MA E MARA</t>
  </si>
  <si>
    <t>RUA SOUTO SOARES</t>
  </si>
  <si>
    <t>-11.912373</t>
  </si>
  <si>
    <t>-41.864564</t>
  </si>
  <si>
    <t>(075) 99950-9941</t>
  </si>
  <si>
    <t>0221-0182</t>
  </si>
  <si>
    <t>JOZE PIRES DE OLIVEIRA</t>
  </si>
  <si>
    <t>CANTINHO DO ACAI</t>
  </si>
  <si>
    <t>PRC JUNTHY MAGALHAES, 84</t>
  </si>
  <si>
    <t>-12.089463</t>
  </si>
  <si>
    <t>-41.647412</t>
  </si>
  <si>
    <t>(075) 09273-2301</t>
  </si>
  <si>
    <t>0221-0183</t>
  </si>
  <si>
    <t>DISTRIBUIDORA DE BEBIDAS IOVANE LTDA</t>
  </si>
  <si>
    <t>GRUPO IOVANE      01</t>
  </si>
  <si>
    <t>PRC IR, 3</t>
  </si>
  <si>
    <t>-11.929587</t>
  </si>
  <si>
    <t>-41.852428</t>
  </si>
  <si>
    <t>(075) 99711-6788</t>
  </si>
  <si>
    <t>0221-0184</t>
  </si>
  <si>
    <t>ANDERSON MARTINS DOS SANTOS</t>
  </si>
  <si>
    <t>BIROS BURGUER</t>
  </si>
  <si>
    <t>RUA RUA CIRO TEIXEIRA, 69</t>
  </si>
  <si>
    <t>-12.015357</t>
  </si>
  <si>
    <t>-41.668196</t>
  </si>
  <si>
    <t>(073) 98110-2903</t>
  </si>
  <si>
    <t>0221-0185</t>
  </si>
  <si>
    <t>IEZA SILVA BOAVENTURA</t>
  </si>
  <si>
    <t>IEZA SILVA BOAVENTUR</t>
  </si>
  <si>
    <t>AR RURAL DE SOUTO SOARES, 293</t>
  </si>
  <si>
    <t>AR RURAL DE SOUTO SO</t>
  </si>
  <si>
    <t>-12.015952</t>
  </si>
  <si>
    <t>-41.669098</t>
  </si>
  <si>
    <t>(071) 99631-3252</t>
  </si>
  <si>
    <t>0222-0003</t>
  </si>
  <si>
    <t>OBIDALIA F DE ARAUJO</t>
  </si>
  <si>
    <t>MERCADINHO SANTANA</t>
  </si>
  <si>
    <t>TAPIRAMUTA</t>
  </si>
  <si>
    <t>AV ACM TRAV PORTO FELIZ</t>
  </si>
  <si>
    <t>PORTO FELIZ</t>
  </si>
  <si>
    <t>-11.755872</t>
  </si>
  <si>
    <t>-40.713570</t>
  </si>
  <si>
    <t>(740) 09948-9535</t>
  </si>
  <si>
    <t>0222-0016</t>
  </si>
  <si>
    <t>DILEIA DE BARROS ALMEIDA</t>
  </si>
  <si>
    <t>COMERCIAL BENDIL</t>
  </si>
  <si>
    <t>AV DR JOSE NERY, 90</t>
  </si>
  <si>
    <t>-11.849263</t>
  </si>
  <si>
    <t>-40.791180</t>
  </si>
  <si>
    <t>(740) 03635-2270</t>
  </si>
  <si>
    <t>0222-0021</t>
  </si>
  <si>
    <t>ESPERA DANTA DISTRIBUIDORA</t>
  </si>
  <si>
    <t>ESPEDIBA</t>
  </si>
  <si>
    <t>RUA DR OTAVIO MANGABEIRA, 14</t>
  </si>
  <si>
    <t>-11.848080</t>
  </si>
  <si>
    <t>-40.790047</t>
  </si>
  <si>
    <t>(074) 99910-4863</t>
  </si>
  <si>
    <t>0222-0022</t>
  </si>
  <si>
    <t>NERY E VIEIRA LTDA</t>
  </si>
  <si>
    <t>MERC NEVIL</t>
  </si>
  <si>
    <t>RUA OTAVIO MANGABEIRA, 17</t>
  </si>
  <si>
    <t>-11.848098</t>
  </si>
  <si>
    <t>-40.790016</t>
  </si>
  <si>
    <t>(074) 00635-2206</t>
  </si>
  <si>
    <t>0222-0024</t>
  </si>
  <si>
    <t>AMILTON BARRETO PORTO</t>
  </si>
  <si>
    <t>MERCEARIA BARRETO</t>
  </si>
  <si>
    <t>PRC PCA ACM</t>
  </si>
  <si>
    <t>-11.757095</t>
  </si>
  <si>
    <t>-40.712437</t>
  </si>
  <si>
    <t>(740) 09976-1635</t>
  </si>
  <si>
    <t>0222-0031</t>
  </si>
  <si>
    <t>JOAO RODRIGUES DA SILVA</t>
  </si>
  <si>
    <t>BAR FLAMENGO</t>
  </si>
  <si>
    <t>PRC DA PRACA VITORIO, 499</t>
  </si>
  <si>
    <t>-11.843220</t>
  </si>
  <si>
    <t>-40.798317</t>
  </si>
  <si>
    <t>(077) 98148-2059</t>
  </si>
  <si>
    <t>0222-0032</t>
  </si>
  <si>
    <t>SUPERMERCADO SHOINIX LTDA</t>
  </si>
  <si>
    <t>SUPERMERCADO SHOINIX</t>
  </si>
  <si>
    <t>PRC PRACA HILARIO BISPO DOS</t>
  </si>
  <si>
    <t>-11.848744</t>
  </si>
  <si>
    <t>-40.793023</t>
  </si>
  <si>
    <t>(074) 03635-2208</t>
  </si>
  <si>
    <t>0222-0033</t>
  </si>
  <si>
    <t>DOURIVAL PEREIRA DA SILVA</t>
  </si>
  <si>
    <t>PANIFICADORA 2 IRMAO</t>
  </si>
  <si>
    <t>PRC PRACA VITORIA, 37</t>
  </si>
  <si>
    <t>-11.851358</t>
  </si>
  <si>
    <t>-40.785910</t>
  </si>
  <si>
    <t>(074) 98100-5922</t>
  </si>
  <si>
    <t>0222-0035</t>
  </si>
  <si>
    <t>TEREZINHA QUEIROZ TEIXEIRA</t>
  </si>
  <si>
    <t>MERCEARIA STA TEREZI</t>
  </si>
  <si>
    <t>AV RUA ACM, 142</t>
  </si>
  <si>
    <t>-11.846111</t>
  </si>
  <si>
    <t>-40.797500</t>
  </si>
  <si>
    <t>(074) 03635-2325</t>
  </si>
  <si>
    <t>0222-0037</t>
  </si>
  <si>
    <t>GENIVAL OLIVEIRA DE AMORIM</t>
  </si>
  <si>
    <t>BAR DE ODECI</t>
  </si>
  <si>
    <t>RUA RUA ALTO, 3</t>
  </si>
  <si>
    <t>MIRASERRA</t>
  </si>
  <si>
    <t>-11.681389</t>
  </si>
  <si>
    <t>-40.849724</t>
  </si>
  <si>
    <t>(740) 99811-1679</t>
  </si>
  <si>
    <t>0222-0038</t>
  </si>
  <si>
    <t>IDAILSON ALVES DA SILVA</t>
  </si>
  <si>
    <t>BAR E MERCEARIA DO I</t>
  </si>
  <si>
    <t>RUA DO RUA PALMEIRAO</t>
  </si>
  <si>
    <t>-11.853333</t>
  </si>
  <si>
    <t>-40.788334</t>
  </si>
  <si>
    <t>(740) 03635-2431</t>
  </si>
  <si>
    <t>0222-0039</t>
  </si>
  <si>
    <t>QUERIESE CHAVES ANUNCIACAO</t>
  </si>
  <si>
    <t>MERCADINHO Q 1</t>
  </si>
  <si>
    <t>RUA DO RUA POCO, 27</t>
  </si>
  <si>
    <t>-11.844280</t>
  </si>
  <si>
    <t>-40.795467</t>
  </si>
  <si>
    <t>(740) 03635-2675</t>
  </si>
  <si>
    <t>0222-0040</t>
  </si>
  <si>
    <t>JANILTON BRANDAO OLIVEIRA</t>
  </si>
  <si>
    <t>BAR TABAJARA</t>
  </si>
  <si>
    <t>RUA RUA GETULIO VARGAS, 54</t>
  </si>
  <si>
    <t>-11.845924</t>
  </si>
  <si>
    <t>-40.798330</t>
  </si>
  <si>
    <t>(074) 98841-3615</t>
  </si>
  <si>
    <t>0222-0045</t>
  </si>
  <si>
    <t>LINDERVAL DE JESUS PEREIRA</t>
  </si>
  <si>
    <t>QUIOSQUE DO GALEGO</t>
  </si>
  <si>
    <t>PRC PRACA JOAO A DE OLIVEIRA, 37</t>
  </si>
  <si>
    <t>-11.847332</t>
  </si>
  <si>
    <t>-40.790120</t>
  </si>
  <si>
    <t>(074) 98121-0879</t>
  </si>
  <si>
    <t>0222-0055</t>
  </si>
  <si>
    <t>VANDERLEI JOSE CORREIA</t>
  </si>
  <si>
    <t>RESTAURANTE REVOADA</t>
  </si>
  <si>
    <t>RUA RUA MUNDO NOVO, 37</t>
  </si>
  <si>
    <t>-11.754974</t>
  </si>
  <si>
    <t>-40.712460</t>
  </si>
  <si>
    <t>(074) 99931-2771</t>
  </si>
  <si>
    <t>0222-0066</t>
  </si>
  <si>
    <t>JANETE SACRAMENTO CUNHA SANTOS</t>
  </si>
  <si>
    <t>REST SERVE BEM</t>
  </si>
  <si>
    <t>PRC PRACA DA FEIRA, 163 / 02220066</t>
  </si>
  <si>
    <t>-11.847500</t>
  </si>
  <si>
    <t>-40.791668</t>
  </si>
  <si>
    <t>(740) 08139-4639</t>
  </si>
  <si>
    <t>0222-0079</t>
  </si>
  <si>
    <t>FERNANDO ALVES DE ARAUJO RIOS</t>
  </si>
  <si>
    <t>MERCADINHO RIOS</t>
  </si>
  <si>
    <t>RUA RUA RUI BARBOSA, 183</t>
  </si>
  <si>
    <t>-11.850433</t>
  </si>
  <si>
    <t>-40.789467</t>
  </si>
  <si>
    <t>(074) 98132-1742</t>
  </si>
  <si>
    <t>0222-0082</t>
  </si>
  <si>
    <t>JAIME GOMES DE OLIVEIRA</t>
  </si>
  <si>
    <t>MINE MERCADO OLHE PR</t>
  </si>
  <si>
    <t>AV PRESIDENTE MEDDICCI, 368</t>
  </si>
  <si>
    <t>-40.795277</t>
  </si>
  <si>
    <t>(740) 08803-2366</t>
  </si>
  <si>
    <t>0222-0128</t>
  </si>
  <si>
    <t>DIOGENES ALMEIDA SANTOS</t>
  </si>
  <si>
    <t>VENDINHA DO DIOGENES</t>
  </si>
  <si>
    <t>POV VOLTA GRANDE</t>
  </si>
  <si>
    <t>-11.893717</t>
  </si>
  <si>
    <t>-40.881100</t>
  </si>
  <si>
    <t>(740) 09978-1903</t>
  </si>
  <si>
    <t>0222-0134</t>
  </si>
  <si>
    <t>ROBSON ALMEIDA DA SILVA</t>
  </si>
  <si>
    <t>MERC E ACOUGUE ROBSO</t>
  </si>
  <si>
    <t>PRC DERMIVAL R MARQUES, 84</t>
  </si>
  <si>
    <t>VOLTA GRANDE</t>
  </si>
  <si>
    <t>-11.892647</t>
  </si>
  <si>
    <t>-40.882040</t>
  </si>
  <si>
    <t>(074) 99920-4995</t>
  </si>
  <si>
    <t>0222-0139</t>
  </si>
  <si>
    <t>IVANITO QUEIROZ BARROS</t>
  </si>
  <si>
    <t>ANA DA GASOLINA</t>
  </si>
  <si>
    <t>AV AV 31 DE MARCO, 237</t>
  </si>
  <si>
    <t>-11.849902</t>
  </si>
  <si>
    <t>-40.788532</t>
  </si>
  <si>
    <t>(740) 03635-2244</t>
  </si>
  <si>
    <t>0222-0141</t>
  </si>
  <si>
    <t>ELOANES BARROS ALVES</t>
  </si>
  <si>
    <t>MERCADINHO SILVA 04</t>
  </si>
  <si>
    <t>RUA DO LARGO, 70</t>
  </si>
  <si>
    <t>DO CAMPO</t>
  </si>
  <si>
    <t>-11.848763</t>
  </si>
  <si>
    <t>-40.785866</t>
  </si>
  <si>
    <t>(740) 08822-6997</t>
  </si>
  <si>
    <t>0222-0161</t>
  </si>
  <si>
    <t>MISAEL ALVES OLIVEIRA</t>
  </si>
  <si>
    <t>CHURR E LANCH BARRET</t>
  </si>
  <si>
    <t>ROD BA 052 KM 214</t>
  </si>
  <si>
    <t>-11.758462</t>
  </si>
  <si>
    <t>-40.708138</t>
  </si>
  <si>
    <t>(075) 99831-6079</t>
  </si>
  <si>
    <t>0222-0172</t>
  </si>
  <si>
    <t>REGINALDO DOS SANTOS CONCEICAO</t>
  </si>
  <si>
    <t>LANCHONETE SANTOS 01</t>
  </si>
  <si>
    <t>TRV ANTONIO CARLOS MAGALHAES, 18</t>
  </si>
  <si>
    <t>-11.756111</t>
  </si>
  <si>
    <t>-40.713610</t>
  </si>
  <si>
    <t>(740) 09965-6785</t>
  </si>
  <si>
    <t>0222-0177</t>
  </si>
  <si>
    <t>VIVIANE MENDES QUEIROZ</t>
  </si>
  <si>
    <t>MERCADINHO SANTOS 10</t>
  </si>
  <si>
    <t>RUA RUA DO COLEGIO, 377</t>
  </si>
  <si>
    <t>-11.853108</t>
  </si>
  <si>
    <t>-40.787740</t>
  </si>
  <si>
    <t>(074) 98829-8926</t>
  </si>
  <si>
    <t>0222-0185</t>
  </si>
  <si>
    <t>EDELVIRA ALVES CORREIA</t>
  </si>
  <si>
    <t>LAMPIAO GASTRO BOM R</t>
  </si>
  <si>
    <t>ROD RODOVIA VOLTA GRANDE, 917</t>
  </si>
  <si>
    <t>-11.846642</t>
  </si>
  <si>
    <t>-40.799970</t>
  </si>
  <si>
    <t>(075) 99972-5540</t>
  </si>
  <si>
    <t>0222-0212</t>
  </si>
  <si>
    <t>FABIANA DE JESUS OLIVEIRA</t>
  </si>
  <si>
    <t>REST COMIDA CASEIR03</t>
  </si>
  <si>
    <t>AV AV ORLANDO CARNEIRO LIMA, 68</t>
  </si>
  <si>
    <t>-11.756068</t>
  </si>
  <si>
    <t>-40.710472</t>
  </si>
  <si>
    <t>(074) 99900-0026</t>
  </si>
  <si>
    <t>0222-0213</t>
  </si>
  <si>
    <t>GABRIEL FERREIRA DA SILVA</t>
  </si>
  <si>
    <t>MERCEARIA P FELIZ</t>
  </si>
  <si>
    <t>AV AVENIDA JOSE BATISTA VIANA NETO</t>
  </si>
  <si>
    <t>-11.755990</t>
  </si>
  <si>
    <t>-40.714115</t>
  </si>
  <si>
    <t>(074) 99985-5628</t>
  </si>
  <si>
    <t>0222-0218</t>
  </si>
  <si>
    <t>DARLETE SILVA DE AMORIM</t>
  </si>
  <si>
    <t>GL MERC 01</t>
  </si>
  <si>
    <t>AV TAPIRAMUTA</t>
  </si>
  <si>
    <t>-11.756893</t>
  </si>
  <si>
    <t>-40.714264</t>
  </si>
  <si>
    <t>(074) 99952-4487</t>
  </si>
  <si>
    <t>0222-0220</t>
  </si>
  <si>
    <t>WAGNER OLIVEIRA GOMES JUNIOR</t>
  </si>
  <si>
    <t>COMERCIAL GOMES</t>
  </si>
  <si>
    <t>RUA JAQUEIRA DA, 134</t>
  </si>
  <si>
    <t>-11.844722</t>
  </si>
  <si>
    <t>-40.793888</t>
  </si>
  <si>
    <t>(074) 98851-3339</t>
  </si>
  <si>
    <t>0222-0229</t>
  </si>
  <si>
    <t>LUCIA NEIDE ALVES ANTUNES</t>
  </si>
  <si>
    <t>RESTAURANTE LUCIA</t>
  </si>
  <si>
    <t>AV AVENIDA 27 DE JULHO, 800</t>
  </si>
  <si>
    <t>-11.847222</t>
  </si>
  <si>
    <t>(074) 98841-4458</t>
  </si>
  <si>
    <t>0222-0239</t>
  </si>
  <si>
    <t>DEBORA CANDIDO FERREIRA</t>
  </si>
  <si>
    <t>COMERCIAL MIX POPULA</t>
  </si>
  <si>
    <t>TRV TRAVESSA JOSE NERY, 70</t>
  </si>
  <si>
    <t>-11.848759</t>
  </si>
  <si>
    <t>-40.791412</t>
  </si>
  <si>
    <t>(074) 98851-4785</t>
  </si>
  <si>
    <t>0222-0242</t>
  </si>
  <si>
    <t>ELMO SANDRO DA SILVA MELO</t>
  </si>
  <si>
    <t>MERCADO MELO      01</t>
  </si>
  <si>
    <t>AV AV CAFEEIRA, 223</t>
  </si>
  <si>
    <t>-11.849661</t>
  </si>
  <si>
    <t>-40.792072</t>
  </si>
  <si>
    <t>(074) 98133-3960</t>
  </si>
  <si>
    <t>0222-0246</t>
  </si>
  <si>
    <t>ROSEANE MARINHO SANTOS</t>
  </si>
  <si>
    <t>MERC E PADARIA DEU E</t>
  </si>
  <si>
    <t>AV AVENIDA 27 DE JULHO, 295</t>
  </si>
  <si>
    <t>-11.846901</t>
  </si>
  <si>
    <t>-40.794075</t>
  </si>
  <si>
    <t>(074) 98102-1678</t>
  </si>
  <si>
    <t>0222-0247</t>
  </si>
  <si>
    <t>ELIENE DE JESUS SILVA</t>
  </si>
  <si>
    <t>MERCADO LARISSA</t>
  </si>
  <si>
    <t>RUA RUA TEOTONIO DE CARVALHO, 174</t>
  </si>
  <si>
    <t>-11.842739</t>
  </si>
  <si>
    <t>-40.796806</t>
  </si>
  <si>
    <t>(074) 98849-2601</t>
  </si>
  <si>
    <t>0222-0249</t>
  </si>
  <si>
    <t>JUCELINA PEREIRA DE ASSIS EIRELI</t>
  </si>
  <si>
    <t>C E D</t>
  </si>
  <si>
    <t>RUA RUA CAFE FILHO, 261</t>
  </si>
  <si>
    <t>-11.845180</t>
  </si>
  <si>
    <t>-40.793895</t>
  </si>
  <si>
    <t>(074) 98831-3168</t>
  </si>
  <si>
    <t>0222-0250</t>
  </si>
  <si>
    <t>JOSENILDA DE QUEIROZ COSTA</t>
  </si>
  <si>
    <t>MERCADINHO JT     02</t>
  </si>
  <si>
    <t>PRC PRACA DA VITORIA</t>
  </si>
  <si>
    <t>-11.842724</t>
  </si>
  <si>
    <t>-40.797897</t>
  </si>
  <si>
    <t>(074) 98835-7585</t>
  </si>
  <si>
    <t>0222-0251</t>
  </si>
  <si>
    <t>DIEGO FERREIRA DE OLIVEIRA</t>
  </si>
  <si>
    <t>VOVO CARLINDA SUPERM</t>
  </si>
  <si>
    <t>AV AVENIDA CASTRO ALVES, 70</t>
  </si>
  <si>
    <t>-11.846388</t>
  </si>
  <si>
    <t>-40.791046</t>
  </si>
  <si>
    <t>(074) 98841-2358</t>
  </si>
  <si>
    <t>0222-0254</t>
  </si>
  <si>
    <t>COM ATACADISTA E VAREJ DE ALIMENT MEDEIR</t>
  </si>
  <si>
    <t>MERCADO MEDEIROS  01</t>
  </si>
  <si>
    <t>PRC HILARIO BISPO DOS SANTOS, 120</t>
  </si>
  <si>
    <t>-11.849178</t>
  </si>
  <si>
    <t>-40.792520</t>
  </si>
  <si>
    <t>0222-0258</t>
  </si>
  <si>
    <t>ANTONIO CARLOS ALVES DOS SANTOS</t>
  </si>
  <si>
    <t>BAR PEGA BEM</t>
  </si>
  <si>
    <t>RUA RUA CASTELO BRANCO, 10</t>
  </si>
  <si>
    <t>-11.846397</t>
  </si>
  <si>
    <t>-40.799377</t>
  </si>
  <si>
    <t>(074) 98863-2538</t>
  </si>
  <si>
    <t>0222-0259</t>
  </si>
  <si>
    <t>NILTON HERMINIO DE JESUS</t>
  </si>
  <si>
    <t>MERCADO W L</t>
  </si>
  <si>
    <t>AV AVENIDA 31 DE MARCO 501, 501</t>
  </si>
  <si>
    <t>-11.851867</t>
  </si>
  <si>
    <t>-40.788277</t>
  </si>
  <si>
    <t>(074) 99999-3228</t>
  </si>
  <si>
    <t>0222-0263</t>
  </si>
  <si>
    <t>ADRIANO SILVA DE SOUZA</t>
  </si>
  <si>
    <t>RESTAURANTE DA ZEL</t>
  </si>
  <si>
    <t>RUA RUA MUNDO NOVOO, 21</t>
  </si>
  <si>
    <t>-11.850848</t>
  </si>
  <si>
    <t>-40.788180</t>
  </si>
  <si>
    <t>(074) 99927-9222</t>
  </si>
  <si>
    <t>0222-0265</t>
  </si>
  <si>
    <t>RAFAEL SOUZA SILVA</t>
  </si>
  <si>
    <t>AGUA VIVA BEER</t>
  </si>
  <si>
    <t>PRC PRACA COMERCIAL, 108</t>
  </si>
  <si>
    <t>-11.848186</t>
  </si>
  <si>
    <t>-40.791910</t>
  </si>
  <si>
    <t>(074) 99639-3019</t>
  </si>
  <si>
    <t>0222-0268</t>
  </si>
  <si>
    <t>LOPES DE SOUZA VAREGISTA DE ALIMENTOS E</t>
  </si>
  <si>
    <t>MERCADINHO DO ERI</t>
  </si>
  <si>
    <t>AV AVENIDA ACM 10, 310</t>
  </si>
  <si>
    <t>-11.844951</t>
  </si>
  <si>
    <t>-40.797806</t>
  </si>
  <si>
    <t>(074) 98107-8973</t>
  </si>
  <si>
    <t>0222-0273</t>
  </si>
  <si>
    <t>ROBERTO DOS ANJOS SANTOS LTDA</t>
  </si>
  <si>
    <t>MERCADINHO LUZ DIVIN</t>
  </si>
  <si>
    <t>TRV MARIANO ALVES, 145</t>
  </si>
  <si>
    <t>-11.848260</t>
  </si>
  <si>
    <t>-40.791496</t>
  </si>
  <si>
    <t>(074) 98824-5507</t>
  </si>
  <si>
    <t>0222-0274</t>
  </si>
  <si>
    <t>JOSE CARLOS RODRIGUES DE SOUZA SANTANA</t>
  </si>
  <si>
    <t>CASA DE CARNES JJ 01</t>
  </si>
  <si>
    <t>AV DR JOSE NERI, 199</t>
  </si>
  <si>
    <t>-11.846457</t>
  </si>
  <si>
    <t>-40.792460</t>
  </si>
  <si>
    <t>(074) 99900-5330</t>
  </si>
  <si>
    <t>0222-0276</t>
  </si>
  <si>
    <t>JOICE DE JESUS SANTOS</t>
  </si>
  <si>
    <t>SUPERMERCADO REAL BR</t>
  </si>
  <si>
    <t>RUA RUA NOVA, 74</t>
  </si>
  <si>
    <t>AREA RURAL/VOLTA GRA</t>
  </si>
  <si>
    <t>-11.896862</t>
  </si>
  <si>
    <t>-40.884556</t>
  </si>
  <si>
    <t>(074) 99955-7887</t>
  </si>
  <si>
    <t>0222-0279</t>
  </si>
  <si>
    <t>AUDIONE DE OLIVEIRA SANTOS</t>
  </si>
  <si>
    <t>SUPERMERCADO PONTO C</t>
  </si>
  <si>
    <t>AV AVENIDA DR JOSE NERI, 26</t>
  </si>
  <si>
    <t>-11.848200</t>
  </si>
  <si>
    <t>-40.791893</t>
  </si>
  <si>
    <t>(074) 98812-5051</t>
  </si>
  <si>
    <t>0222-0281</t>
  </si>
  <si>
    <t>RGS SUPERMERCADO LTDA</t>
  </si>
  <si>
    <t>MENOR PRECO SUPERMER</t>
  </si>
  <si>
    <t>RUA RUA OLAVO BILAC, 156</t>
  </si>
  <si>
    <t>-11.849026</t>
  </si>
  <si>
    <t>-40.791473</t>
  </si>
  <si>
    <t>(074) 99950-7016</t>
  </si>
  <si>
    <t>0222-0283</t>
  </si>
  <si>
    <t>JJAILSON OLIVEIRA MATOS</t>
  </si>
  <si>
    <t>PADARIA MATOS</t>
  </si>
  <si>
    <t>RUA AV JOSE BATISTA V NETO, 31</t>
  </si>
  <si>
    <t>-11.755653</t>
  </si>
  <si>
    <t>-40.713267</t>
  </si>
  <si>
    <t>(011) 98828-4186</t>
  </si>
  <si>
    <t>0222-0285</t>
  </si>
  <si>
    <t>LANCHONETE E PIZZARIA ALENCAR LTDA</t>
  </si>
  <si>
    <t>LANCH PIZZA ALENCAR</t>
  </si>
  <si>
    <t>AV DR JOSE NERY, 57</t>
  </si>
  <si>
    <t>-11.848947</t>
  </si>
  <si>
    <t>-40.791219</t>
  </si>
  <si>
    <t>(074) 09956-8446</t>
  </si>
  <si>
    <t>0222-0286</t>
  </si>
  <si>
    <t>RONIVAL SILVA MENDES</t>
  </si>
  <si>
    <t>COMERCIAL PEROLA  02</t>
  </si>
  <si>
    <t>PRC PRACA HILARIO BISPO DOS SANTOS, 80</t>
  </si>
  <si>
    <t>-11.848430</t>
  </si>
  <si>
    <t>-40.792647</t>
  </si>
  <si>
    <t>(074) 98824-7522</t>
  </si>
  <si>
    <t>0222-0288</t>
  </si>
  <si>
    <t>GUSTAVO GONSALVES DOS SANTOS</t>
  </si>
  <si>
    <t>COMERCIAL GE</t>
  </si>
  <si>
    <t>RUA RUA DO LARGO, 94</t>
  </si>
  <si>
    <t>BAIRRO DO CAMPO</t>
  </si>
  <si>
    <t>-11.848448</t>
  </si>
  <si>
    <t>-40.785872</t>
  </si>
  <si>
    <t>(074) 98116-1282</t>
  </si>
  <si>
    <t>0223-0002</t>
  </si>
  <si>
    <t>LISETE PEREIRA DA ROCHA ME</t>
  </si>
  <si>
    <t>COMERCIAL FOME ZERO</t>
  </si>
  <si>
    <t>AV AV DUQUE DE CAXIAS, 190</t>
  </si>
  <si>
    <t>-11.336213</t>
  </si>
  <si>
    <t>-42.133590</t>
  </si>
  <si>
    <t>(740) 98872-3618</t>
  </si>
  <si>
    <t>0223-0003</t>
  </si>
  <si>
    <t>LENILTO RIBEIRO ROCHA</t>
  </si>
  <si>
    <t>DICOS BAR</t>
  </si>
  <si>
    <t>PRC DO COMERCIO, 220</t>
  </si>
  <si>
    <t>-11.335203</t>
  </si>
  <si>
    <t>-42.134426</t>
  </si>
  <si>
    <t>(074) 98833-1353</t>
  </si>
  <si>
    <t>0223-0006</t>
  </si>
  <si>
    <t>CLAUDIA CARVALHO LEVI</t>
  </si>
  <si>
    <t>MAIS BARATO SUPERMER</t>
  </si>
  <si>
    <t>AV AV PRES DUTRA, 510</t>
  </si>
  <si>
    <t>-11.336108</t>
  </si>
  <si>
    <t>-42.134380</t>
  </si>
  <si>
    <t>(074) 03649-1160</t>
  </si>
  <si>
    <t>0223-0007</t>
  </si>
  <si>
    <t>JOSAFA RODRIGUES DOS SANTOS</t>
  </si>
  <si>
    <t>BAR UIBAI</t>
  </si>
  <si>
    <t>AV VENCESLAU PEREIRA MACHADO, 583</t>
  </si>
  <si>
    <t>-11.334288</t>
  </si>
  <si>
    <t>-42.130564</t>
  </si>
  <si>
    <t>(740) 09953-4020</t>
  </si>
  <si>
    <t>0223-0013</t>
  </si>
  <si>
    <t>LUCAS AMORIM ALMEIDA</t>
  </si>
  <si>
    <t>RESTAURANTE DO GIL</t>
  </si>
  <si>
    <t>RUA RUA RAUL JOAQUIM MACHADO, 427</t>
  </si>
  <si>
    <t>-11.333809</t>
  </si>
  <si>
    <t>-42.134052</t>
  </si>
  <si>
    <t>(740) 98852-2315</t>
  </si>
  <si>
    <t>0223-0014</t>
  </si>
  <si>
    <t>EDINALVA NUNES NEIVA</t>
  </si>
  <si>
    <t>SUPERMERCADO ESTACAO</t>
  </si>
  <si>
    <t>RUA DE DUQUE CAXIAS, 191</t>
  </si>
  <si>
    <t>-11.336331</t>
  </si>
  <si>
    <t>-42.133747</t>
  </si>
  <si>
    <t>(074) 98862-2709</t>
  </si>
  <si>
    <t>0223-0017</t>
  </si>
  <si>
    <t>NOELIA NOVAIS FERREIRA</t>
  </si>
  <si>
    <t>VAVA MINE QUITANDA</t>
  </si>
  <si>
    <t>AV AVENIDA P DUTRA, 94</t>
  </si>
  <si>
    <t>-11.335274</t>
  </si>
  <si>
    <t>-42.131763</t>
  </si>
  <si>
    <t>(074) 98812-4812</t>
  </si>
  <si>
    <t>0223-0028</t>
  </si>
  <si>
    <t>ADEILTON FERREIRA CARVALHO</t>
  </si>
  <si>
    <t>MERC MIRA</t>
  </si>
  <si>
    <t>PRC DO PRACA COMERCIO / CASA</t>
  </si>
  <si>
    <t>-11.335673</t>
  </si>
  <si>
    <t>-42.133972</t>
  </si>
  <si>
    <t>(074) 98848-0960</t>
  </si>
  <si>
    <t>0223-0035</t>
  </si>
  <si>
    <t>IVANEI PIRES DO NASCIMENTO</t>
  </si>
  <si>
    <t>MERCADINHO DE IVAN</t>
  </si>
  <si>
    <t>RUA RUA SAO JOSE, 75</t>
  </si>
  <si>
    <t>CENTRO UIBAI</t>
  </si>
  <si>
    <t>-11.336977</t>
  </si>
  <si>
    <t>-42.135420</t>
  </si>
  <si>
    <t>(740) 03649-1385</t>
  </si>
  <si>
    <t>0223-0037</t>
  </si>
  <si>
    <t>ELIEZER ALCINO ROCHA</t>
  </si>
  <si>
    <t>BAR E REST ROCHA</t>
  </si>
  <si>
    <t>RUA DUQUE DE CAXIAS, 447</t>
  </si>
  <si>
    <t>-11.334275</t>
  </si>
  <si>
    <t>-42.134583</t>
  </si>
  <si>
    <t>(074) 98842-4753</t>
  </si>
  <si>
    <t>0223-0053</t>
  </si>
  <si>
    <t>ENI BISPO DA ROCHA</t>
  </si>
  <si>
    <t>MERC DA ENI</t>
  </si>
  <si>
    <t>PRC PRACA DA PINHA, 279</t>
  </si>
  <si>
    <t>-11.303073</t>
  </si>
  <si>
    <t>-42.046875</t>
  </si>
  <si>
    <t>(074) 98858-9213</t>
  </si>
  <si>
    <t>0223-0057</t>
  </si>
  <si>
    <t>ARLI ROCHA</t>
  </si>
  <si>
    <t>SUP SANTA RITA 2</t>
  </si>
  <si>
    <t>RUA RUA HIDROLANDIA SN</t>
  </si>
  <si>
    <t>HIDROLANDIA</t>
  </si>
  <si>
    <t>-11.260352</t>
  </si>
  <si>
    <t>-42.156513</t>
  </si>
  <si>
    <t>0223-0098</t>
  </si>
  <si>
    <t>ABENAIAS JOSE DOS SANTOS</t>
  </si>
  <si>
    <t>MERCADINHO LIDER  01</t>
  </si>
  <si>
    <t>RUA DOM PEDRO I, 994</t>
  </si>
  <si>
    <t>-11.332247</t>
  </si>
  <si>
    <t>-42.134580</t>
  </si>
  <si>
    <t>(400) 98808-0439</t>
  </si>
  <si>
    <t>0223-0104</t>
  </si>
  <si>
    <t>NATALI RIBEIRO DE SOUZA</t>
  </si>
  <si>
    <t>RESTAURANTE TATY</t>
  </si>
  <si>
    <t>RUA RUA D PEDRO II, 813</t>
  </si>
  <si>
    <t>-11.329918</t>
  </si>
  <si>
    <t>-42.134537</t>
  </si>
  <si>
    <t>(074) 98844-9844</t>
  </si>
  <si>
    <t>0223-0119</t>
  </si>
  <si>
    <t>JANDRO MOISINHO MENDES</t>
  </si>
  <si>
    <t>BAR DO JANDRO</t>
  </si>
  <si>
    <t>AV DUQUE DE CAIXIAS, 31</t>
  </si>
  <si>
    <t>-11.336142</t>
  </si>
  <si>
    <t>-42.133650</t>
  </si>
  <si>
    <t>(074) 08843-1411</t>
  </si>
  <si>
    <t>0223-0128</t>
  </si>
  <si>
    <t>REGINA ALVES MACHADO</t>
  </si>
  <si>
    <t>FUNDO DE QUINTAL RT</t>
  </si>
  <si>
    <t>RUA RUA DA CANABRAV, 93</t>
  </si>
  <si>
    <t>-11.341443</t>
  </si>
  <si>
    <t>-42.135610</t>
  </si>
  <si>
    <t>(074) 98818-6604</t>
  </si>
  <si>
    <t>0223-0132</t>
  </si>
  <si>
    <t>ISTELA OLIVEIRA MIRANDA</t>
  </si>
  <si>
    <t>ACOUGUE PE DE SERRA</t>
  </si>
  <si>
    <t>RUA R DO COMERCIO</t>
  </si>
  <si>
    <t>POCO</t>
  </si>
  <si>
    <t>-11.408335</t>
  </si>
  <si>
    <t>-42.084780</t>
  </si>
  <si>
    <t>(074) 99912-5885</t>
  </si>
  <si>
    <t>0223-0142</t>
  </si>
  <si>
    <t>RAUL RIBEIRO BEZERRA</t>
  </si>
  <si>
    <t>ADEGA BEZERRA</t>
  </si>
  <si>
    <t>RUA 15 DE NOVEMBRO, 146</t>
  </si>
  <si>
    <t>-11.379175</t>
  </si>
  <si>
    <t>-42.095882</t>
  </si>
  <si>
    <t>(074) 99980-6014</t>
  </si>
  <si>
    <t>0223-0143</t>
  </si>
  <si>
    <t>JARDEL FERREIRA MACHADO</t>
  </si>
  <si>
    <t>BAR DO ALEMAO 01</t>
  </si>
  <si>
    <t>AV DUQUE DE CAXIAS, 9995</t>
  </si>
  <si>
    <t>-11.336050</t>
  </si>
  <si>
    <t>-42.133810</t>
  </si>
  <si>
    <t>(074) 08806-1633</t>
  </si>
  <si>
    <t>0223-0145</t>
  </si>
  <si>
    <t>LEONARDO SILVA FILGUEIRA</t>
  </si>
  <si>
    <t>DISTR GELA GUELA</t>
  </si>
  <si>
    <t>RUA GERALDO IRINEU, 79</t>
  </si>
  <si>
    <t>-11.333933</t>
  </si>
  <si>
    <t>-42.135370</t>
  </si>
  <si>
    <t>(074) 98835-6017</t>
  </si>
  <si>
    <t>0223-0146</t>
  </si>
  <si>
    <t>MARTA NUNES DOS SANTOS</t>
  </si>
  <si>
    <t>COM BEB PONTO CERTO</t>
  </si>
  <si>
    <t>RUA RUA D PEDRO II, 1350</t>
  </si>
  <si>
    <t>-11.333243</t>
  </si>
  <si>
    <t>-42.134266</t>
  </si>
  <si>
    <t>(074) 98829-5275</t>
  </si>
  <si>
    <t>0223-0152</t>
  </si>
  <si>
    <t>KESIA ALMEIDA MACHADO</t>
  </si>
  <si>
    <t>CHURRASCARIA E PIZZA</t>
  </si>
  <si>
    <t>RUA RUA PROJETADA 7, 80</t>
  </si>
  <si>
    <t>-11.285195</t>
  </si>
  <si>
    <t>-41.847183</t>
  </si>
  <si>
    <t>(074) 98852-7061</t>
  </si>
  <si>
    <t>0223-0154</t>
  </si>
  <si>
    <t>COMERCIAL DE ALIMENTOS SILVA E SOUZA LTD</t>
  </si>
  <si>
    <t>SUPERMERCADO S RITA</t>
  </si>
  <si>
    <t>PRC PRACA JOAO DA ROCHA MACHADO, 310</t>
  </si>
  <si>
    <t>-11.335608</t>
  </si>
  <si>
    <t>-42.134857</t>
  </si>
  <si>
    <t>(074) 03649-1188</t>
  </si>
  <si>
    <t>0223-0157</t>
  </si>
  <si>
    <t>CARINA VERISSIMO DA SILVA</t>
  </si>
  <si>
    <t>MERCBAR DA KARINA</t>
  </si>
  <si>
    <t>PRC PC DA MATRIZ, 209</t>
  </si>
  <si>
    <t>-11.259105</t>
  </si>
  <si>
    <t>-42.157257</t>
  </si>
  <si>
    <t>(074) 99966-1446</t>
  </si>
  <si>
    <t>0223-0160</t>
  </si>
  <si>
    <t>GILSON ARAUJO TEIXEIRA</t>
  </si>
  <si>
    <t>RECANTO DA MATIN</t>
  </si>
  <si>
    <t>RUA RUA DA CANABRAVA, 550</t>
  </si>
  <si>
    <t>-11.339025</t>
  </si>
  <si>
    <t>-42.132008</t>
  </si>
  <si>
    <t>(074) 98805-1664</t>
  </si>
  <si>
    <t>0223-0162</t>
  </si>
  <si>
    <t>JOSE ALMEIDA GARCIAS</t>
  </si>
  <si>
    <t>DUDA BAR          01</t>
  </si>
  <si>
    <t>PRC DO COMERCIO, 212</t>
  </si>
  <si>
    <t>-11.335140</t>
  </si>
  <si>
    <t>-42.134335</t>
  </si>
  <si>
    <t>(074) 98833-4063</t>
  </si>
  <si>
    <t>0223-0164</t>
  </si>
  <si>
    <t>PEDRO PAULO FERNANDES DOS SANTOS</t>
  </si>
  <si>
    <t>THE BEST BURGUE</t>
  </si>
  <si>
    <t>AV AVENIDA PRESIDENTE DUTRA CCS, 1424</t>
  </si>
  <si>
    <t>-11.335259</t>
  </si>
  <si>
    <t>-42.131634</t>
  </si>
  <si>
    <t>(074) 98839-4292</t>
  </si>
  <si>
    <t>0223-0171</t>
  </si>
  <si>
    <t>RISIA MARA PEREIRA LACERDA</t>
  </si>
  <si>
    <t>ADEGA LACERDA</t>
  </si>
  <si>
    <t>RUA RUA AMORIM, 184</t>
  </si>
  <si>
    <t>-11.260290</t>
  </si>
  <si>
    <t>-42.156920</t>
  </si>
  <si>
    <t>0223-0175</t>
  </si>
  <si>
    <t>JOSE FRANCOLINO DOS SANTOS SOUZA</t>
  </si>
  <si>
    <t>SERTAO VET</t>
  </si>
  <si>
    <t>RUA SAO SOJE, 20</t>
  </si>
  <si>
    <t>-11.337103</t>
  </si>
  <si>
    <t>-42.135365</t>
  </si>
  <si>
    <t>(074) 98815-3694</t>
  </si>
  <si>
    <t>0223-0177</t>
  </si>
  <si>
    <t>DHEFLLI CARVALHO VIEIRA</t>
  </si>
  <si>
    <t>ADEGA DHEFLLI</t>
  </si>
  <si>
    <t>RUA RUA DAO PEDRO II, 447</t>
  </si>
  <si>
    <t>-11.333906</t>
  </si>
  <si>
    <t>-42.134094</t>
  </si>
  <si>
    <t>(074) 98833-4683</t>
  </si>
  <si>
    <t>0223-0181</t>
  </si>
  <si>
    <t>HARLLEI DE SOUZA FERREIRA</t>
  </si>
  <si>
    <t>MERCADO DE ANDRE</t>
  </si>
  <si>
    <t>PRC PRACA JOAO DA ROCHA MACHADO, 114</t>
  </si>
  <si>
    <t>-11.335478</t>
  </si>
  <si>
    <t>-42.134876</t>
  </si>
  <si>
    <t>(074) 98805-5682</t>
  </si>
  <si>
    <t>0223-0182</t>
  </si>
  <si>
    <t>ERIVELTON OLIVEIRA MACHADO</t>
  </si>
  <si>
    <t>MERCADO DA PRACA  02</t>
  </si>
  <si>
    <t>RUA RUA JULIANA, 35</t>
  </si>
  <si>
    <t>BOCA DAGUA</t>
  </si>
  <si>
    <t>-11.384190</t>
  </si>
  <si>
    <t>-42.104120</t>
  </si>
  <si>
    <t>(074) 99994-3788</t>
  </si>
  <si>
    <t>0223-0184</t>
  </si>
  <si>
    <t>IURE LEMOS MAIA</t>
  </si>
  <si>
    <t>MERCADO IANCA</t>
  </si>
  <si>
    <t>AV AVENIDA VENCESLAU PEREIRA CARDOSO, 466</t>
  </si>
  <si>
    <t>-11.335360</t>
  </si>
  <si>
    <t>-42.131897</t>
  </si>
  <si>
    <t>(074) 98844-7717</t>
  </si>
  <si>
    <t>0223-0189</t>
  </si>
  <si>
    <t>CINTIA OLIVEIRA FERNANDES</t>
  </si>
  <si>
    <t>DISTRIBUIDORA CASA D</t>
  </si>
  <si>
    <t>AV AVENIDA PRESIDENTE DUTRA CCS, 138</t>
  </si>
  <si>
    <t>-11.332731</t>
  </si>
  <si>
    <t>-42.127310</t>
  </si>
  <si>
    <t>(074) 98804-3400</t>
  </si>
  <si>
    <t>0223-0191</t>
  </si>
  <si>
    <t>HERVERT ALVES GUEDES</t>
  </si>
  <si>
    <t>CANA BREJA</t>
  </si>
  <si>
    <t>RUA RUA ESPERANCA, 73</t>
  </si>
  <si>
    <t>-11.337825</t>
  </si>
  <si>
    <t>-42.135380</t>
  </si>
  <si>
    <t>(749) 09996-6090</t>
  </si>
  <si>
    <t>0223-0194</t>
  </si>
  <si>
    <t>EDICLEIA SOUZA GOMES</t>
  </si>
  <si>
    <t>DISTRIBUIDORA POCO</t>
  </si>
  <si>
    <t>RUA RUA DA MATRIZ, 9973</t>
  </si>
  <si>
    <t>POCO DE UIBAI</t>
  </si>
  <si>
    <t>-11.408027</t>
  </si>
  <si>
    <t>-42.084927</t>
  </si>
  <si>
    <t>(074) 99957-8939</t>
  </si>
  <si>
    <t>0223-0199</t>
  </si>
  <si>
    <t>ELIO DOS SANTOS ASSIA NETO</t>
  </si>
  <si>
    <t>MERCADO ASSIS</t>
  </si>
  <si>
    <t>PRC PRACA JOAO DA ROCHA MACHADO, 76</t>
  </si>
  <si>
    <t>-11.335152</t>
  </si>
  <si>
    <t>-42.134354</t>
  </si>
  <si>
    <t>(071) 99295-5506</t>
  </si>
  <si>
    <t>0223-0200</t>
  </si>
  <si>
    <t>BRUNO PAIVA DA SILVA</t>
  </si>
  <si>
    <t>M B SUPERMERCADO</t>
  </si>
  <si>
    <t>RUA RUA BATISTA, 210</t>
  </si>
  <si>
    <t>POVOADO HIDROLANDIA</t>
  </si>
  <si>
    <t>-11.260278</t>
  </si>
  <si>
    <t>-42.156467</t>
  </si>
  <si>
    <t>0223-0202</t>
  </si>
  <si>
    <t>LUAN MACHADO CUNHA</t>
  </si>
  <si>
    <t>DISTRIBUIDORA GOLD B</t>
  </si>
  <si>
    <t>RUA RUA DUQUE DE CAXIAS, 107 / A-2</t>
  </si>
  <si>
    <t>-11.337098</t>
  </si>
  <si>
    <t>-42.133236</t>
  </si>
  <si>
    <t>(074) 98859-0883</t>
  </si>
  <si>
    <t>0223-0203</t>
  </si>
  <si>
    <t>ELITON DE OLIVEIRA MIRANDA</t>
  </si>
  <si>
    <t>BISTRO RESTAURANTE E</t>
  </si>
  <si>
    <t>RUA RUA FORTALEZA, 92</t>
  </si>
  <si>
    <t>-11.297811</t>
  </si>
  <si>
    <t>-41.851619</t>
  </si>
  <si>
    <t>(749) 09996-0595</t>
  </si>
  <si>
    <t>0223-0206</t>
  </si>
  <si>
    <t>JOACI MACHADO SOUZA</t>
  </si>
  <si>
    <t>PIZZARIA DELICIA</t>
  </si>
  <si>
    <t>RUA SAO JOSE, 199</t>
  </si>
  <si>
    <t>-11.335406</t>
  </si>
  <si>
    <t>-42.135876</t>
  </si>
  <si>
    <t>(011) 96258-4413</t>
  </si>
  <si>
    <t>0223-0207</t>
  </si>
  <si>
    <t>EVARISTO DA SILVA CUNHA</t>
  </si>
  <si>
    <t>COMERCIAL HIDROLAND</t>
  </si>
  <si>
    <t>RUA RUA DO PREDIO, 25</t>
  </si>
  <si>
    <t>-11.259165</t>
  </si>
  <si>
    <t>-42.157314</t>
  </si>
  <si>
    <t>(074) 99995-0328</t>
  </si>
  <si>
    <t>0223-0208</t>
  </si>
  <si>
    <t>LANDIERI DE SOUZA NUNES</t>
  </si>
  <si>
    <t>CONVE E ACOUGUE DESK</t>
  </si>
  <si>
    <t>RUA SAO JOSE, 69</t>
  </si>
  <si>
    <t>-11.336553</t>
  </si>
  <si>
    <t>-42.135513</t>
  </si>
  <si>
    <t>(749) 08827-3771</t>
  </si>
  <si>
    <t>0223-0211</t>
  </si>
  <si>
    <t>KENEDI RAMON VIEIRA VILELA</t>
  </si>
  <si>
    <t>ESPETINHO DO LAU</t>
  </si>
  <si>
    <t>RUA VIRGINIA MACHADO, 420</t>
  </si>
  <si>
    <t>-11.336441</t>
  </si>
  <si>
    <t>-42.127980</t>
  </si>
  <si>
    <t>(074) 08112-8612</t>
  </si>
  <si>
    <t>0223-0212</t>
  </si>
  <si>
    <t>AIDE MENDES TEIXEIRA</t>
  </si>
  <si>
    <t>PONTINHO DA AIDE</t>
  </si>
  <si>
    <t>PRC PRACA DO COMERCIO, 2033</t>
  </si>
  <si>
    <t>-11.335768</t>
  </si>
  <si>
    <t>-42.134155</t>
  </si>
  <si>
    <t>(074) 98839-0760</t>
  </si>
  <si>
    <t>0223-0214</t>
  </si>
  <si>
    <t>SIDDINEI ALVES ROSA</t>
  </si>
  <si>
    <t>MERCADINHO RAEL</t>
  </si>
  <si>
    <t>PRA DA MATRIZ, 350</t>
  </si>
  <si>
    <t>-11.407488</t>
  </si>
  <si>
    <t>-42.086050</t>
  </si>
  <si>
    <t>(074) 99989-0810</t>
  </si>
  <si>
    <t>0223-0217</t>
  </si>
  <si>
    <t>EVANDRO PEREIRA LACERDA</t>
  </si>
  <si>
    <t>AMELIA LANCHES</t>
  </si>
  <si>
    <t>RUA RUA TRAVESSA DA ESTRELA</t>
  </si>
  <si>
    <t>-11.259407</t>
  </si>
  <si>
    <t>-42.153576</t>
  </si>
  <si>
    <t>(074) 99923-9677</t>
  </si>
  <si>
    <t>0223-0218</t>
  </si>
  <si>
    <t>VITORIA RIBEIRO DA ROCHA</t>
  </si>
  <si>
    <t>RESTAURANTE RIBEIR01</t>
  </si>
  <si>
    <t>RUA SIMPLICIO RIBEIRO, 18</t>
  </si>
  <si>
    <t>-11.335070</t>
  </si>
  <si>
    <t>-42.133865</t>
  </si>
  <si>
    <t>(055) 99300-3968</t>
  </si>
  <si>
    <t>0223-0224</t>
  </si>
  <si>
    <t>ALLEX MIRANDA AMORIM</t>
  </si>
  <si>
    <t>ADEGA BEER A X</t>
  </si>
  <si>
    <t>PRC DO COMERCIO, 2026</t>
  </si>
  <si>
    <t>-11.335968</t>
  </si>
  <si>
    <t>-42.134765</t>
  </si>
  <si>
    <t>(074) 98872-6502</t>
  </si>
  <si>
    <t>0223-0225</t>
  </si>
  <si>
    <t>EDVALDO ALVES DE AZEVEDO FILHO</t>
  </si>
  <si>
    <t>MERCADO NOVA OPICAO</t>
  </si>
  <si>
    <t>RUA OLHO DAGUA, 109</t>
  </si>
  <si>
    <t>-11.382899</t>
  </si>
  <si>
    <t>-42.099842</t>
  </si>
  <si>
    <t>(074) 09999-5532</t>
  </si>
  <si>
    <t>0223-0226</t>
  </si>
  <si>
    <t>RAYANE MARTINS MACHADO</t>
  </si>
  <si>
    <t>LA CAFETERIA LANCHON</t>
  </si>
  <si>
    <t>RUA RAUL JAQUIM MACHADO, 290</t>
  </si>
  <si>
    <t>-11.333696</t>
  </si>
  <si>
    <t>-42.135357</t>
  </si>
  <si>
    <t>(074) 98127-9976</t>
  </si>
  <si>
    <t>0223-0227</t>
  </si>
  <si>
    <t>CRISTIANE MACHADO AMORIM</t>
  </si>
  <si>
    <t>RESTAURANTE DA CRIAT</t>
  </si>
  <si>
    <t>PRC JOAO DA ROCHA MACHADO, 100</t>
  </si>
  <si>
    <t>-11.335187</t>
  </si>
  <si>
    <t>-42.134410</t>
  </si>
  <si>
    <t>(074) 99882-7385</t>
  </si>
  <si>
    <t>0223-0228</t>
  </si>
  <si>
    <t>JANAINA OLIVEIRA ALVES</t>
  </si>
  <si>
    <t>MERCADO CEZAR</t>
  </si>
  <si>
    <t>RUA DUQUE DE CAXIAS, 47</t>
  </si>
  <si>
    <t>-11.337434</t>
  </si>
  <si>
    <t>-42.132942</t>
  </si>
  <si>
    <t>(074) 99936-6622</t>
  </si>
  <si>
    <t>0224-0008</t>
  </si>
  <si>
    <t>JOSICLEI VIEIRA MIRANDA</t>
  </si>
  <si>
    <t>SUPERMERCADO DO POVO</t>
  </si>
  <si>
    <t>PRC PRACA FLORISVALDO DA CUNHA, 264</t>
  </si>
  <si>
    <t>-10.731859</t>
  </si>
  <si>
    <t>-41.325040</t>
  </si>
  <si>
    <t>(740) 98825-2035</t>
  </si>
  <si>
    <t>0224-0011</t>
  </si>
  <si>
    <t>CEREALISTA ELIBAHIA</t>
  </si>
  <si>
    <t>CEREALISTA ELIBAHI01</t>
  </si>
  <si>
    <t>PRC PRACA DO COMERCIO 1 / 02240011</t>
  </si>
  <si>
    <t>-10.730846</t>
  </si>
  <si>
    <t>-41.324444</t>
  </si>
  <si>
    <t>(074) 98815-1914</t>
  </si>
  <si>
    <t>0224-0013</t>
  </si>
  <si>
    <t>EDNA DOS SANTOS</t>
  </si>
  <si>
    <t>EDNA LANCHES</t>
  </si>
  <si>
    <t>AV AVENIDA SEVERINO RIBEIRO GRANJA, 264 / 02240013</t>
  </si>
  <si>
    <t>-10.729722</t>
  </si>
  <si>
    <t>-41.322224</t>
  </si>
  <si>
    <t>(011) 96723-3001</t>
  </si>
  <si>
    <t>0224-0015</t>
  </si>
  <si>
    <t>ADRIANO BARBOSA DA SILVA</t>
  </si>
  <si>
    <t>MERCADO SERTANEJO</t>
  </si>
  <si>
    <t>PRC PRACA JOVANE LOPES SN</t>
  </si>
  <si>
    <t>-10.731645</t>
  </si>
  <si>
    <t>-41.326668</t>
  </si>
  <si>
    <t>(074) 98857-6825</t>
  </si>
  <si>
    <t>0224-0025</t>
  </si>
  <si>
    <t>GEISA DA SILVA SANTOS</t>
  </si>
  <si>
    <t>MERCD PAGUE MENOS</t>
  </si>
  <si>
    <t>RUA JOAO CARDOSO DO PASSOS, 166</t>
  </si>
  <si>
    <t>-10.730041</t>
  </si>
  <si>
    <t>-41.326313</t>
  </si>
  <si>
    <t>(741) 98809-9349</t>
  </si>
  <si>
    <t>0224-0026</t>
  </si>
  <si>
    <t>MANUEL LITO AMADOR DE SILVA</t>
  </si>
  <si>
    <t>BAR CANILIA</t>
  </si>
  <si>
    <t>PRC SANTO ANTONIO SN</t>
  </si>
  <si>
    <t>-10.850608</t>
  </si>
  <si>
    <t>-41.380524</t>
  </si>
  <si>
    <t>(074) 98821-2748</t>
  </si>
  <si>
    <t>0224-0029</t>
  </si>
  <si>
    <t>AULINDA RIBEIRO DA SILVA</t>
  </si>
  <si>
    <t>POUSADA 2 IRMAOS</t>
  </si>
  <si>
    <t>RUA LIBORIO LOPES DE ALME</t>
  </si>
  <si>
    <t>-10.729070</t>
  </si>
  <si>
    <t>-41.322346</t>
  </si>
  <si>
    <t>(074) 98809-4309</t>
  </si>
  <si>
    <t>0224-0032</t>
  </si>
  <si>
    <t>EDILSON DE OLIVEIRA</t>
  </si>
  <si>
    <t>BAR DO EDI</t>
  </si>
  <si>
    <t>PRC FLORISVALDO, 328</t>
  </si>
  <si>
    <t>-10.731640</t>
  </si>
  <si>
    <t>-41.324670</t>
  </si>
  <si>
    <t>(074) 98833-8949</t>
  </si>
  <si>
    <t>0224-0050</t>
  </si>
  <si>
    <t>PEDRO ALMEIDA DE SOUZA</t>
  </si>
  <si>
    <t>MERCADINHO MILENA</t>
  </si>
  <si>
    <t>RUA RAIMUNDA PAIXAO, 208</t>
  </si>
  <si>
    <t>-10.727790</t>
  </si>
  <si>
    <t>-41.321144</t>
  </si>
  <si>
    <t>(400) 03528-1046</t>
  </si>
  <si>
    <t>0224-0054</t>
  </si>
  <si>
    <t>J. DA SILVA ROQUE EIRELI</t>
  </si>
  <si>
    <t>SUPERMERCA SAO JORGE</t>
  </si>
  <si>
    <t>AV SEVERINO RIBEIRO GRANJA, 110</t>
  </si>
  <si>
    <t>-10.730805</t>
  </si>
  <si>
    <t>-41.323185</t>
  </si>
  <si>
    <t>(074) 98856-0802</t>
  </si>
  <si>
    <t>0224-0073</t>
  </si>
  <si>
    <t>THOMAS MAGNUM CARVALHO DO NASCIMENTO</t>
  </si>
  <si>
    <t>LANCHONETE 33</t>
  </si>
  <si>
    <t>RUA POSTO ANTONIO 12</t>
  </si>
  <si>
    <t>-10.850833</t>
  </si>
  <si>
    <t>-41.380554</t>
  </si>
  <si>
    <t>0224-0076</t>
  </si>
  <si>
    <t>GENILSON ALMEIDA DA SILVA</t>
  </si>
  <si>
    <t>GELADAO SILVA</t>
  </si>
  <si>
    <t>RUA RUA LIBORINO LOPES DA ALMEIDA, 32</t>
  </si>
  <si>
    <t>-10.730833</t>
  </si>
  <si>
    <t>-41.323612</t>
  </si>
  <si>
    <t>(074) 99102-0406</t>
  </si>
  <si>
    <t>0224-0087</t>
  </si>
  <si>
    <t>IVANETE BENICIO DE SOUZA DE OLIVEIRA</t>
  </si>
  <si>
    <t>MERCADINHO OLIVEIR13</t>
  </si>
  <si>
    <t>PRC PRACA JEOVANDO LOPES, 6</t>
  </si>
  <si>
    <t>-10.731920</t>
  </si>
  <si>
    <t>-41.326580</t>
  </si>
  <si>
    <t>(074) 98811-5964</t>
  </si>
  <si>
    <t>0224-0088</t>
  </si>
  <si>
    <t>I B F SUPERMERCADO EIRELE</t>
  </si>
  <si>
    <t>SUP ESTRELA DO NORTE</t>
  </si>
  <si>
    <t>RUA RUA ANTERIO ALMEIDA DA SILVA, 128</t>
  </si>
  <si>
    <t>-10.728917</t>
  </si>
  <si>
    <t>-41.327682</t>
  </si>
  <si>
    <t>(074) 98808-7620</t>
  </si>
  <si>
    <t>0224-0096</t>
  </si>
  <si>
    <t>SILVIO ROBERTO BATISTA FREIRES</t>
  </si>
  <si>
    <t>DIST DE CERVEJA CIA</t>
  </si>
  <si>
    <t>RUA RUA DA INDEPENDENCIA, 124</t>
  </si>
  <si>
    <t>-10.733055</t>
  </si>
  <si>
    <t>-41.326946</t>
  </si>
  <si>
    <t>(074) 98831-6362</t>
  </si>
  <si>
    <t>0224-0102</t>
  </si>
  <si>
    <t>RUDSON GAMA DOS SANTOS</t>
  </si>
  <si>
    <t>MERCADO RS</t>
  </si>
  <si>
    <t>PRC PRACA RAIMUNDO PAIXAO, 33</t>
  </si>
  <si>
    <t>-10.728611</t>
  </si>
  <si>
    <t>-41.326390</t>
  </si>
  <si>
    <t>(074) 99812-8498</t>
  </si>
  <si>
    <t>0224-0103</t>
  </si>
  <si>
    <t>JAILTON RIBEIRO DE SOUZA</t>
  </si>
  <si>
    <t>DISTRIBUIDORA RIBEIR</t>
  </si>
  <si>
    <t>RUA RUA ANTERO ALMEIDA DA SILVA, 156</t>
  </si>
  <si>
    <t>-10.728888</t>
  </si>
  <si>
    <t>-41.328056</t>
  </si>
  <si>
    <t>(074) 98835-8277</t>
  </si>
  <si>
    <t>0224-0104</t>
  </si>
  <si>
    <t>EDUARDO MIRANDA ALMEIDA</t>
  </si>
  <si>
    <t>DUDU REST</t>
  </si>
  <si>
    <t>PRC PRACA MANOEL JOAQUIM DA SILVA, 63</t>
  </si>
  <si>
    <t>-10.728056</t>
  </si>
  <si>
    <t>-41.321945</t>
  </si>
  <si>
    <t>(075) 98862-0253</t>
  </si>
  <si>
    <t>0224-0106</t>
  </si>
  <si>
    <t>GENIVALDO VIEIRA DOS SANTOS</t>
  </si>
  <si>
    <t>POUSADA ESTRELA DOUR</t>
  </si>
  <si>
    <t>PRC PRACA JOEL MUNIZ ALMEIDA, 129</t>
  </si>
  <si>
    <t>-10.731235</t>
  </si>
  <si>
    <t>-41.324460</t>
  </si>
  <si>
    <t>(074) 98821-6516</t>
  </si>
  <si>
    <t>0224-0118</t>
  </si>
  <si>
    <t>AILTON OLIVEIRA JATOBA</t>
  </si>
  <si>
    <t>RESTAURANTE ARCO IRE</t>
  </si>
  <si>
    <t>RUA RUA SERAFIM FRANCISCO, 148</t>
  </si>
  <si>
    <t>-10.731692</t>
  </si>
  <si>
    <t>-41.326065</t>
  </si>
  <si>
    <t>(074) 98816-8071</t>
  </si>
  <si>
    <t>0224-0120</t>
  </si>
  <si>
    <t>MAIQUE GONCALVES SOUSA</t>
  </si>
  <si>
    <t>DISTRIBUIDORA CANECA</t>
  </si>
  <si>
    <t>POV POVOADO CATARINA, 36</t>
  </si>
  <si>
    <t>-10.833020</t>
  </si>
  <si>
    <t>-41.312270</t>
  </si>
  <si>
    <t>(074) 98835-0774</t>
  </si>
  <si>
    <t>0224-0123</t>
  </si>
  <si>
    <t>ADRIANO DOS SANTOS BRAGA</t>
  </si>
  <si>
    <t>UNIVERSO DO ACAI</t>
  </si>
  <si>
    <t>RUA RUA JOSE F DA SILVA, 235</t>
  </si>
  <si>
    <t>-10.730407</t>
  </si>
  <si>
    <t>-41.323082</t>
  </si>
  <si>
    <t>(074) 98131-0418</t>
  </si>
  <si>
    <t>0224-0126</t>
  </si>
  <si>
    <t>GIRLEIDE DA SILVA RIBEIRO</t>
  </si>
  <si>
    <t>SUPERMECADO SOUZA</t>
  </si>
  <si>
    <t>RUA RUA ANASTACIO JOAQUIM DA SILVA, 54</t>
  </si>
  <si>
    <t>-10.727797</t>
  </si>
  <si>
    <t>-41.324640</t>
  </si>
  <si>
    <t>(074) 99942-4231</t>
  </si>
  <si>
    <t>0224-0127</t>
  </si>
  <si>
    <t>RAILTON PEREIRA DA SILVA</t>
  </si>
  <si>
    <t>BAR DO TIRINGA</t>
  </si>
  <si>
    <t>FAZ FAZENDA ANASTACIO</t>
  </si>
  <si>
    <t>-10.927188</t>
  </si>
  <si>
    <t>-41.118590</t>
  </si>
  <si>
    <t>(074) 98147-9313</t>
  </si>
  <si>
    <t>0224-0128</t>
  </si>
  <si>
    <t>J DE JESUS SILVA SUPERMERCADO LTDA</t>
  </si>
  <si>
    <t>O VAREJAO</t>
  </si>
  <si>
    <t>RUA RUA QUIRINO GAMA DA SILVA</t>
  </si>
  <si>
    <t>-10.732124</t>
  </si>
  <si>
    <t>-41.325555</t>
  </si>
  <si>
    <t>(074) 99984-1221</t>
  </si>
  <si>
    <t>0224-0130</t>
  </si>
  <si>
    <t>R L ROQUE SUPERMERCADO LTDA</t>
  </si>
  <si>
    <t>SUPERMERCADO S JORGE</t>
  </si>
  <si>
    <t>AV SEVERINO RIBEIRO GRANJA, 282</t>
  </si>
  <si>
    <t>-10.729861</t>
  </si>
  <si>
    <t>-41.322849</t>
  </si>
  <si>
    <t>(074) 98829-7896</t>
  </si>
  <si>
    <t>0224-0131</t>
  </si>
  <si>
    <t>ISRAEL DOS SANTOS NASCIMENTO</t>
  </si>
  <si>
    <t>B S FITNESS ACADEMIA</t>
  </si>
  <si>
    <t>TRV TRAVESSA RAIMUNDO PAIXAO, 598</t>
  </si>
  <si>
    <t>-10.728570</t>
  </si>
  <si>
    <t>-41.325013</t>
  </si>
  <si>
    <t>(074) 99956-8827</t>
  </si>
  <si>
    <t>0224-0132</t>
  </si>
  <si>
    <t>SUPERMERCADO RB UMBURANAS LTDA</t>
  </si>
  <si>
    <t>SUPERMERC BARBOSA</t>
  </si>
  <si>
    <t>PRC JEOVANDO LOPES, 370</t>
  </si>
  <si>
    <t>-10.732548</t>
  </si>
  <si>
    <t>-41.326588</t>
  </si>
  <si>
    <t>(074) 99972-2451</t>
  </si>
  <si>
    <t>0224-0133</t>
  </si>
  <si>
    <t>PIZZARIA E LANCHONETE BOM SABOR LTDA</t>
  </si>
  <si>
    <t>PIZZARIA E LANCH B S</t>
  </si>
  <si>
    <t>PRC RAIMUNDO PAIXAO, 412</t>
  </si>
  <si>
    <t>-10.730078</t>
  </si>
  <si>
    <t>-41.325307</t>
  </si>
  <si>
    <t>(074) 98862-2563</t>
  </si>
  <si>
    <t>0224-0134</t>
  </si>
  <si>
    <t>REINILDA BISPO MAIA</t>
  </si>
  <si>
    <t>BAR DA NILDA      01</t>
  </si>
  <si>
    <t>AV DA BIBLIA, 146</t>
  </si>
  <si>
    <t>-10.727822</t>
  </si>
  <si>
    <t>-41.320985</t>
  </si>
  <si>
    <t>(074) 98807-9806</t>
  </si>
  <si>
    <t>0224-0135</t>
  </si>
  <si>
    <t>ANA CLEA DA SILVA GUABIRABA</t>
  </si>
  <si>
    <t>MERCADO COMPRE BEM06</t>
  </si>
  <si>
    <t>RUA JOSE FRANCISCO DA SILVA, 46</t>
  </si>
  <si>
    <t>UMBURANAS /UMBURANAS</t>
  </si>
  <si>
    <t>-10.731765</t>
  </si>
  <si>
    <t>-41.321746</t>
  </si>
  <si>
    <t>(074) 98862-0589</t>
  </si>
  <si>
    <t>0224-0136</t>
  </si>
  <si>
    <t>ROMARIO VIEIRA CAMPOS</t>
  </si>
  <si>
    <t>K BANA LANCHES    01</t>
  </si>
  <si>
    <t>RUA 10A RUA DANIEL QUINTINO LOPES, 287</t>
  </si>
  <si>
    <t>-10.728104</t>
  </si>
  <si>
    <t>-41.319869</t>
  </si>
  <si>
    <t>(011) 96135-4896</t>
  </si>
  <si>
    <t>0225-0003</t>
  </si>
  <si>
    <t>JOSE SANTOS SOUZA</t>
  </si>
  <si>
    <t>SUPER ARVORES VERDES</t>
  </si>
  <si>
    <t>AV AVENIDA NAZARE, 89</t>
  </si>
  <si>
    <t>-12.088056</t>
  </si>
  <si>
    <t>-41.103890</t>
  </si>
  <si>
    <t>(075) 98886-9716</t>
  </si>
  <si>
    <t>0225-0006</t>
  </si>
  <si>
    <t>JOSE CARLOS LIMA RODRIGUES</t>
  </si>
  <si>
    <t>COMERCIAL J LIMA</t>
  </si>
  <si>
    <t>PRC JOAO MARINHO PE, 12</t>
  </si>
  <si>
    <t>-12.082844</t>
  </si>
  <si>
    <t>-41.096020</t>
  </si>
  <si>
    <t>(075) 98871-9489</t>
  </si>
  <si>
    <t>0225-0007</t>
  </si>
  <si>
    <t>MARIVALDO SOUSA PIRES</t>
  </si>
  <si>
    <t>MERCADINHO PIRES</t>
  </si>
  <si>
    <t>RUA RUA BOM JARDIM, 4</t>
  </si>
  <si>
    <t>-12.079160</t>
  </si>
  <si>
    <t>-41.094300</t>
  </si>
  <si>
    <t>(075) 98849-2341</t>
  </si>
  <si>
    <t>0225-0014</t>
  </si>
  <si>
    <t>EDISSIVALDO AMBROSIO DE OLIVEIRA</t>
  </si>
  <si>
    <t>BAR TACO DE OURO</t>
  </si>
  <si>
    <t>RUA ANTONIO MUNIZ</t>
  </si>
  <si>
    <t>-12.082820</t>
  </si>
  <si>
    <t>-41.094560</t>
  </si>
  <si>
    <t>(075) 08807-5896</t>
  </si>
  <si>
    <t>0225-0023</t>
  </si>
  <si>
    <t>LOURIVAL ALMEIDA CERQUEIRA</t>
  </si>
  <si>
    <t>SUPERMER MEGA BARATO</t>
  </si>
  <si>
    <t>RUA RUA DR REGIS PACHECO, 22</t>
  </si>
  <si>
    <t>-12.084646</t>
  </si>
  <si>
    <t>-41.099297</t>
  </si>
  <si>
    <t>(075) 98806-5108</t>
  </si>
  <si>
    <t>0225-0025</t>
  </si>
  <si>
    <t>JOAO BATISTA SANTOS PEDREIRA</t>
  </si>
  <si>
    <t>REST.POUSADA FLOR UT</t>
  </si>
  <si>
    <t>AV AV PAULO SOUTO, 20</t>
  </si>
  <si>
    <t>PONTE DA TABU</t>
  </si>
  <si>
    <t>-12.074658</t>
  </si>
  <si>
    <t>-41.092735</t>
  </si>
  <si>
    <t>(075) 98835-0178</t>
  </si>
  <si>
    <t>0225-0028</t>
  </si>
  <si>
    <t>IRANILDES RAMOS OLIVEIRA SILVA</t>
  </si>
  <si>
    <t>BAR E LANCHONETE</t>
  </si>
  <si>
    <t>PRC PRACA CLERISTON ANDRADE</t>
  </si>
  <si>
    <t>-12.075300</t>
  </si>
  <si>
    <t>-41.091457</t>
  </si>
  <si>
    <t>(750) 08862-9803</t>
  </si>
  <si>
    <t>0225-0032</t>
  </si>
  <si>
    <t>EDIVALDO MENDES DE QUEIROZ</t>
  </si>
  <si>
    <t>SUPERMERCADO BOM</t>
  </si>
  <si>
    <t>TRV TRAVESSA RENALDO MENDES</t>
  </si>
  <si>
    <t>-12.083382</t>
  </si>
  <si>
    <t>-41.097454</t>
  </si>
  <si>
    <t>(075) 03337-1317</t>
  </si>
  <si>
    <t>0225-0036</t>
  </si>
  <si>
    <t>GILVAN PEREIRA FERNANDES</t>
  </si>
  <si>
    <t>REST POINT DA FEIJOA</t>
  </si>
  <si>
    <t>PRC PRACA VEREADOR AMERICANO VIANA, 31</t>
  </si>
  <si>
    <t>-12.080987</t>
  </si>
  <si>
    <t>-41.098360</t>
  </si>
  <si>
    <t>(075) 99909-9565</t>
  </si>
  <si>
    <t>0225-0055</t>
  </si>
  <si>
    <t>JOSE LIMA DE OLIVEIRA</t>
  </si>
  <si>
    <t>RESTAURANTE E POUSA</t>
  </si>
  <si>
    <t>ROD RODOVIA UTINGA WAGNER, 4</t>
  </si>
  <si>
    <t>NUCLEO RURAL / UTING</t>
  </si>
  <si>
    <t>-12.094405</t>
  </si>
  <si>
    <t>-41.107703</t>
  </si>
  <si>
    <t>(075) 98825-6554</t>
  </si>
  <si>
    <t>0225-0060</t>
  </si>
  <si>
    <t>MANOEL MESSIAS PAREIRA SANTOS</t>
  </si>
  <si>
    <t>BAR SANALVES</t>
  </si>
  <si>
    <t>AV AVENIDA CLODOALDO OLIVEIRA, 3</t>
  </si>
  <si>
    <t>-12.077530</t>
  </si>
  <si>
    <t>-41.092650</t>
  </si>
  <si>
    <t>(750) 08862-1847</t>
  </si>
  <si>
    <t>0225-0064</t>
  </si>
  <si>
    <t>CLENILSON SANTOS ALVES</t>
  </si>
  <si>
    <t>MERC HIPER SURPRES02</t>
  </si>
  <si>
    <t>RUA RUA PRESIDENTE KENNEDY, 5841</t>
  </si>
  <si>
    <t>PONTE DE TABUA</t>
  </si>
  <si>
    <t>-12.074455</t>
  </si>
  <si>
    <t>-41.089573</t>
  </si>
  <si>
    <t>(075) 08846-0092</t>
  </si>
  <si>
    <t>0225-0067</t>
  </si>
  <si>
    <t>SEBASTIAO DO REIS DE SOUZA</t>
  </si>
  <si>
    <t>BAR DO SEBASTIAO</t>
  </si>
  <si>
    <t>PRC PRACA WILSON PEIXOTO</t>
  </si>
  <si>
    <t>-12.083265</t>
  </si>
  <si>
    <t>-41.097054</t>
  </si>
  <si>
    <t>(750) 08857-8732</t>
  </si>
  <si>
    <t>0225-0073</t>
  </si>
  <si>
    <t>IZAEL SOUZA SILVA</t>
  </si>
  <si>
    <t>MERC SILVA</t>
  </si>
  <si>
    <t>AV AVENIDA TANCREDO NEVES 15 B, 15</t>
  </si>
  <si>
    <t>-12.087602</t>
  </si>
  <si>
    <t>-41.104670</t>
  </si>
  <si>
    <t>(075) 98805-3278</t>
  </si>
  <si>
    <t>0225-0096</t>
  </si>
  <si>
    <t>E PEDREIRA BASTOS DE UTINGA</t>
  </si>
  <si>
    <t>MIL COISAS</t>
  </si>
  <si>
    <t>PRC DO COMERCIO SS</t>
  </si>
  <si>
    <t>-12.082652</t>
  </si>
  <si>
    <t>-41.097260</t>
  </si>
  <si>
    <t>(074) 99117-2710</t>
  </si>
  <si>
    <t>0225-0103</t>
  </si>
  <si>
    <t>ELIETE SANTOS DE SOUZA</t>
  </si>
  <si>
    <t>MERC VALVERDE2</t>
  </si>
  <si>
    <t>RUA MANOEL NOVAIS, 47</t>
  </si>
  <si>
    <t>-12.081678</t>
  </si>
  <si>
    <t>-41.096565</t>
  </si>
  <si>
    <t>(075) 98880-6222</t>
  </si>
  <si>
    <t>0225-0115</t>
  </si>
  <si>
    <t>ELIZETE SILVA DE JESUS</t>
  </si>
  <si>
    <t>RESTAURANTE DA ZETE</t>
  </si>
  <si>
    <t>RUA TEOTONIO DE SOUZA, 89</t>
  </si>
  <si>
    <t>-12.078198</t>
  </si>
  <si>
    <t>-41.094574</t>
  </si>
  <si>
    <t>(075) 98824-1352</t>
  </si>
  <si>
    <t>0225-0119</t>
  </si>
  <si>
    <t>IARA RODRIGUES SANTOS</t>
  </si>
  <si>
    <t>MERC E LANC DA IARA</t>
  </si>
  <si>
    <t>AV AVENIDA NAZARE, 59</t>
  </si>
  <si>
    <t>-12.086380</t>
  </si>
  <si>
    <t>-41.102200</t>
  </si>
  <si>
    <t>(075) 98877-3533</t>
  </si>
  <si>
    <t>0225-0134</t>
  </si>
  <si>
    <t>LORRAINE BRANDAO PEREIRA</t>
  </si>
  <si>
    <t>LANCHONETE BRANDAO</t>
  </si>
  <si>
    <t>AV CLODOALDO OLIVEIRA, 34</t>
  </si>
  <si>
    <t>-12.077059</t>
  </si>
  <si>
    <t>-41.091095</t>
  </si>
  <si>
    <t>(750) 08819-4195</t>
  </si>
  <si>
    <t>0225-0135</t>
  </si>
  <si>
    <t>MACIA ALVES DA ROCHA</t>
  </si>
  <si>
    <t>SAMPA FRIOS</t>
  </si>
  <si>
    <t>CAM UTINGA WAGNER, 11</t>
  </si>
  <si>
    <t>-12.081325</t>
  </si>
  <si>
    <t>-41.097855</t>
  </si>
  <si>
    <t>(075) 98838-7109</t>
  </si>
  <si>
    <t>0225-0136</t>
  </si>
  <si>
    <t>ROMILDO DOS SANTOS ARAUJO</t>
  </si>
  <si>
    <t>BAR DO BIDO</t>
  </si>
  <si>
    <t>RUA RUA MANOEL NOVAIS, 52</t>
  </si>
  <si>
    <t>-12.080875</t>
  </si>
  <si>
    <t>-41.097157</t>
  </si>
  <si>
    <t>(750) 08808-3323</t>
  </si>
  <si>
    <t>0225-0146</t>
  </si>
  <si>
    <t>ANA LUCIA ANDRADE DE OLIVEIRA</t>
  </si>
  <si>
    <t>RESTAURANTE DA ANA</t>
  </si>
  <si>
    <t>RUA RUA PRESIDENTE VARGAS, 69</t>
  </si>
  <si>
    <t>-12.079795</t>
  </si>
  <si>
    <t>-41.095950</t>
  </si>
  <si>
    <t>(075) 08828-2030</t>
  </si>
  <si>
    <t>0225-0149</t>
  </si>
  <si>
    <t>ROBERTO RAMOS OLIVEIRA SILVA</t>
  </si>
  <si>
    <t>MERCADO RM RAMOS</t>
  </si>
  <si>
    <t>RUA RUA CLODOALDO ALVES, 26</t>
  </si>
  <si>
    <t>-12.077255</t>
  </si>
  <si>
    <t>-41.091476</t>
  </si>
  <si>
    <t>(075) 99932-4072</t>
  </si>
  <si>
    <t>0225-0151</t>
  </si>
  <si>
    <t>IZABEL SANTOS DE SOUSA</t>
  </si>
  <si>
    <t>REST BOM PALADAR</t>
  </si>
  <si>
    <t>RUA R MANOEL NOVAES, 59</t>
  </si>
  <si>
    <t>-12.077456</t>
  </si>
  <si>
    <t>-41.093117</t>
  </si>
  <si>
    <t>(075) 98863-2921</t>
  </si>
  <si>
    <t>0225-0152</t>
  </si>
  <si>
    <t>RONALDO MEDRADO BRAGA</t>
  </si>
  <si>
    <t>PADARIA PONTO DO PAO</t>
  </si>
  <si>
    <t>ROD RODOVIA UTINGA WAGNER, 57</t>
  </si>
  <si>
    <t>-12.082455</t>
  </si>
  <si>
    <t>-41.099236</t>
  </si>
  <si>
    <t>(074) 98801-9072</t>
  </si>
  <si>
    <t>0225-0155</t>
  </si>
  <si>
    <t>STELA DAMACENO MUNIZ</t>
  </si>
  <si>
    <t>COMERCIAL LOPES</t>
  </si>
  <si>
    <t>RUA R NOVA VIDA, 4</t>
  </si>
  <si>
    <t>-12.080620</t>
  </si>
  <si>
    <t>-41.098610</t>
  </si>
  <si>
    <t>(075) 99817-9323</t>
  </si>
  <si>
    <t>0225-0166</t>
  </si>
  <si>
    <t>FARAILDES MADUREIRA DOS SANTOS</t>
  </si>
  <si>
    <t>BAR E REST FARAILDES</t>
  </si>
  <si>
    <t>RUA R ACM, 33</t>
  </si>
  <si>
    <t>-12.080730</t>
  </si>
  <si>
    <t>-41.099674</t>
  </si>
  <si>
    <t>(075) 98811-8955</t>
  </si>
  <si>
    <t>0225-0170</t>
  </si>
  <si>
    <t>PEDRO HENRIQUE VITORIA MARQUES</t>
  </si>
  <si>
    <t>ATACADO E VAREJO CES</t>
  </si>
  <si>
    <t>WAGNER</t>
  </si>
  <si>
    <t>PRC JOAQUIM MACEDO, 18</t>
  </si>
  <si>
    <t>-12.286963</t>
  </si>
  <si>
    <t>-41.169730</t>
  </si>
  <si>
    <t>(075) 08887-0454</t>
  </si>
  <si>
    <t>0225-0185</t>
  </si>
  <si>
    <t>ADELSON RIOS MAIA</t>
  </si>
  <si>
    <t>MERCADINHO MAIA</t>
  </si>
  <si>
    <t>ROD RO UINGA WAGNER, 49</t>
  </si>
  <si>
    <t>-12.082200</t>
  </si>
  <si>
    <t>-41.098995</t>
  </si>
  <si>
    <t>(075) 98894-2737</t>
  </si>
  <si>
    <t>0225-0187</t>
  </si>
  <si>
    <t>ISSAC DOS SANTOS ALMEIDA JUNIOR</t>
  </si>
  <si>
    <t>MESTRE DAS PIZZAS</t>
  </si>
  <si>
    <t>RUA RUA JOEL MODESTO, 193</t>
  </si>
  <si>
    <t>-11.548995</t>
  </si>
  <si>
    <t>-41.159540</t>
  </si>
  <si>
    <t>(075) 98810-1338</t>
  </si>
  <si>
    <t>0225-0191</t>
  </si>
  <si>
    <t>EDILTON BARBOZA DA SILVA</t>
  </si>
  <si>
    <t>EDY HAMBURGUERIA PIZ</t>
  </si>
  <si>
    <t>RUA R FRANCISCO ALVES, 11</t>
  </si>
  <si>
    <t>-12.082810</t>
  </si>
  <si>
    <t>-41.094685</t>
  </si>
  <si>
    <t>(075) 98874-6793</t>
  </si>
  <si>
    <t>0225-0194</t>
  </si>
  <si>
    <t>LENILDO DE ALMEIDA VAZ</t>
  </si>
  <si>
    <t>LANCHONETE DO LENILD</t>
  </si>
  <si>
    <t>RUA JOAO BALBINO, 8</t>
  </si>
  <si>
    <t>-12.077279</t>
  </si>
  <si>
    <t>-41.090088</t>
  </si>
  <si>
    <t>(075) 99915-5063</t>
  </si>
  <si>
    <t>0225-0196</t>
  </si>
  <si>
    <t>DJALMA FILHO DOS SANTOS DE JESUS</t>
  </si>
  <si>
    <t>COMERCIAL SANTOS 01</t>
  </si>
  <si>
    <t>RUA RUA BOA VISTA, 32</t>
  </si>
  <si>
    <t>-12.080680</t>
  </si>
  <si>
    <t>-41.096510</t>
  </si>
  <si>
    <t>(075) 98886-8649</t>
  </si>
  <si>
    <t>0225-0198</t>
  </si>
  <si>
    <t>EFRE SENA DE LISBOA</t>
  </si>
  <si>
    <t>SUPERMERCADO ALVES</t>
  </si>
  <si>
    <t>AV CLODOALDO OLIVEIRA, 4</t>
  </si>
  <si>
    <t>-12.077547</t>
  </si>
  <si>
    <t>-41.092472</t>
  </si>
  <si>
    <t>(074) 99934-4045</t>
  </si>
  <si>
    <t>0225-0199</t>
  </si>
  <si>
    <t>EVANEY FERREIRA DOS SANTOS SOUZA</t>
  </si>
  <si>
    <t>MERCA FRUTY</t>
  </si>
  <si>
    <t>RUA FRANCISCO ALVES RODRIGUES, 29</t>
  </si>
  <si>
    <t>-12.083540</t>
  </si>
  <si>
    <t>-41.096250</t>
  </si>
  <si>
    <t>(075) 98838-1635</t>
  </si>
  <si>
    <t>0225-0209</t>
  </si>
  <si>
    <t>CLEUSA DA SILVA OLIVEIRA</t>
  </si>
  <si>
    <t>MERCADO SUCESSO</t>
  </si>
  <si>
    <t>RUA CASTRO ALVES, 9</t>
  </si>
  <si>
    <t>-12.082530</t>
  </si>
  <si>
    <t>-41.097576</t>
  </si>
  <si>
    <t>(075) 98889-7763</t>
  </si>
  <si>
    <t>0225-0219</t>
  </si>
  <si>
    <t>GABRIELA TEIXEIRA MACIEL</t>
  </si>
  <si>
    <t>RESTAUR DA TIA ROSE</t>
  </si>
  <si>
    <t>RUA BELA VISTA, 73</t>
  </si>
  <si>
    <t>-12.082016</t>
  </si>
  <si>
    <t>-41.098255</t>
  </si>
  <si>
    <t>(075) 98860-7446</t>
  </si>
  <si>
    <t>0225-0224</t>
  </si>
  <si>
    <t>FERNANDO MOREIRA DA SILVA</t>
  </si>
  <si>
    <t>NOSSO MERCADINHO</t>
  </si>
  <si>
    <t>TRV TRAVESSA OSVALDO RIBEIRO I, 14</t>
  </si>
  <si>
    <t>-12.080294</t>
  </si>
  <si>
    <t>-41.099384</t>
  </si>
  <si>
    <t>(075) 98864-3290</t>
  </si>
  <si>
    <t>0225-0227</t>
  </si>
  <si>
    <t>JUCILENE PEREIRA FERNANDES</t>
  </si>
  <si>
    <t>LANCHONETE SO DELICI</t>
  </si>
  <si>
    <t>PRC PRACA WILSON PEIXOTO KARAOGLAN</t>
  </si>
  <si>
    <t>-12.083211</t>
  </si>
  <si>
    <t>-41.097122</t>
  </si>
  <si>
    <t>(075) 98881-1906</t>
  </si>
  <si>
    <t>0225-0239</t>
  </si>
  <si>
    <t>IURE SOUSA DA SILVA</t>
  </si>
  <si>
    <t>ESTACAO GOURMET   01</t>
  </si>
  <si>
    <t>PRC ANTONIO MUNIZ, 38</t>
  </si>
  <si>
    <t>-12.083236</t>
  </si>
  <si>
    <t>-41.094350</t>
  </si>
  <si>
    <t>(075) 98892-1595</t>
  </si>
  <si>
    <t>0225-0243</t>
  </si>
  <si>
    <t>FLAVIANE SOUSA MAIA</t>
  </si>
  <si>
    <t>O BARATAO         01</t>
  </si>
  <si>
    <t>RUA RUA NILO PESCANHA, 9</t>
  </si>
  <si>
    <t>-12.074237</t>
  </si>
  <si>
    <t>-41.091652</t>
  </si>
  <si>
    <t>(075) 98884-9328</t>
  </si>
  <si>
    <t>0225-0245</t>
  </si>
  <si>
    <t>RICARDO MARTINS DE OLIVEIRA</t>
  </si>
  <si>
    <t>MERCADO BAHIA     02</t>
  </si>
  <si>
    <t>RUA RUA CLERISTON ANDRADE 83, 83</t>
  </si>
  <si>
    <t>-12.082749</t>
  </si>
  <si>
    <t>-41.094721</t>
  </si>
  <si>
    <t>(075) 98843-7998</t>
  </si>
  <si>
    <t>0225-0246</t>
  </si>
  <si>
    <t>FABIO FRANCISCO DOS SANTOS</t>
  </si>
  <si>
    <t>MERCADO NUCLEO RURAL</t>
  </si>
  <si>
    <t>RUA RUA IZALTINA MARIA DE SOUZA, 18</t>
  </si>
  <si>
    <t>-12.096389</t>
  </si>
  <si>
    <t>-41.105556</t>
  </si>
  <si>
    <t>(074) 99893-6480</t>
  </si>
  <si>
    <t>0225-0250</t>
  </si>
  <si>
    <t>CLEVES SANTOS DOS ANJOS DE UTINGA</t>
  </si>
  <si>
    <t>ATACADO E VAREJO VIT</t>
  </si>
  <si>
    <t>RUA RUA CASTRO ALVES, 36</t>
  </si>
  <si>
    <t>-12.082273</t>
  </si>
  <si>
    <t>-41.098194</t>
  </si>
  <si>
    <t>(075) 98842-8748</t>
  </si>
  <si>
    <t>0225-0252</t>
  </si>
  <si>
    <t>IAGO OLIVEIRA DA SILVA</t>
  </si>
  <si>
    <t>BRASA BURGUER</t>
  </si>
  <si>
    <t>PRC PRACA ANTONIO MUNIZ 19, 19</t>
  </si>
  <si>
    <t>-12.083027</t>
  </si>
  <si>
    <t>-41.095516</t>
  </si>
  <si>
    <t>(075) 99847-3435</t>
  </si>
  <si>
    <t>0225-0253</t>
  </si>
  <si>
    <t>W DA SILVA SOUZA</t>
  </si>
  <si>
    <t>MERCADINHO DO TINGO</t>
  </si>
  <si>
    <t>RUA TANCREDO NEVES SN</t>
  </si>
  <si>
    <t>SANTA LUZIA</t>
  </si>
  <si>
    <t>-12.087759</t>
  </si>
  <si>
    <t>-41.105568</t>
  </si>
  <si>
    <t>(075) 98801-7335</t>
  </si>
  <si>
    <t>0225-0254</t>
  </si>
  <si>
    <t>LARISSA DOS SANTOS APPOLINARIO SERRANO</t>
  </si>
  <si>
    <t>MINI SALG DA LARI</t>
  </si>
  <si>
    <t>AV PAULO SOUTO, 5</t>
  </si>
  <si>
    <t>-12.077302</t>
  </si>
  <si>
    <t>-41.093456</t>
  </si>
  <si>
    <t>(011) 97116-3674</t>
  </si>
  <si>
    <t>0225-0255</t>
  </si>
  <si>
    <t>ADRIANA COSTA DA CUNHA</t>
  </si>
  <si>
    <t>SUPERMECA KI BARATO</t>
  </si>
  <si>
    <t>PRC ALCIDES PORFIRIO, 6</t>
  </si>
  <si>
    <t>-12.074980</t>
  </si>
  <si>
    <t>-41.089024</t>
  </si>
  <si>
    <t>(075) 98109-1205</t>
  </si>
  <si>
    <t>0225-0256</t>
  </si>
  <si>
    <t>ADENOR SANTOS SILVA</t>
  </si>
  <si>
    <t>ADEGA VIP         01</t>
  </si>
  <si>
    <t>RUA JULIO ANTONIO NETO 2</t>
  </si>
  <si>
    <t>-12.083462</t>
  </si>
  <si>
    <t>-41.095387</t>
  </si>
  <si>
    <t>(759) 08851-4902</t>
  </si>
  <si>
    <t>0225-0264</t>
  </si>
  <si>
    <t>EUGENIO DIAS DE SOUZA</t>
  </si>
  <si>
    <t>EUGENIO DIAS DE SOUZ</t>
  </si>
  <si>
    <t>RUA ANTONIO V DE OLIVEIRA, 48</t>
  </si>
  <si>
    <t>-12.073693</t>
  </si>
  <si>
    <t>-41.094201</t>
  </si>
  <si>
    <t>(077) 98135-7943</t>
  </si>
  <si>
    <t>0225-0265</t>
  </si>
  <si>
    <t>JOSE RIGNO DA SILVA OLIVEIRA</t>
  </si>
  <si>
    <t>MERCADO DE JUCA</t>
  </si>
  <si>
    <t>RUA CASTELO BRANCO, 21</t>
  </si>
  <si>
    <t>-12.073143</t>
  </si>
  <si>
    <t>-41.091911</t>
  </si>
  <si>
    <t>(075) 98896-9660</t>
  </si>
  <si>
    <t>0225-0268</t>
  </si>
  <si>
    <t>GILMAR DE OLIVEIRA SANTANA</t>
  </si>
  <si>
    <t>COMER DE BEBI OLIVEI</t>
  </si>
  <si>
    <t>PRC DA INDEPENDENCIA</t>
  </si>
  <si>
    <t>POV LAGOA BONITA UTI</t>
  </si>
  <si>
    <t>-12.081741</t>
  </si>
  <si>
    <t>-41.096621</t>
  </si>
  <si>
    <t>(075) 98841-8555</t>
  </si>
  <si>
    <t>0225-0269</t>
  </si>
  <si>
    <t>JOAO SANTOS NASCIMENTO DE UTINGA</t>
  </si>
  <si>
    <t>MERCADINHO POPULAR05</t>
  </si>
  <si>
    <t>RUA JOVINIANO BASTOS, 48</t>
  </si>
  <si>
    <t>-12.082044</t>
  </si>
  <si>
    <t>-41.096349</t>
  </si>
  <si>
    <t>(075) 98867-8333</t>
  </si>
  <si>
    <t>0225-0270</t>
  </si>
  <si>
    <t>MARILEIDE NUNES ALENCAR PALHA</t>
  </si>
  <si>
    <t>CASA DA ESFIHA</t>
  </si>
  <si>
    <t>RUA LO MARCIONILIO DE SOUZA, 270</t>
  </si>
  <si>
    <t>-12.082969</t>
  </si>
  <si>
    <t>-41.095148</t>
  </si>
  <si>
    <t>(075) 98856-8525</t>
  </si>
  <si>
    <t>0225-0271</t>
  </si>
  <si>
    <t>FC EMPREENDIMENTOS LTDA</t>
  </si>
  <si>
    <t>FARMACIA PRECO MAIS</t>
  </si>
  <si>
    <t>PRC PRAC WILSON PEIXOTO KARAOGLAN, 16</t>
  </si>
  <si>
    <t>-12.082508</t>
  </si>
  <si>
    <t>-41.097384</t>
  </si>
  <si>
    <t>(075) 99845-9626</t>
  </si>
  <si>
    <t>0225-0272</t>
  </si>
  <si>
    <t>SUPERMERCADO HIPER SURPRESA LTDA</t>
  </si>
  <si>
    <t>SUPERMERCADO HIPER S</t>
  </si>
  <si>
    <t>RUA PRESIDENTE KENNEDY, 92</t>
  </si>
  <si>
    <t>-12.074525</t>
  </si>
  <si>
    <t>-41.089491</t>
  </si>
  <si>
    <t>(075) 98877-8514</t>
  </si>
  <si>
    <t>0226-0008</t>
  </si>
  <si>
    <t>JOAO PEREIRA LIMA</t>
  </si>
  <si>
    <t>LANCHONETE IDEAL</t>
  </si>
  <si>
    <t>RUA AV FERNANDO DALTO DE FRO</t>
  </si>
  <si>
    <t>LAGES DOS BATATAS</t>
  </si>
  <si>
    <t>-11.052404</t>
  </si>
  <si>
    <t>-40.780580</t>
  </si>
  <si>
    <t>(074) 03674-2210</t>
  </si>
  <si>
    <t>0226-0012</t>
  </si>
  <si>
    <t>LUCIENE SOARES DOS SANTOS</t>
  </si>
  <si>
    <t>LANCHONETE SHALON</t>
  </si>
  <si>
    <t>AV FERNANDO DALTON</t>
  </si>
  <si>
    <t>LAGES DOS BATATA</t>
  </si>
  <si>
    <t>-11.052871</t>
  </si>
  <si>
    <t>-40.780422</t>
  </si>
  <si>
    <t>(740) 03674-2151</t>
  </si>
  <si>
    <t>0226-0017</t>
  </si>
  <si>
    <t>ROMILSON DOS SANTOS SILVA</t>
  </si>
  <si>
    <t>JN MERCADO</t>
  </si>
  <si>
    <t>RUA RUA DA AREIA, 72</t>
  </si>
  <si>
    <t>-11.259370</t>
  </si>
  <si>
    <t>-40.941680</t>
  </si>
  <si>
    <t>(740) 03659-2034</t>
  </si>
  <si>
    <t>0226-0019</t>
  </si>
  <si>
    <t>AELSON CERQUEIRA DE SOUZA</t>
  </si>
  <si>
    <t>COMERCIAL SOARES</t>
  </si>
  <si>
    <t>AV FERNANDO DALTOO</t>
  </si>
  <si>
    <t>-11.052395</t>
  </si>
  <si>
    <t>-40.781170</t>
  </si>
  <si>
    <t>(740) 03674-2181</t>
  </si>
  <si>
    <t>0226-0020</t>
  </si>
  <si>
    <t>ALDA HENRIQUE DINIZ FERREIRA</t>
  </si>
  <si>
    <t>MERCADINHO QUEIROZ</t>
  </si>
  <si>
    <t>AV AV FERNANDO DALTOO, 363 / 02260020</t>
  </si>
  <si>
    <t>-11.052080</t>
  </si>
  <si>
    <t>-40.781550</t>
  </si>
  <si>
    <t>(740) 03674-2310</t>
  </si>
  <si>
    <t>0226-0039</t>
  </si>
  <si>
    <t>SABRINA SANDI GOMES E SILVA</t>
  </si>
  <si>
    <t>SUPER ROCHA 0103</t>
  </si>
  <si>
    <t>RUA RUA JOAO B DOS SANTOS, 167 / 02260039</t>
  </si>
  <si>
    <t>-11.255417</t>
  </si>
  <si>
    <t>-40.943085</t>
  </si>
  <si>
    <t>(074) 08801-2590</t>
  </si>
  <si>
    <t>0226-0047</t>
  </si>
  <si>
    <t>ISRAEL LOPES MEDEIROS</t>
  </si>
  <si>
    <t>MERCADINH COMPRE BEM</t>
  </si>
  <si>
    <t>RUA JOAO DE SOUZA OLIVEIRA, 148</t>
  </si>
  <si>
    <t>CENTRO V NOVA</t>
  </si>
  <si>
    <t>-11.260674</t>
  </si>
  <si>
    <t>-40.942780</t>
  </si>
  <si>
    <t>(740) 03659-2477</t>
  </si>
  <si>
    <t>0226-0054</t>
  </si>
  <si>
    <t>AGAMENON ARAUJO MOTA</t>
  </si>
  <si>
    <t>GAL MERC E QUITANDA</t>
  </si>
  <si>
    <t>PRC REINALDO MAGALHAES DA QUADRA</t>
  </si>
  <si>
    <t>-11.052758</t>
  </si>
  <si>
    <t>-40.781540</t>
  </si>
  <si>
    <t>(740) 03674-2099</t>
  </si>
  <si>
    <t>0226-0057</t>
  </si>
  <si>
    <t>EDIVANE GONCALVES</t>
  </si>
  <si>
    <t>PADARIA E LANCH IDE</t>
  </si>
  <si>
    <t>PRC PCA ZACARIAS D DE JESUS</t>
  </si>
  <si>
    <t>-11.256775</t>
  </si>
  <si>
    <t>-40.942207</t>
  </si>
  <si>
    <t>(074) 08821-8242</t>
  </si>
  <si>
    <t>0226-0070</t>
  </si>
  <si>
    <t>JOSE JOILSON CARNEIRO</t>
  </si>
  <si>
    <t>MERCEARIA KELIJAN</t>
  </si>
  <si>
    <t>JACOBINA</t>
  </si>
  <si>
    <t>RUA BOM JESUS</t>
  </si>
  <si>
    <t>-10.973227</t>
  </si>
  <si>
    <t>-40.767403</t>
  </si>
  <si>
    <t>(740) 03624-9043</t>
  </si>
  <si>
    <t>0226-0073</t>
  </si>
  <si>
    <t>SULENE NASCIMENTO DOS SANTOS</t>
  </si>
  <si>
    <t>RES PORTAL DA CIDADE</t>
  </si>
  <si>
    <t>AV AV FERNANDO DALTO LAJE</t>
  </si>
  <si>
    <t>-11.051855</t>
  </si>
  <si>
    <t>-40.781845</t>
  </si>
  <si>
    <t>(740) 98838-5950</t>
  </si>
  <si>
    <t>0226-0074</t>
  </si>
  <si>
    <t>IRACEMA ROSA DOS SANTOS</t>
  </si>
  <si>
    <t>LANCHONETE VITORIA</t>
  </si>
  <si>
    <t>AV FERNANDO DALTO UM</t>
  </si>
  <si>
    <t>-11.052478</t>
  </si>
  <si>
    <t>-40.780518</t>
  </si>
  <si>
    <t>(740) 03674-2119</t>
  </si>
  <si>
    <t>0226-0075</t>
  </si>
  <si>
    <t>VALDEZ SILVA SANTOS</t>
  </si>
  <si>
    <t>REST MERC DO IGOR</t>
  </si>
  <si>
    <t>AV FERNANDO DALTO, 341</t>
  </si>
  <si>
    <t>BR 130</t>
  </si>
  <si>
    <t>-11.051694</t>
  </si>
  <si>
    <t>-40.781822</t>
  </si>
  <si>
    <t>(074) 03677-2322</t>
  </si>
  <si>
    <t>0226-0077</t>
  </si>
  <si>
    <t>TASSIANE BARBOSA A SANTOS</t>
  </si>
  <si>
    <t>CHURRASCARIA CAMINHO</t>
  </si>
  <si>
    <t>RUA RUA GILBERTO MIRANDA, 139</t>
  </si>
  <si>
    <t>-11.253214</t>
  </si>
  <si>
    <t>-40.946465</t>
  </si>
  <si>
    <t>(740) 98855-7598</t>
  </si>
  <si>
    <t>0226-0081</t>
  </si>
  <si>
    <t>MARIA DA GLORIA CAMPOS DA CRUZ</t>
  </si>
  <si>
    <t>MERCADO CAMPOS 01</t>
  </si>
  <si>
    <t>RUA QUINTINO ALVES / 02260081</t>
  </si>
  <si>
    <t>-11.055237</t>
  </si>
  <si>
    <t>-40.783028</t>
  </si>
  <si>
    <t>(740) 03674-2315</t>
  </si>
  <si>
    <t>0226-0086</t>
  </si>
  <si>
    <t>CRISTIAN OLIVEIRA DO CARMO</t>
  </si>
  <si>
    <t>MERCADO DO LEI</t>
  </si>
  <si>
    <t>RUA DA ARENA / 02260086</t>
  </si>
  <si>
    <t>-11.273125</t>
  </si>
  <si>
    <t>-41.019540</t>
  </si>
  <si>
    <t>(074) 98841-2407</t>
  </si>
  <si>
    <t>0226-0099</t>
  </si>
  <si>
    <t>ZAQUEU SILVESTRE DE OLIVEIRA JUNIOR</t>
  </si>
  <si>
    <t>CANTINA DO ZAQUEU</t>
  </si>
  <si>
    <t>RUA RUA OTACILIO ALCANTRA, 16</t>
  </si>
  <si>
    <t>-11.257112</t>
  </si>
  <si>
    <t>-40.942130</t>
  </si>
  <si>
    <t>(740) 03659-2177</t>
  </si>
  <si>
    <t>0226-0101</t>
  </si>
  <si>
    <t>DAVI TITO DA SILVA</t>
  </si>
  <si>
    <t>MERCADO DE TITO</t>
  </si>
  <si>
    <t>AV AV FERNANDO DALINO / 02260101</t>
  </si>
  <si>
    <t>LAGE DOS BATATA</t>
  </si>
  <si>
    <t>-11.052443</t>
  </si>
  <si>
    <t>-40.781036</t>
  </si>
  <si>
    <t>(740) 03674-2123</t>
  </si>
  <si>
    <t>0226-0132</t>
  </si>
  <si>
    <t>CAROLINA DA SILVA PEREIRA</t>
  </si>
  <si>
    <t>POINT RC</t>
  </si>
  <si>
    <t>PRC PRACA REINALDO MAGALHOES SN</t>
  </si>
  <si>
    <t>LAGES DO BATATA</t>
  </si>
  <si>
    <t>-11.053213</t>
  </si>
  <si>
    <t>-40.779640</t>
  </si>
  <si>
    <t>(740) 98849-5535</t>
  </si>
  <si>
    <t>0226-0144</t>
  </si>
  <si>
    <t>VALTEMIR BATISTA DOS SANTOS</t>
  </si>
  <si>
    <t>MERCADO DO VAL</t>
  </si>
  <si>
    <t>RUA DA BRASILA, 39</t>
  </si>
  <si>
    <t>-11.275556</t>
  </si>
  <si>
    <t>-41.020557</t>
  </si>
  <si>
    <t>(740) 08852-1611</t>
  </si>
  <si>
    <t>0226-0148</t>
  </si>
  <si>
    <t>ANTONIO SOUZA DE DEUS</t>
  </si>
  <si>
    <t>SUP COMPRE BEM</t>
  </si>
  <si>
    <t>MIRANGABA</t>
  </si>
  <si>
    <t>AV ROCHA PIRES, 32</t>
  </si>
  <si>
    <t>-10.955061</t>
  </si>
  <si>
    <t>-40.575462</t>
  </si>
  <si>
    <t>(500) 03630-2013</t>
  </si>
  <si>
    <t>0226-0149</t>
  </si>
  <si>
    <t>REGIANE MENDES ROCHA</t>
  </si>
  <si>
    <t>VARANDAS RESTAURANTE</t>
  </si>
  <si>
    <t>PRC JURACI MAGALHAES SN / 02260149</t>
  </si>
  <si>
    <t>CENTRO MIRANGABA</t>
  </si>
  <si>
    <t>-10.954463</t>
  </si>
  <si>
    <t>-40.575690</t>
  </si>
  <si>
    <t>(074) 03630-2111</t>
  </si>
  <si>
    <t>0226-0150</t>
  </si>
  <si>
    <t>CARLOS ALBERTO MENDES RIBEIRO</t>
  </si>
  <si>
    <t>PANIF MIRANGABA</t>
  </si>
  <si>
    <t>PRC JURACI MAGALHAES SN</t>
  </si>
  <si>
    <t>-10.954304</t>
  </si>
  <si>
    <t>-40.575700</t>
  </si>
  <si>
    <t>(074) 98115-2386</t>
  </si>
  <si>
    <t>0226-0153</t>
  </si>
  <si>
    <t>IDELSON MENDES FILHO</t>
  </si>
  <si>
    <t>BAR DO FARRACHO</t>
  </si>
  <si>
    <t>PRC P JURACI MAGALHAES SN</t>
  </si>
  <si>
    <t>-10.954056</t>
  </si>
  <si>
    <t>-40.576090</t>
  </si>
  <si>
    <t>(074) 98103-9420</t>
  </si>
  <si>
    <t>0226-0160</t>
  </si>
  <si>
    <t>REGINALDO DE ANDRADE SILVA</t>
  </si>
  <si>
    <t>MERCADO RIOS</t>
  </si>
  <si>
    <t>RUA MANOEL NOVAIS NN</t>
  </si>
  <si>
    <t>TAQUARANDI</t>
  </si>
  <si>
    <t>-10.890620</t>
  </si>
  <si>
    <t>-40.701077</t>
  </si>
  <si>
    <t>(074) 98140-3286</t>
  </si>
  <si>
    <t>0226-0170</t>
  </si>
  <si>
    <t>JOSE JEICSON PORTO DANTAS</t>
  </si>
  <si>
    <t>COMERCIAL DANTAS</t>
  </si>
  <si>
    <t>RUA FERNANDO DOUTOR SN / 02260170</t>
  </si>
  <si>
    <t>-11.052513</t>
  </si>
  <si>
    <t>-40.780350</t>
  </si>
  <si>
    <t>(074) 98827-2596</t>
  </si>
  <si>
    <t>0226-0180</t>
  </si>
  <si>
    <t>RAFAELA SILVA DE SOUZA DIAS</t>
  </si>
  <si>
    <t>MERCADO BELA VISTA</t>
  </si>
  <si>
    <t>RUA DUQUE DE CAIXIAS, 32</t>
  </si>
  <si>
    <t>-10.954783</t>
  </si>
  <si>
    <t>-40.575264</t>
  </si>
  <si>
    <t>(400) 08125-5556</t>
  </si>
  <si>
    <t>0226-0190</t>
  </si>
  <si>
    <t>TACIO COSTA MONTENEGRO</t>
  </si>
  <si>
    <t>MERC E PADARIA</t>
  </si>
  <si>
    <t>PRC PRACA DAS ARVORES</t>
  </si>
  <si>
    <t>MULUNGU</t>
  </si>
  <si>
    <t>-11.201623</t>
  </si>
  <si>
    <t>-41.028110</t>
  </si>
  <si>
    <t>(074) 98857-0678</t>
  </si>
  <si>
    <t>0226-0193</t>
  </si>
  <si>
    <t>DAVID ALCANTARA DE SOUZA BASTOS</t>
  </si>
  <si>
    <t>MERC MINI PRECO</t>
  </si>
  <si>
    <t>PRE PRC DO COMERCIO</t>
  </si>
  <si>
    <t>-11.202880</t>
  </si>
  <si>
    <t>-41.028313</t>
  </si>
  <si>
    <t>(740) 03659-6003</t>
  </si>
  <si>
    <t>0226-0195</t>
  </si>
  <si>
    <t>MANOEL MESSIAS DOS SANTOS JUNIOR</t>
  </si>
  <si>
    <t>MARQUES SUPERMERCADO</t>
  </si>
  <si>
    <t>AV AV JONAS CARVALHO, 26</t>
  </si>
  <si>
    <t>-10.956116</t>
  </si>
  <si>
    <t>-40.574936</t>
  </si>
  <si>
    <t>(740) 03630-2084</t>
  </si>
  <si>
    <t>0226-0202</t>
  </si>
  <si>
    <t>JAIILSON SILVESTRE FREIRE</t>
  </si>
  <si>
    <t>COMERCIAL IRM FREIRE</t>
  </si>
  <si>
    <t>PRC PRACA CENTRO, 108</t>
  </si>
  <si>
    <t>-10.890352</t>
  </si>
  <si>
    <t>-40.698612</t>
  </si>
  <si>
    <t>(740) 03671-7146</t>
  </si>
  <si>
    <t>0226-0203</t>
  </si>
  <si>
    <t>ADAILDA CARNEIRO LUCIO</t>
  </si>
  <si>
    <t>MERCADO QUANTO</t>
  </si>
  <si>
    <t>PRC PRACA ROSA MARQUES, 2</t>
  </si>
  <si>
    <t>-10.975185</t>
  </si>
  <si>
    <t>-40.765340</t>
  </si>
  <si>
    <t>0226-0206</t>
  </si>
  <si>
    <t>EVERALDO MAIA DA SILVA</t>
  </si>
  <si>
    <t>DISTRIBUIDORA MS</t>
  </si>
  <si>
    <t>PRC QUADRA</t>
  </si>
  <si>
    <t>-11.053275</t>
  </si>
  <si>
    <t>-40.781944</t>
  </si>
  <si>
    <t>(740) 03674-2384</t>
  </si>
  <si>
    <t>0226-0219</t>
  </si>
  <si>
    <t>NILDOMAR PENA FORTE</t>
  </si>
  <si>
    <t>PADARIA PENA FORTE04</t>
  </si>
  <si>
    <t>RUA R MORRO DO CHAPEU, 1077</t>
  </si>
  <si>
    <t>-11.053531</t>
  </si>
  <si>
    <t>-40.781178</t>
  </si>
  <si>
    <t>(074) 08817-0357</t>
  </si>
  <si>
    <t>0226-0220</t>
  </si>
  <si>
    <t>DIEGO DE CARVALHO</t>
  </si>
  <si>
    <t>MERCADO ESQUINAO</t>
  </si>
  <si>
    <t>RUA RUA DA SAUDADE, 23</t>
  </si>
  <si>
    <t>-11.054474</t>
  </si>
  <si>
    <t>-40.783530</t>
  </si>
  <si>
    <t>(074) 98828-0973</t>
  </si>
  <si>
    <t>0226-0229</t>
  </si>
  <si>
    <t>JUCIVAN MARTINS DOS SANTOS</t>
  </si>
  <si>
    <t>VERDURAO 01</t>
  </si>
  <si>
    <t>AV AV ANTERO ROCHA MONTENEGRO, 222</t>
  </si>
  <si>
    <t>-11.255832</t>
  </si>
  <si>
    <t>-40.944073</t>
  </si>
  <si>
    <t>(074) 98821-6667</t>
  </si>
  <si>
    <t>0226-0232</t>
  </si>
  <si>
    <t>ALEX SANDRO FRANCISCO VIEIRA</t>
  </si>
  <si>
    <t>LANCHONETE BUTECO</t>
  </si>
  <si>
    <t>RUA R LIBORIO POLES ALMEIDA, 26</t>
  </si>
  <si>
    <t>-10.728121</t>
  </si>
  <si>
    <t>-41.321957</t>
  </si>
  <si>
    <t>(074) 98801-1312</t>
  </si>
  <si>
    <t>0226-0233</t>
  </si>
  <si>
    <t>MARINALVA LIMA DA SILVA</t>
  </si>
  <si>
    <t>MERCADO MUNIZ</t>
  </si>
  <si>
    <t>RUA R DA TABUA, 1048</t>
  </si>
  <si>
    <t>RURAL TABUA/TABUA</t>
  </si>
  <si>
    <t>-11.071306</t>
  </si>
  <si>
    <t>-41.118720</t>
  </si>
  <si>
    <t>(074) 98142-4198</t>
  </si>
  <si>
    <t>0226-0248</t>
  </si>
  <si>
    <t>HAROLDO FREIRE DE LIMA</t>
  </si>
  <si>
    <t>MERCADO DA SIMONE</t>
  </si>
  <si>
    <t>PRC OTACILIO ALCANTARA, 21</t>
  </si>
  <si>
    <t>-11.257067</t>
  </si>
  <si>
    <t>-40.942673</t>
  </si>
  <si>
    <t>(074) 98809-5022</t>
  </si>
  <si>
    <t>0226-0251</t>
  </si>
  <si>
    <t>ANTONIO QUEIROZ DE AZEVEDO</t>
  </si>
  <si>
    <t>BAR ANDORINHA</t>
  </si>
  <si>
    <t>AV PRESIDENTE MEDICI, 996</t>
  </si>
  <si>
    <t>-11.259678</t>
  </si>
  <si>
    <t>-40.944060</t>
  </si>
  <si>
    <t>(074) 08805-5166</t>
  </si>
  <si>
    <t>0226-0263</t>
  </si>
  <si>
    <t>ALEIDIANE COSTA SILVA</t>
  </si>
  <si>
    <t>CASA DE CARNES MOURA</t>
  </si>
  <si>
    <t>PRC GILBERTO MIRANDA, 26</t>
  </si>
  <si>
    <t>-11.252533</t>
  </si>
  <si>
    <t>-40.946568</t>
  </si>
  <si>
    <t>(074) 98805-5080</t>
  </si>
  <si>
    <t>0226-0266</t>
  </si>
  <si>
    <t>MARIVANIA SILVA DE CARVALHO</t>
  </si>
  <si>
    <t>CESTAO POPULAR 01</t>
  </si>
  <si>
    <t>RUA R JOAO CARLOS SANTANA, 910</t>
  </si>
  <si>
    <t>-11.257845</t>
  </si>
  <si>
    <t>-40.945780</t>
  </si>
  <si>
    <t>(074) 98852-3370</t>
  </si>
  <si>
    <t>0226-0268</t>
  </si>
  <si>
    <t>RENATO ALISON DOS SANTOS</t>
  </si>
  <si>
    <t>BAR REI DO CHURRASCO</t>
  </si>
  <si>
    <t>RUA R GILBERTO MIRANDA, 51</t>
  </si>
  <si>
    <t>-11.251528</t>
  </si>
  <si>
    <t>-40.945810</t>
  </si>
  <si>
    <t>(074) 98851-4057</t>
  </si>
  <si>
    <t>0226-0273</t>
  </si>
  <si>
    <t>FILIPE DE MEDEIROS CALVALCANTE</t>
  </si>
  <si>
    <t>SUP ECONOMICO</t>
  </si>
  <si>
    <t>PRC PC OTACILIO ALCANTARA, 140</t>
  </si>
  <si>
    <t>-11.257749</t>
  </si>
  <si>
    <t>-40.942850</t>
  </si>
  <si>
    <t>(074) 98862-9507</t>
  </si>
  <si>
    <t>0226-0276</t>
  </si>
  <si>
    <t>EUZANI GOMES DE SOUZA</t>
  </si>
  <si>
    <t>DIAMANTINA GRIL</t>
  </si>
  <si>
    <t>PRC PC GILBERTO MIRANDA, 53</t>
  </si>
  <si>
    <t>-11.252872</t>
  </si>
  <si>
    <t>-40.946150</t>
  </si>
  <si>
    <t>(074) 98133-0310</t>
  </si>
  <si>
    <t>0226-0278</t>
  </si>
  <si>
    <t>DAIANE DA CRUZ SILVA SANTOS</t>
  </si>
  <si>
    <t>MERCEARIA SILVA 12</t>
  </si>
  <si>
    <t>RUA RUA QUINTINO ALVES, 560</t>
  </si>
  <si>
    <t>-11.054606</t>
  </si>
  <si>
    <t>-40.780960</t>
  </si>
  <si>
    <t>(074) 98863-8944</t>
  </si>
  <si>
    <t>0226-0281</t>
  </si>
  <si>
    <t>ZAQUEU S. DE OLIVEIRA JUNIOR</t>
  </si>
  <si>
    <t>QUEU DISTRIBUIDORA</t>
  </si>
  <si>
    <t>PRC PRACA GILBERTO MIRANDA, 344</t>
  </si>
  <si>
    <t>-11.252160</t>
  </si>
  <si>
    <t>-40.946323</t>
  </si>
  <si>
    <t>(074) 98839-6940</t>
  </si>
  <si>
    <t>0226-0282</t>
  </si>
  <si>
    <t>LOURENILTON OLIVEIRA DE SOUZA</t>
  </si>
  <si>
    <t>LG LANCHES E MERCEAR</t>
  </si>
  <si>
    <t>RUA RUA SAO JOAO, 398</t>
  </si>
  <si>
    <t>-11.249537</t>
  </si>
  <si>
    <t>-40.949272</t>
  </si>
  <si>
    <t>(062) 28458-7638</t>
  </si>
  <si>
    <t>0226-0283</t>
  </si>
  <si>
    <t>IVANILTON ANJOS DOS SANTOS</t>
  </si>
  <si>
    <t>REST RECANTO DO SABO</t>
  </si>
  <si>
    <t>PRC PRCA GILBERTO MIRANDA, 256</t>
  </si>
  <si>
    <t>-11.252629</t>
  </si>
  <si>
    <t>-40.945960</t>
  </si>
  <si>
    <t>(074) 98114-4840</t>
  </si>
  <si>
    <t>0226-0284</t>
  </si>
  <si>
    <t>VICENTE DE PAULO SILVA DE SOUZA</t>
  </si>
  <si>
    <t>SITIO NININHO SOM</t>
  </si>
  <si>
    <t>TRV TRAVESSA IRMA DULCE 3, 258</t>
  </si>
  <si>
    <t>-11.264023</t>
  </si>
  <si>
    <t>-40.940136</t>
  </si>
  <si>
    <t>(074) 98818-5883</t>
  </si>
  <si>
    <t>0226-0298</t>
  </si>
  <si>
    <t>MARIA BETANIA DE MOURA</t>
  </si>
  <si>
    <t>RESTAURANTE COMIDA</t>
  </si>
  <si>
    <t>PRC PRACA GILBERTO MIRANDA, 36</t>
  </si>
  <si>
    <t>-11.252876</t>
  </si>
  <si>
    <t>-40.946808</t>
  </si>
  <si>
    <t>(074) 98816-9263</t>
  </si>
  <si>
    <t>0226-0301</t>
  </si>
  <si>
    <t>NILZANE GOMES DE SOUZA</t>
  </si>
  <si>
    <t>UELINGTON SUPERMERCA</t>
  </si>
  <si>
    <t>RUA RUA JOSE PEDRO DA SILVA, 524</t>
  </si>
  <si>
    <t>-11.263056</t>
  </si>
  <si>
    <t>-40.942223</t>
  </si>
  <si>
    <t>(074) 98807-7887</t>
  </si>
  <si>
    <t>0226-0306</t>
  </si>
  <si>
    <t>LENON LIMA DA SILVA</t>
  </si>
  <si>
    <t>SUPERMERCADO LAGES01</t>
  </si>
  <si>
    <t>RUA RUA DA USINA, 342</t>
  </si>
  <si>
    <t>-11.053014</t>
  </si>
  <si>
    <t>-40.781145</t>
  </si>
  <si>
    <t>(074) 98829-5269</t>
  </si>
  <si>
    <t>0226-0310</t>
  </si>
  <si>
    <t>ELZANEIDE OLIVEIRA DE SOUZA SILVESTRE</t>
  </si>
  <si>
    <t>PIZZARIA SILVESTRE</t>
  </si>
  <si>
    <t>RUA RUA ARIOBALDO FIGUEREIDO DE OLIVEIRA, 66</t>
  </si>
  <si>
    <t>-11.254581</t>
  </si>
  <si>
    <t>-40.943825</t>
  </si>
  <si>
    <t>(074) 98834-2768</t>
  </si>
  <si>
    <t>0226-0311</t>
  </si>
  <si>
    <t>BETANIA SOARES DE JESUS</t>
  </si>
  <si>
    <t>MERCADO 3 IRMAOS  01</t>
  </si>
  <si>
    <t>PRC PRACA ZACARIAS DOMINGOS DE JESU, 60</t>
  </si>
  <si>
    <t>-11.256720</t>
  </si>
  <si>
    <t>-40.942272</t>
  </si>
  <si>
    <t>(074) 98831-4845</t>
  </si>
  <si>
    <t>0226-0312</t>
  </si>
  <si>
    <t>JUNIOR NEVES DA SILVA</t>
  </si>
  <si>
    <t>MERCADINHO J FAGUNDE</t>
  </si>
  <si>
    <t>RUA RUA JOSE PEDRO DA SILVA, 78</t>
  </si>
  <si>
    <t>-11.264524</t>
  </si>
  <si>
    <t>-40.940690</t>
  </si>
  <si>
    <t>(074) 98861-2608</t>
  </si>
  <si>
    <t>0226-0314</t>
  </si>
  <si>
    <t>LAUDIANA SILVA SOUZA MAIA</t>
  </si>
  <si>
    <t>SUPER LOCADORA</t>
  </si>
  <si>
    <t>TRV TRAVESSA II NOVA ESPERANCA, 81</t>
  </si>
  <si>
    <t>-11.249510</t>
  </si>
  <si>
    <t>-40.950180</t>
  </si>
  <si>
    <t>(074) 98829-3003</t>
  </si>
  <si>
    <t>0226-0317</t>
  </si>
  <si>
    <t>SUPERMERCADO CARIELE EIRELI</t>
  </si>
  <si>
    <t>SUPERMERCADO DANTAS</t>
  </si>
  <si>
    <t>AV AVENIDA FERNANDO DALTROO</t>
  </si>
  <si>
    <t>-11.052504</t>
  </si>
  <si>
    <t>-40.780434</t>
  </si>
  <si>
    <t>(074) 98818-4558</t>
  </si>
  <si>
    <t>0226-0318</t>
  </si>
  <si>
    <t>EDINALDO NASCIMENTO ALVES</t>
  </si>
  <si>
    <t>BAR DO BALLY</t>
  </si>
  <si>
    <t>PRC PRACA EDVALDO VALOIS COUTINHO, 10</t>
  </si>
  <si>
    <t>-11.255006</t>
  </si>
  <si>
    <t>-40.943386</t>
  </si>
  <si>
    <t>(074) 98814-3493</t>
  </si>
  <si>
    <t>0226-0322</t>
  </si>
  <si>
    <t>RICARDO PEIXOTO MENDONCA</t>
  </si>
  <si>
    <t>SUPERMERCADO MENDONC</t>
  </si>
  <si>
    <t>RUA RUA JOAO BARBOSA DOS SANTOS, 274</t>
  </si>
  <si>
    <t>-11.259117</t>
  </si>
  <si>
    <t>-40.942753</t>
  </si>
  <si>
    <t>(074) 98822-7060</t>
  </si>
  <si>
    <t>0226-0325</t>
  </si>
  <si>
    <t>ELIANA ALVES PESSOA DE ARAUJO</t>
  </si>
  <si>
    <t>MERCADINHO AB     01</t>
  </si>
  <si>
    <t>PRC PRACA DAS ARVORES N, 25</t>
  </si>
  <si>
    <t>MULUNGU VARZEA NOVA</t>
  </si>
  <si>
    <t>-11.201575</t>
  </si>
  <si>
    <t>-41.028340</t>
  </si>
  <si>
    <t>(074) 98832-8415</t>
  </si>
  <si>
    <t>0226-0329</t>
  </si>
  <si>
    <t>SILVESTRE OLIVEIRA LTDA</t>
  </si>
  <si>
    <t>MERCAO DO POVO</t>
  </si>
  <si>
    <t>AV AVENIDA LUIZ EDUARDO MAGALHAES, 290</t>
  </si>
  <si>
    <t>-11.258060</t>
  </si>
  <si>
    <t>-40.946316</t>
  </si>
  <si>
    <t>(074) 98857-8817</t>
  </si>
  <si>
    <t>0226-0336</t>
  </si>
  <si>
    <t>MAIRA BATISTA FREIRE</t>
  </si>
  <si>
    <t>MERC E CANTINA DO QU</t>
  </si>
  <si>
    <t>TRV TRAVESSA OTACILIO ALCANTARA, 21</t>
  </si>
  <si>
    <t>-11.252111</t>
  </si>
  <si>
    <t>-40.945675</t>
  </si>
  <si>
    <t>(074) 98839-6990</t>
  </si>
  <si>
    <t>0226-0337</t>
  </si>
  <si>
    <t>EDNOAN SILVA ARAUJO MARQUES DE VARZEA NO</t>
  </si>
  <si>
    <t>MINI MARQUES      01</t>
  </si>
  <si>
    <t>PRC PRACA GILBERTO MIRANDA, 500</t>
  </si>
  <si>
    <t>-11.252114</t>
  </si>
  <si>
    <t>-40.946480</t>
  </si>
  <si>
    <t>(074) 98821-5215</t>
  </si>
  <si>
    <t>0226-0339</t>
  </si>
  <si>
    <t>ZAILTON SILVESTRE DE OLIVEIRA</t>
  </si>
  <si>
    <t>SUPERMERCADO PAGUE M</t>
  </si>
  <si>
    <t>PRC PRACA ZACARIAS DOMINGOS DE JESUS</t>
  </si>
  <si>
    <t>-11.256563</t>
  </si>
  <si>
    <t>-40.942513</t>
  </si>
  <si>
    <t>(071) 08776-8632</t>
  </si>
  <si>
    <t>0226-0341</t>
  </si>
  <si>
    <t>VALDIRENE HELENA DE JESUS</t>
  </si>
  <si>
    <t>COMPLETE QUITANDA</t>
  </si>
  <si>
    <t>RUA RUA MAURICIO LOPES, 224</t>
  </si>
  <si>
    <t>-11.258324</t>
  </si>
  <si>
    <t>-40.940575</t>
  </si>
  <si>
    <t>(074) 98859-0234</t>
  </si>
  <si>
    <t>0226-0344</t>
  </si>
  <si>
    <t>JAMILE DE JESUS LAPA</t>
  </si>
  <si>
    <t>SUPER ECONOMICO</t>
  </si>
  <si>
    <t>PRC PRACA OTACILIO ALCANTARA, 132</t>
  </si>
  <si>
    <t>-11.257796</t>
  </si>
  <si>
    <t>-40.942870</t>
  </si>
  <si>
    <t>(074) 98150-9510</t>
  </si>
  <si>
    <t>0226-0347</t>
  </si>
  <si>
    <t>FRANCISCO DO NASCIMENTO</t>
  </si>
  <si>
    <t>BAR DO CHICO      01</t>
  </si>
  <si>
    <t>RUA RUA GILBERTO MIRANDA, 5</t>
  </si>
  <si>
    <t>-11.253063</t>
  </si>
  <si>
    <t>-40.946304</t>
  </si>
  <si>
    <t>(074) 98862-2786</t>
  </si>
  <si>
    <t>0226-0349</t>
  </si>
  <si>
    <t>MOACIR BASTOS DE ARAUJO</t>
  </si>
  <si>
    <t>MERCEARIA E DISTRI01</t>
  </si>
  <si>
    <t>AV AVENIDA 7 DE SETEMBRO, 117</t>
  </si>
  <si>
    <t>-11.249992</t>
  </si>
  <si>
    <t>-40.946712</t>
  </si>
  <si>
    <t>(074) 98130-3853</t>
  </si>
  <si>
    <t>0226-0353</t>
  </si>
  <si>
    <t>JOSE EDUARDO DA PAZ</t>
  </si>
  <si>
    <t>MERCEARIA SAO JOSE02</t>
  </si>
  <si>
    <t>RUA 2 DE JULHO, 156</t>
  </si>
  <si>
    <t>-11.248734</t>
  </si>
  <si>
    <t>-40.946850</t>
  </si>
  <si>
    <t>(074) 98105-4213</t>
  </si>
  <si>
    <t>0226-0354</t>
  </si>
  <si>
    <t>ADRIANA ARAUJO BASTOS</t>
  </si>
  <si>
    <t>MERCADINHO BASTOS</t>
  </si>
  <si>
    <t>RUA MANOEL NOVAIS S N</t>
  </si>
  <si>
    <t>-11.250248</t>
  </si>
  <si>
    <t>-40.947277</t>
  </si>
  <si>
    <t>(074) 98833-0344</t>
  </si>
  <si>
    <t>0226-0355</t>
  </si>
  <si>
    <t>LUCICLEIA DA CONCEICAO TIMOTEO</t>
  </si>
  <si>
    <t>MERCADINHO JUSTINO</t>
  </si>
  <si>
    <t>RUA RUA PEDRO ANTONIO DE AMORIM, 87</t>
  </si>
  <si>
    <t>-11.265000</t>
  </si>
  <si>
    <t>-40.941420</t>
  </si>
  <si>
    <t>(074) 98854-9749</t>
  </si>
  <si>
    <t>0226-0356</t>
  </si>
  <si>
    <t>QUEUMA CRISTINA DOS SANTOS ALMEIDA</t>
  </si>
  <si>
    <t>MESTRE DAS PIZZAS 02</t>
  </si>
  <si>
    <t>AV JOEL MODESTO, 193</t>
  </si>
  <si>
    <t>-11.845946</t>
  </si>
  <si>
    <t>-40.791490</t>
  </si>
  <si>
    <t>(074) 99986-2271</t>
  </si>
  <si>
    <t>0226-0357</t>
  </si>
  <si>
    <t>MARILUSIA SOUTO LIMA</t>
  </si>
  <si>
    <t>MERCADO PRIMO</t>
  </si>
  <si>
    <t>PRC GILBERTO MIRANDA, 41</t>
  </si>
  <si>
    <t>-11.252688</t>
  </si>
  <si>
    <t>-40.946484</t>
  </si>
  <si>
    <t>(074) 98188-8133</t>
  </si>
  <si>
    <t>0226-0358</t>
  </si>
  <si>
    <t>TAUANA PASSOS SILVA</t>
  </si>
  <si>
    <t>MESTRE DAS PIZZAS 03</t>
  </si>
  <si>
    <t>RUA ARTHUR GALDINO DE OLIVEIRA, 777777</t>
  </si>
  <si>
    <t>-11.256404</t>
  </si>
  <si>
    <t>-40.943608</t>
  </si>
  <si>
    <t>0226-0359</t>
  </si>
  <si>
    <t>GOMEZ E AZEVEDO LTDA</t>
  </si>
  <si>
    <t>SACOLA CHEIA      01</t>
  </si>
  <si>
    <t>RUA RUA JOAO CARLOS SANTANA</t>
  </si>
  <si>
    <t>-11.257798</t>
  </si>
  <si>
    <t>-40.945597</t>
  </si>
  <si>
    <t>(074) 98861-4218</t>
  </si>
  <si>
    <t>0226-0363</t>
  </si>
  <si>
    <t>MARIA VILMA DE SOUZA OLIVEIRA ANTONIO</t>
  </si>
  <si>
    <t>GELA GUELA        01</t>
  </si>
  <si>
    <t>RUA BAHIA, 100</t>
  </si>
  <si>
    <t>-11.250649</t>
  </si>
  <si>
    <t>-40.951278</t>
  </si>
  <si>
    <t>(074) 98119-8483</t>
  </si>
  <si>
    <t>0226-0364</t>
  </si>
  <si>
    <t>ELIZEU DE SOUZA CARNEIRO</t>
  </si>
  <si>
    <t>MERCADO CARNEIRO</t>
  </si>
  <si>
    <t>TRV JOSE PEDRO DA SILVA, 216</t>
  </si>
  <si>
    <t>-11.263274</t>
  </si>
  <si>
    <t>-40.942492</t>
  </si>
  <si>
    <t>(074) 98125-3156</t>
  </si>
  <si>
    <t>0226-0365</t>
  </si>
  <si>
    <t>E J DA SILVA E CIA LTDA</t>
  </si>
  <si>
    <t>MERCADO SILVA     05</t>
  </si>
  <si>
    <t>RUA RUA JOAO ALVES DE GONZAGA, 153</t>
  </si>
  <si>
    <t>CIDADE NOVA</t>
  </si>
  <si>
    <t>-11.251587</t>
  </si>
  <si>
    <t>-40.949635</t>
  </si>
  <si>
    <t>(074) 98805-2209</t>
  </si>
  <si>
    <t>0226-0366</t>
  </si>
  <si>
    <t>GIVAL CONCEICAO COSTA DE JESUS</t>
  </si>
  <si>
    <t>MERCADINHO TRIUNFO</t>
  </si>
  <si>
    <t>RUA JOSE PEDRO DA SILVA, 166</t>
  </si>
  <si>
    <t>-11.261920</t>
  </si>
  <si>
    <t>-40.944310</t>
  </si>
  <si>
    <t>(074) 98875-6412</t>
  </si>
  <si>
    <t>0226-0367</t>
  </si>
  <si>
    <t>IVAN DA SILVA OLIVEIRA</t>
  </si>
  <si>
    <t>BRAVOS BURGUER    01</t>
  </si>
  <si>
    <t>RUA RUA ANGELO BRANDAO, 65</t>
  </si>
  <si>
    <t>-11.256621</t>
  </si>
  <si>
    <t>-40.941671</t>
  </si>
  <si>
    <t>(064) 99261-8315</t>
  </si>
  <si>
    <t>0226-0368</t>
  </si>
  <si>
    <t>SANDRA GOMES DOS SANTOS OLIVEIRA</t>
  </si>
  <si>
    <t>MERCADINHO POPULAR06</t>
  </si>
  <si>
    <t>RUA RUA 7 DE SETEMBRO, 178</t>
  </si>
  <si>
    <t>-11.249903</t>
  </si>
  <si>
    <t>-40.144661</t>
  </si>
  <si>
    <t>(074) 98843-6364</t>
  </si>
  <si>
    <t>0226-0369</t>
  </si>
  <si>
    <t>STELLA VILAS BOAS RIOS SILVA LTDA</t>
  </si>
  <si>
    <t>ACAI E POUSADA BRASI</t>
  </si>
  <si>
    <t>PRC PRACA GILBERTO MIRANDA, 440</t>
  </si>
  <si>
    <t>-11.252144</t>
  </si>
  <si>
    <t>-40.946537</t>
  </si>
  <si>
    <t>(074) 98111-9646</t>
  </si>
  <si>
    <t>0226-0370</t>
  </si>
  <si>
    <t>FRANKLIN ALBERTO SOARES</t>
  </si>
  <si>
    <t>OS FAROFEIROS     01</t>
  </si>
  <si>
    <t>PRC PRACA GILBERTO MIRANDA, 721</t>
  </si>
  <si>
    <t>-11.254196</t>
  </si>
  <si>
    <t>-40.947805</t>
  </si>
  <si>
    <t>(074) 98838-7311</t>
  </si>
  <si>
    <t>0226-0371</t>
  </si>
  <si>
    <t>IDIANARA MIRANDA SANTOS</t>
  </si>
  <si>
    <t>MIX GELADAO</t>
  </si>
  <si>
    <t>RUA RUA ARIOBALDO FIGUEREIDO DE OLIVEIRA, 75</t>
  </si>
  <si>
    <t>-11.253937</t>
  </si>
  <si>
    <t>0227-0012</t>
  </si>
  <si>
    <t>SOLANGE DE JESUS PIRES PEREIRA</t>
  </si>
  <si>
    <t>MERCADINHO PIRES0131</t>
  </si>
  <si>
    <t>AV AVENIDA AVENIDA REGIS, 115</t>
  </si>
  <si>
    <t>-12.279607</t>
  </si>
  <si>
    <t>-41.165115</t>
  </si>
  <si>
    <t>(075) 98835-0507</t>
  </si>
  <si>
    <t>0227-0022</t>
  </si>
  <si>
    <t>EDVAN FERNANDES MOREIRA</t>
  </si>
  <si>
    <t>MERC. JOIA</t>
  </si>
  <si>
    <t>RUA AMERICO CHAGAS, 58</t>
  </si>
  <si>
    <t>-12.073786</t>
  </si>
  <si>
    <t>-41.088543</t>
  </si>
  <si>
    <t>(750) 08822-1687</t>
  </si>
  <si>
    <t>0227-0047</t>
  </si>
  <si>
    <t>NATALIA RIBEIRO DOS SANTOS ME</t>
  </si>
  <si>
    <t>STEPHANYA TRANSPORTE</t>
  </si>
  <si>
    <t>RUA RUA ANTONIO JARDIM, 11</t>
  </si>
  <si>
    <t>-12.281582</t>
  </si>
  <si>
    <t>-41.169735</t>
  </si>
  <si>
    <t>(075) 98838-0336</t>
  </si>
  <si>
    <t>0227-0055</t>
  </si>
  <si>
    <t>LENIRA SILVA BASTOS</t>
  </si>
  <si>
    <t>LB MERCADO</t>
  </si>
  <si>
    <t>AV AV 12 AGOSTO, 123</t>
  </si>
  <si>
    <t>-12.277489</t>
  </si>
  <si>
    <t>-41.166050</t>
  </si>
  <si>
    <t>(075) 98825-6995</t>
  </si>
  <si>
    <t>0227-0064</t>
  </si>
  <si>
    <t>CLEURIDES BRITO BRAGA ARAUJO</t>
  </si>
  <si>
    <t>IBA COMERCIAL</t>
  </si>
  <si>
    <t>RUA PADRE CONCEICAO, 9999</t>
  </si>
  <si>
    <t>-12.279366</t>
  </si>
  <si>
    <t>-41.166626</t>
  </si>
  <si>
    <t>(075) 98838-1667</t>
  </si>
  <si>
    <t>0227-0065</t>
  </si>
  <si>
    <t>ELZA ARAUJO ALVES</t>
  </si>
  <si>
    <t>LANCHONETE D GUST</t>
  </si>
  <si>
    <t>PRC PRACA ESMERALDO SENA, 28</t>
  </si>
  <si>
    <t>-12.282178</t>
  </si>
  <si>
    <t>-41.166103</t>
  </si>
  <si>
    <t>(075) 98804-0362</t>
  </si>
  <si>
    <t>0227-0079</t>
  </si>
  <si>
    <t>TARQUINO PIRES PEREIRA</t>
  </si>
  <si>
    <t>MERCADINHO J PIRES</t>
  </si>
  <si>
    <t>RUA ANTONIO JARDIM, 72</t>
  </si>
  <si>
    <t>-12.281923</t>
  </si>
  <si>
    <t>-41.167978</t>
  </si>
  <si>
    <t>(075) 98878-8323</t>
  </si>
  <si>
    <t>0227-0096</t>
  </si>
  <si>
    <t>EUDSON SANTOS BARROSA</t>
  </si>
  <si>
    <t>REST PONTO CERTO</t>
  </si>
  <si>
    <t>RUA RUA ADALGISA MARTINS, 30</t>
  </si>
  <si>
    <t>EGITO</t>
  </si>
  <si>
    <t>-12.288055</t>
  </si>
  <si>
    <t>-41.171390</t>
  </si>
  <si>
    <t>(075) 98884-2514</t>
  </si>
  <si>
    <t>0227-0099</t>
  </si>
  <si>
    <t>ELSON OLIVEIRA SACRAMENTO</t>
  </si>
  <si>
    <t>COMERCIAL SACRAMENTO</t>
  </si>
  <si>
    <t>RUA RUA EGITO, 67</t>
  </si>
  <si>
    <t>-12.288333</t>
  </si>
  <si>
    <t>-41.171665</t>
  </si>
  <si>
    <t>(075) 98803-1264</t>
  </si>
  <si>
    <t>0227-0103</t>
  </si>
  <si>
    <t>ITALO BRITO BRAGA ARAUJO</t>
  </si>
  <si>
    <t>RESTAURANTE DO ITALO</t>
  </si>
  <si>
    <t>RUA RUA POSTO DE GASOLINA</t>
  </si>
  <si>
    <t>-12.281667</t>
  </si>
  <si>
    <t>-41.172500</t>
  </si>
  <si>
    <t>(075) 99834-4778</t>
  </si>
  <si>
    <t>0227-0104</t>
  </si>
  <si>
    <t>UILLIAN PEREIRA BRITO VANSCONCELOS</t>
  </si>
  <si>
    <t>BOTECO E PET DO BOCA</t>
  </si>
  <si>
    <t>PRC PRACA 2 DE JULHO, 16</t>
  </si>
  <si>
    <t>-12.282222</t>
  </si>
  <si>
    <t>-41.165280</t>
  </si>
  <si>
    <t>(075) 98876-2280</t>
  </si>
  <si>
    <t>0227-0107</t>
  </si>
  <si>
    <t>ALLEFI ARAUJO DE OLIVEIRA</t>
  </si>
  <si>
    <t>SUPERMERCAD MEGA MIX</t>
  </si>
  <si>
    <t>AV AVENIDA 12 DE AGOSTO, 300</t>
  </si>
  <si>
    <t>-12.277705</t>
  </si>
  <si>
    <t>-41.166035</t>
  </si>
  <si>
    <t>(075) 98835-0538</t>
  </si>
  <si>
    <t>0227-0108</t>
  </si>
  <si>
    <t>ALINE RACHEL HORA BENEVIDES</t>
  </si>
  <si>
    <t>SUPERME BOM E BARATO</t>
  </si>
  <si>
    <t>RUA RUA ANTONIO JARDIM, 101</t>
  </si>
  <si>
    <t>-12.281513</t>
  </si>
  <si>
    <t>-41.169544</t>
  </si>
  <si>
    <t>(075) 88029-0148</t>
  </si>
  <si>
    <t>0227-0117</t>
  </si>
  <si>
    <t>ROSANE OLIVEIRA SANTOS CARNEIRO</t>
  </si>
  <si>
    <t>GELAGUAELA</t>
  </si>
  <si>
    <t>RUA RUA DR JONAS DIAS, 21</t>
  </si>
  <si>
    <t>-12.282669</t>
  </si>
  <si>
    <t>-41.170483</t>
  </si>
  <si>
    <t>(045) 99880-4808</t>
  </si>
  <si>
    <t>0227-0118</t>
  </si>
  <si>
    <t>ALAN MOREIRA DE ARAUJO</t>
  </si>
  <si>
    <t>DELICIAS ACAI E LANC</t>
  </si>
  <si>
    <t>PRC PRACA 02 DE JULHO, 50</t>
  </si>
  <si>
    <t>-12.282687</t>
  </si>
  <si>
    <t>-41.166020</t>
  </si>
  <si>
    <t>(075) 98863-4745</t>
  </si>
  <si>
    <t>0227-0120</t>
  </si>
  <si>
    <t>DANIELA GUIMARAES DA ROCHA</t>
  </si>
  <si>
    <t>ATACADAO UNIMAX</t>
  </si>
  <si>
    <t>10R RUA DALINA COSTA, 40</t>
  </si>
  <si>
    <t>-12.281891</t>
  </si>
  <si>
    <t>-41.165382</t>
  </si>
  <si>
    <t>(075) 99928-1911</t>
  </si>
  <si>
    <t>0227-0122</t>
  </si>
  <si>
    <t>TELMA BRITO DOS SANTOS</t>
  </si>
  <si>
    <t>PAGUE MENOS</t>
  </si>
  <si>
    <t>ROD BA VIA UTINGA</t>
  </si>
  <si>
    <t>-12.284648</t>
  </si>
  <si>
    <t>-41.173120</t>
  </si>
  <si>
    <t>(075) 98821-7783</t>
  </si>
  <si>
    <t>0227-0125</t>
  </si>
  <si>
    <t>WASHINGTON SATELES DE ARAUJO DE WAGNER</t>
  </si>
  <si>
    <t>O ZENGA</t>
  </si>
  <si>
    <t>RUA WAGNER</t>
  </si>
  <si>
    <t>-12.287786</t>
  </si>
  <si>
    <t>-41.170692</t>
  </si>
  <si>
    <t>(075) 98834-9514</t>
  </si>
  <si>
    <t>0227-0126</t>
  </si>
  <si>
    <t>PYEDRO DA SILVA DOS SANTOS</t>
  </si>
  <si>
    <t>RESTAU NOVO SABOR</t>
  </si>
  <si>
    <t>POV DO PEGA, 335577</t>
  </si>
  <si>
    <t>SAO SEBASTIAO</t>
  </si>
  <si>
    <t>-12.281133</t>
  </si>
  <si>
    <t>-41.166878</t>
  </si>
  <si>
    <t>(075) 99830-0148</t>
  </si>
  <si>
    <t>0227-0127</t>
  </si>
  <si>
    <t>EDINELMA MEIRA SANTANA LTDA</t>
  </si>
  <si>
    <t>MERCADO COMPRE BEM05</t>
  </si>
  <si>
    <t>ROD BA 142 WAGNER X UTINGA, 32</t>
  </si>
  <si>
    <t>RENOVACAO</t>
  </si>
  <si>
    <t>-12.279097</t>
  </si>
  <si>
    <t>-41.171768</t>
  </si>
  <si>
    <t>(075) 98837-0687</t>
  </si>
  <si>
    <t>0227-0128</t>
  </si>
  <si>
    <t>NICSON SILVA DE SOUZA</t>
  </si>
  <si>
    <t>DOCERIA COLMEIA</t>
  </si>
  <si>
    <t>PRC ESMERALDAO SENA, 28</t>
  </si>
  <si>
    <t>-12.281287</t>
  </si>
  <si>
    <t>-41.166220</t>
  </si>
  <si>
    <t>(075) 99998-1178</t>
  </si>
  <si>
    <t>0227-0129</t>
  </si>
  <si>
    <t>NARA IVIAN ANDRADE DE SOUZA</t>
  </si>
  <si>
    <t>COMERCIAL ANDRADE 03</t>
  </si>
  <si>
    <t>RUA PAULO SOUTO, 17</t>
  </si>
  <si>
    <t>-12.278368</t>
  </si>
  <si>
    <t>-41.171341</t>
  </si>
  <si>
    <t>(075) 98836-2741</t>
  </si>
  <si>
    <t>0227-0130</t>
  </si>
  <si>
    <t>JULIANA ALMEIDA GOMES PIRES LTDA</t>
  </si>
  <si>
    <t>SUPERMERCADO V PIRES</t>
  </si>
  <si>
    <t>RUA R DALILA COSTA, 5</t>
  </si>
  <si>
    <t>-12.281665</t>
  </si>
  <si>
    <t>-41.165245</t>
  </si>
  <si>
    <t>(075) 98898-8798</t>
  </si>
  <si>
    <t>0227-0131</t>
  </si>
  <si>
    <t>ACOUGUE E SUPERMERCADO KG LTDA</t>
  </si>
  <si>
    <t>SUPERMERCADO KG</t>
  </si>
  <si>
    <t>PRC PRACA DOIS DE JULHO, 37</t>
  </si>
  <si>
    <t>-12.282372</t>
  </si>
  <si>
    <t>-41.165908</t>
  </si>
  <si>
    <t>(075) 98821-4013</t>
  </si>
  <si>
    <t>0227-0132</t>
  </si>
  <si>
    <t>LETICIA JOVITA SACRAMENTO</t>
  </si>
  <si>
    <t>PIZZARIA FORNO A LE1</t>
  </si>
  <si>
    <t>RUA RUA EGITO, 77</t>
  </si>
  <si>
    <t>-12.285727</t>
  </si>
  <si>
    <t>-41.168507</t>
  </si>
  <si>
    <t>(075) 98813-4883</t>
  </si>
  <si>
    <t>0227-0133</t>
  </si>
  <si>
    <t>ALDINEIA COSTA DE ANDRANDE SILVA</t>
  </si>
  <si>
    <t>PANIFICA E LANCH DEL</t>
  </si>
  <si>
    <t>RUA 29 DE JANEIRO, 33</t>
  </si>
  <si>
    <t>-12.281918</t>
  </si>
  <si>
    <t>-41.169303</t>
  </si>
  <si>
    <t>(075) 98313-8789</t>
  </si>
  <si>
    <t>0227-0134</t>
  </si>
  <si>
    <t>RENILDO OLIVEIRA DE ALMEIDA</t>
  </si>
  <si>
    <t>R ESTRELA</t>
  </si>
  <si>
    <t>AV ERASMO BRAGA, 120</t>
  </si>
  <si>
    <t>-12.276886</t>
  </si>
  <si>
    <t>-41.167398</t>
  </si>
  <si>
    <t>(075) 98867-4160</t>
  </si>
  <si>
    <t>0228-0004</t>
  </si>
  <si>
    <t>ANELITA RIBEIRO DOS SANTOS</t>
  </si>
  <si>
    <t>BAR DA ANELITA</t>
  </si>
  <si>
    <t>AV AURORA AV, 440</t>
  </si>
  <si>
    <t>-10.827491</t>
  </si>
  <si>
    <t>-42.731470</t>
  </si>
  <si>
    <t>(740) 00661-2926</t>
  </si>
  <si>
    <t>0228-0006</t>
  </si>
  <si>
    <t>REGINALDO DOS SANTOS RAMOS</t>
  </si>
  <si>
    <t>RESTAURANT MAIS VOCE</t>
  </si>
  <si>
    <t>AV AV ACM</t>
  </si>
  <si>
    <t>-10.820777</t>
  </si>
  <si>
    <t>-42.723900</t>
  </si>
  <si>
    <t>(074) 99961-7928</t>
  </si>
  <si>
    <t>0228-0013</t>
  </si>
  <si>
    <t>FRANCISCO ROCHA DE CARVALHO</t>
  </si>
  <si>
    <t>DEDE LANCHES</t>
  </si>
  <si>
    <t>AV AV JJ SEABRA</t>
  </si>
  <si>
    <t>-10.824854</t>
  </si>
  <si>
    <t>-42.729565</t>
  </si>
  <si>
    <t>(740) 99199-4505</t>
  </si>
  <si>
    <t>0228-0015</t>
  </si>
  <si>
    <t>MARIA DE LURDES REJES DA SILVA</t>
  </si>
  <si>
    <t>BOX 14</t>
  </si>
  <si>
    <t>AV DO BARAO RIO BRANCO AV</t>
  </si>
  <si>
    <t>-10.819670</t>
  </si>
  <si>
    <t>-42.731815</t>
  </si>
  <si>
    <t>(740) 03661-2432</t>
  </si>
  <si>
    <t>0228-0019</t>
  </si>
  <si>
    <t>ZIZETE S OLIVEIRA</t>
  </si>
  <si>
    <t>MERCADINHO ECONOMICO</t>
  </si>
  <si>
    <t>PRC PRACA COMERCIO</t>
  </si>
  <si>
    <t>-10.820989</t>
  </si>
  <si>
    <t>-42.731674</t>
  </si>
  <si>
    <t>(074) 03661-4668</t>
  </si>
  <si>
    <t>0228-0026</t>
  </si>
  <si>
    <t>MARILENE SEVERINO DO NASCIMENTO BESSA</t>
  </si>
  <si>
    <t>POUSADA DO LEO</t>
  </si>
  <si>
    <t>RUA HERODITES NOGUEIRA RUA, 703</t>
  </si>
  <si>
    <t>-10.831018</t>
  </si>
  <si>
    <t>-42.731293</t>
  </si>
  <si>
    <t>(740) 98803-5988</t>
  </si>
  <si>
    <t>0228-0028</t>
  </si>
  <si>
    <t>PAULO SERGIO BASTOS FERRO</t>
  </si>
  <si>
    <t>DESEGRAF</t>
  </si>
  <si>
    <t>AV J J SEABRA AV, 274</t>
  </si>
  <si>
    <t>-10.824063</t>
  </si>
  <si>
    <t>-42.729110</t>
  </si>
  <si>
    <t>(074) 99808-6184</t>
  </si>
  <si>
    <t>0228-0029</t>
  </si>
  <si>
    <t>WILTON CARLOS VIEIRA FRAGA</t>
  </si>
  <si>
    <t>MERCADINHO MACEDO</t>
  </si>
  <si>
    <t>AV J J SEABRA AV, 312</t>
  </si>
  <si>
    <t>CENTRO-X.XIQU</t>
  </si>
  <si>
    <t>-10.824425</t>
  </si>
  <si>
    <t>-42.728500</t>
  </si>
  <si>
    <t>(074) 99987-4339</t>
  </si>
  <si>
    <t>0228-0038</t>
  </si>
  <si>
    <t>ARGEMIRO FERRERIA GUERRA</t>
  </si>
  <si>
    <t>BAR MARANHAO</t>
  </si>
  <si>
    <t>RUA MARANHAO, 268</t>
  </si>
  <si>
    <t>-10.819057</t>
  </si>
  <si>
    <t>-42.729940</t>
  </si>
  <si>
    <t>(074) 99905-9475</t>
  </si>
  <si>
    <t>0228-0045</t>
  </si>
  <si>
    <t>ALFREDO CUNHA FRANCA</t>
  </si>
  <si>
    <t>BAR E MERC VITORIA</t>
  </si>
  <si>
    <t>RUA RUA FLORIANO PEIXOTO, 123</t>
  </si>
  <si>
    <t>-10.827500</t>
  </si>
  <si>
    <t>-42.732777</t>
  </si>
  <si>
    <t>(071) 99655-4790</t>
  </si>
  <si>
    <t>0228-0048</t>
  </si>
  <si>
    <t>MANOEL DOS SANTOS LIMA</t>
  </si>
  <si>
    <t>MERCADO MAISA</t>
  </si>
  <si>
    <t>RUA PEDRO MARIANO, 855</t>
  </si>
  <si>
    <t>-10.816965</t>
  </si>
  <si>
    <t>-42.725395</t>
  </si>
  <si>
    <t>(740) 08807-9423</t>
  </si>
  <si>
    <t>0228-0061</t>
  </si>
  <si>
    <t>HAMILTON DA CUNHA E SILVA</t>
  </si>
  <si>
    <t>MERC HAMILTON</t>
  </si>
  <si>
    <t>RUA RUA DR DELIO LEDUX, 435</t>
  </si>
  <si>
    <t>-10.829819</t>
  </si>
  <si>
    <t>-42.729450</t>
  </si>
  <si>
    <t>(740) 00661-3765</t>
  </si>
  <si>
    <t>0228-0062</t>
  </si>
  <si>
    <t>PEDRO DANILO ALVES DE SOUZA</t>
  </si>
  <si>
    <t>MERCADO PAG MENOS</t>
  </si>
  <si>
    <t>RUA RUA LUCIA FERNANDES, 21</t>
  </si>
  <si>
    <t>-10.978713</t>
  </si>
  <si>
    <t>-42.356823</t>
  </si>
  <si>
    <t>(074) 99805-4157</t>
  </si>
  <si>
    <t>0228-0066</t>
  </si>
  <si>
    <t>RENATO PEREIRA JUVENAL</t>
  </si>
  <si>
    <t>BAR DO RENATO</t>
  </si>
  <si>
    <t>RUA RUA GOES CALMON, 374</t>
  </si>
  <si>
    <t>-10.826282</t>
  </si>
  <si>
    <t>-42.732685</t>
  </si>
  <si>
    <t>(740) 03661-1149</t>
  </si>
  <si>
    <t>0228-0072</t>
  </si>
  <si>
    <t>GILSON FRANCISCO DA SILVA</t>
  </si>
  <si>
    <t>DISTR SO FILE</t>
  </si>
  <si>
    <t>RUA RUA QUINTINO BOCAIUVA, 682</t>
  </si>
  <si>
    <t>-10.818422</t>
  </si>
  <si>
    <t>-42.725780</t>
  </si>
  <si>
    <t>(740) 99976-2537</t>
  </si>
  <si>
    <t>0228-0078</t>
  </si>
  <si>
    <t>IVANI DE MELO BASTOS</t>
  </si>
  <si>
    <t>MERCADINHO RAIO</t>
  </si>
  <si>
    <t>RUA RUY BARBOSA R</t>
  </si>
  <si>
    <t>-10.819720</t>
  </si>
  <si>
    <t>-42.728950</t>
  </si>
  <si>
    <t>(074) 03661-2702</t>
  </si>
  <si>
    <t>0228-0083</t>
  </si>
  <si>
    <t>DOVAIR ALVES DE QUEIROZ</t>
  </si>
  <si>
    <t>MERCADINHO ALVES 02</t>
  </si>
  <si>
    <t>RUA VIRGILIO BESSA RUA, 412</t>
  </si>
  <si>
    <t>-10.827595</t>
  </si>
  <si>
    <t>-42.730724</t>
  </si>
  <si>
    <t>(074) 98112-1245</t>
  </si>
  <si>
    <t>0228-0093</t>
  </si>
  <si>
    <t>CLAUDIO OLIVEIRA DE QUEIROZ</t>
  </si>
  <si>
    <t>J.J QUEIROZ</t>
  </si>
  <si>
    <t>RUA RUA SENFOROSA VIANA, 450</t>
  </si>
  <si>
    <t>POLIVALENTE</t>
  </si>
  <si>
    <t>-10.831087</t>
  </si>
  <si>
    <t>-42.726894</t>
  </si>
  <si>
    <t>(400) 03661-4182</t>
  </si>
  <si>
    <t>0228-0097</t>
  </si>
  <si>
    <t>MARILZA DA SILVA SOARES</t>
  </si>
  <si>
    <t>MERCADINHO SOARES</t>
  </si>
  <si>
    <t>RUA RUA ZERO SEIS, 51</t>
  </si>
  <si>
    <t>-10.831999</t>
  </si>
  <si>
    <t>-42.723950</t>
  </si>
  <si>
    <t>(400) 09116-3052</t>
  </si>
  <si>
    <t>0228-0103</t>
  </si>
  <si>
    <t>JOSENICE BARBOSA GARCIA</t>
  </si>
  <si>
    <t>COMERCIAL GARCIA</t>
  </si>
  <si>
    <t>RUA RUA ESPERANCA, 481</t>
  </si>
  <si>
    <t>PONTA ILHA</t>
  </si>
  <si>
    <t>-10.816736</t>
  </si>
  <si>
    <t>-42.723534</t>
  </si>
  <si>
    <t>(749) 99931-4289</t>
  </si>
  <si>
    <t>0228-0104</t>
  </si>
  <si>
    <t>EULANIA DOS SANTOS LUNAS</t>
  </si>
  <si>
    <t>MERC BL</t>
  </si>
  <si>
    <t>RUA RUA AURELINO MIRANDA, 220</t>
  </si>
  <si>
    <t>-10.819903</t>
  </si>
  <si>
    <t>-42.724350</t>
  </si>
  <si>
    <t>(074) 08817-0500</t>
  </si>
  <si>
    <t>0228-0105</t>
  </si>
  <si>
    <t>EVERALDO SANTANA DA SILVA</t>
  </si>
  <si>
    <t>MERCADO VEIM</t>
  </si>
  <si>
    <t>RUA MTE FRANCISCO BRAZ, 485</t>
  </si>
  <si>
    <t>-10.829828</t>
  </si>
  <si>
    <t>-42.724964</t>
  </si>
  <si>
    <t>(074) 99954-1381</t>
  </si>
  <si>
    <t>0228-0108</t>
  </si>
  <si>
    <t>DIOMARINA DA SILVA SANTOS</t>
  </si>
  <si>
    <t>ARMAZEM MERCEARIA D</t>
  </si>
  <si>
    <t>RUA RUA MONS COSTA</t>
  </si>
  <si>
    <t>-10.817261</t>
  </si>
  <si>
    <t>-42.728170</t>
  </si>
  <si>
    <t>(400) 09972-5363</t>
  </si>
  <si>
    <t>0228-0109</t>
  </si>
  <si>
    <t>JOAO PAULO JOSE DURAES</t>
  </si>
  <si>
    <t>MERCADINHO DURAES145</t>
  </si>
  <si>
    <t>RUA EROTILDES NOGUEIRA R, 457</t>
  </si>
  <si>
    <t>-10.829085</t>
  </si>
  <si>
    <t>-42.730880</t>
  </si>
  <si>
    <t>(074) 99957-6289</t>
  </si>
  <si>
    <t>0228-0110</t>
  </si>
  <si>
    <t>JOSE RODRIGUES DIAS</t>
  </si>
  <si>
    <t>MERCADINHO XIQUE XIQ</t>
  </si>
  <si>
    <t>RUA OITO CJT BNH R, 79</t>
  </si>
  <si>
    <t>SR BONFIM-BNH</t>
  </si>
  <si>
    <t>-10.830099</t>
  </si>
  <si>
    <t>-42.720480</t>
  </si>
  <si>
    <t>(074) 98118-3130</t>
  </si>
  <si>
    <t>0228-0112</t>
  </si>
  <si>
    <t>VALTER LEMOS PINTO</t>
  </si>
  <si>
    <t>CHURRASC ASA BRANCA</t>
  </si>
  <si>
    <t>RUA RUA RUI BARBOSA, 25</t>
  </si>
  <si>
    <t>-10.822581</t>
  </si>
  <si>
    <t>-42.730827</t>
  </si>
  <si>
    <t>(074) 99900-0688</t>
  </si>
  <si>
    <t>0228-0119</t>
  </si>
  <si>
    <t>JOSE PEREIRA DA SILVA</t>
  </si>
  <si>
    <t>MERC REIS</t>
  </si>
  <si>
    <t>RUA JOAO GUIMARAES R, 707</t>
  </si>
  <si>
    <t>-10.823343</t>
  </si>
  <si>
    <t>-42.726500</t>
  </si>
  <si>
    <t>(074) 93661-5901</t>
  </si>
  <si>
    <t>0228-0128</t>
  </si>
  <si>
    <t>HELENA MARIA GONCALVES DE JESUS</t>
  </si>
  <si>
    <t>MERC DA HELENA</t>
  </si>
  <si>
    <t>RUA RUA GOES CALMON, 268</t>
  </si>
  <si>
    <t>-10.825556</t>
  </si>
  <si>
    <t>-42.732224</t>
  </si>
  <si>
    <t>(074) 09961-5459</t>
  </si>
  <si>
    <t>0228-0130</t>
  </si>
  <si>
    <t>EDILEUZA BARBOSA DE SOUZA</t>
  </si>
  <si>
    <t>SUPEMERCADO MAKE</t>
  </si>
  <si>
    <t>RUA RUA JOEL MODESTO, 661</t>
  </si>
  <si>
    <t>-11.547789</t>
  </si>
  <si>
    <t>-41.163704</t>
  </si>
  <si>
    <t>(074) 98818-9795</t>
  </si>
  <si>
    <t>0228-0131</t>
  </si>
  <si>
    <t>RONALDO ALVES PEREIRA</t>
  </si>
  <si>
    <t>REST E POUS JUSSARA</t>
  </si>
  <si>
    <t>RUA RUA ERNESTO VIANA, 18</t>
  </si>
  <si>
    <t>SANTA MARTA</t>
  </si>
  <si>
    <t>-10.819979</t>
  </si>
  <si>
    <t>-42.720722</t>
  </si>
  <si>
    <t>(740) 03661-1200</t>
  </si>
  <si>
    <t>0228-0132</t>
  </si>
  <si>
    <t>MARIA APARECIDA FERREIRA DE SOUZA</t>
  </si>
  <si>
    <t>LANC LA MARIA E MASS</t>
  </si>
  <si>
    <t>RUA RUA MARIO TORRES RAPADURA, 27</t>
  </si>
  <si>
    <t>-10.824548</t>
  </si>
  <si>
    <t>-42.727673</t>
  </si>
  <si>
    <t>(074) 99926-6922</t>
  </si>
  <si>
    <t>0228-0144</t>
  </si>
  <si>
    <t>KEISILANE RODRIGUES DE ARAUJO NOVAIS</t>
  </si>
  <si>
    <t>MERC MAIS 2 IRMAOS</t>
  </si>
  <si>
    <t>RUA RUA BERTO VARGAS, 944 / 02280144</t>
  </si>
  <si>
    <t>-10.832417</t>
  </si>
  <si>
    <t>-42.723007</t>
  </si>
  <si>
    <t>9991-2927</t>
  </si>
  <si>
    <t>0228-0149</t>
  </si>
  <si>
    <t>DARILENE SILVA NOBREZA</t>
  </si>
  <si>
    <t>ATACAREJO PAI E FILH</t>
  </si>
  <si>
    <t>RUA RUA CEL MANOEL TEIXEIRA, 5</t>
  </si>
  <si>
    <t>-10.821394</t>
  </si>
  <si>
    <t>-42.731323</t>
  </si>
  <si>
    <t>(074) 98136-9321</t>
  </si>
  <si>
    <t>0228-0151</t>
  </si>
  <si>
    <t>MARIA APARECIDA DA SILVA RODRIGUES</t>
  </si>
  <si>
    <t>RESTAURANTE O MURAO</t>
  </si>
  <si>
    <t>RUA RUA ROSA BARAUNA, 128</t>
  </si>
  <si>
    <t>-10.823406</t>
  </si>
  <si>
    <t>-42.727676</t>
  </si>
  <si>
    <t>(740) 09956-8251</t>
  </si>
  <si>
    <t>0228-0158</t>
  </si>
  <si>
    <t>NILTON SOUZA CUNHA</t>
  </si>
  <si>
    <t>CONVENIENCIA WM</t>
  </si>
  <si>
    <t>RUA RUA RUI BARBOSA, 1023</t>
  </si>
  <si>
    <t>PONTA DA ILHA</t>
  </si>
  <si>
    <t>-10.815066</t>
  </si>
  <si>
    <t>-42.725544</t>
  </si>
  <si>
    <t>(740) 03661-3821</t>
  </si>
  <si>
    <t>0228-0166</t>
  </si>
  <si>
    <t>FAGNER JOSE DURAES</t>
  </si>
  <si>
    <t>LANCHONETE DURAES</t>
  </si>
  <si>
    <t>PRC PRACA FRANCISCO GUIMARAES, 42</t>
  </si>
  <si>
    <t>-10.821071</t>
  </si>
  <si>
    <t>-42.731907</t>
  </si>
  <si>
    <t>(074) 98809-9749</t>
  </si>
  <si>
    <t>0228-0167</t>
  </si>
  <si>
    <t>MARIA APARECIDA LAURENTINO DE S BALIZA</t>
  </si>
  <si>
    <t>PIZZ SOL DE VERAO</t>
  </si>
  <si>
    <t>PRC PRESIDENTE VARGAS, 110</t>
  </si>
  <si>
    <t>-10.822462</t>
  </si>
  <si>
    <t>-42.732643</t>
  </si>
  <si>
    <t>(074) 99957-5308</t>
  </si>
  <si>
    <t>0228-0168</t>
  </si>
  <si>
    <t>EDINEUSA DA CONCEICAO OLIVEIRA</t>
  </si>
  <si>
    <t>MERCAD ZE ROBERTO</t>
  </si>
  <si>
    <t>RUA RUA QUINTINO BOCAIUVA, 634</t>
  </si>
  <si>
    <t>-10.818990</t>
  </si>
  <si>
    <t>-42.726130</t>
  </si>
  <si>
    <t>(740) 09972-7659</t>
  </si>
  <si>
    <t>0228-0181</t>
  </si>
  <si>
    <t>ARENALDO GALDINO DA SILVA</t>
  </si>
  <si>
    <t>BAR MERC DO ARENALDO</t>
  </si>
  <si>
    <t>RUA RUA SEIS</t>
  </si>
  <si>
    <t>-10.831365</t>
  </si>
  <si>
    <t>-42.723713</t>
  </si>
  <si>
    <t>(074) 09967-9210</t>
  </si>
  <si>
    <t>0228-0188</t>
  </si>
  <si>
    <t>JOAQUIM FERNANDES PORTO FILHO</t>
  </si>
  <si>
    <t>BOX DO DEDE</t>
  </si>
  <si>
    <t>AV BARAO DO RIO BRANCO, 39</t>
  </si>
  <si>
    <t>-10.820679</t>
  </si>
  <si>
    <t>-42.732292</t>
  </si>
  <si>
    <t>0228-0192</t>
  </si>
  <si>
    <t>ARNALDO ALVES CARDOSO</t>
  </si>
  <si>
    <t>MERCEARIA ALVES</t>
  </si>
  <si>
    <t>RUA ARISTOTENIS MARCAL, 555</t>
  </si>
  <si>
    <t>-10.816595</t>
  </si>
  <si>
    <t>-42.722900</t>
  </si>
  <si>
    <t>(074) 99918-2164</t>
  </si>
  <si>
    <t>0228-0196</t>
  </si>
  <si>
    <t>EDNA RODRIGUES DE OLIVEIRA</t>
  </si>
  <si>
    <t>ACOUGUE E COVENIENCI</t>
  </si>
  <si>
    <t>AV AVENIDA J J SEABRA 229, 229</t>
  </si>
  <si>
    <t>-10.823987</t>
  </si>
  <si>
    <t>-42.728920</t>
  </si>
  <si>
    <t>(074) 99941-2272</t>
  </si>
  <si>
    <t>0228-0202</t>
  </si>
  <si>
    <t>MARIA VANDA HELIAS DE LIMA</t>
  </si>
  <si>
    <t>MERCADINHO KEIZA</t>
  </si>
  <si>
    <t>PRC CORONEL FRANCISCO GUIMARAES, 38</t>
  </si>
  <si>
    <t>-10.821090</t>
  </si>
  <si>
    <t>-42.731960</t>
  </si>
  <si>
    <t>(074) 99801-3859</t>
  </si>
  <si>
    <t>0228-0204</t>
  </si>
  <si>
    <t>EDEVANDE GONCALVES SANTANA</t>
  </si>
  <si>
    <t>MERCEARIA SANTANA</t>
  </si>
  <si>
    <t>RUA 3 PEDRINHAS</t>
  </si>
  <si>
    <t>PEDRINHAS</t>
  </si>
  <si>
    <t>-10.816326</t>
  </si>
  <si>
    <t>-42.720192</t>
  </si>
  <si>
    <t>(400) 09944-1698</t>
  </si>
  <si>
    <t>0228-0207</t>
  </si>
  <si>
    <t>ELIANA BRITO LIMA</t>
  </si>
  <si>
    <t>DIVINO MESTRE</t>
  </si>
  <si>
    <t>AV J J SEABRA, 153</t>
  </si>
  <si>
    <t>-10.823023</t>
  </si>
  <si>
    <t>-42.731216</t>
  </si>
  <si>
    <t>(074) 99919-8652</t>
  </si>
  <si>
    <t>0228-0210</t>
  </si>
  <si>
    <t>JOSE NONATO DO COUTO NETO</t>
  </si>
  <si>
    <t>ESPETINHO D Q</t>
  </si>
  <si>
    <t>RUA RUA AURORA 3 SL, 3</t>
  </si>
  <si>
    <t>-10.824753</t>
  </si>
  <si>
    <t>-42.729404</t>
  </si>
  <si>
    <t>(074) 99969-6739</t>
  </si>
  <si>
    <t>0228-0213</t>
  </si>
  <si>
    <t>ROBERIO OLIVEIRA DA SILVA</t>
  </si>
  <si>
    <t>MERCADINHO FONSECA</t>
  </si>
  <si>
    <t>RUA RUA CARLOS FONSECA, 211</t>
  </si>
  <si>
    <t>-10.833157</t>
  </si>
  <si>
    <t>-42.729572</t>
  </si>
  <si>
    <t>(074) 99998-5472</t>
  </si>
  <si>
    <t>0228-0239</t>
  </si>
  <si>
    <t>JOSE LUIZ DOS REIS FEREIRA</t>
  </si>
  <si>
    <t>MERCA PAGUE MENOS 01</t>
  </si>
  <si>
    <t>RUA BARBOSA, 755</t>
  </si>
  <si>
    <t>-10.817063</t>
  </si>
  <si>
    <t>-42.726933</t>
  </si>
  <si>
    <t>(740) 09952-7181</t>
  </si>
  <si>
    <t>0228-0246</t>
  </si>
  <si>
    <t>LOURIVALDO GOMES DA SILVA</t>
  </si>
  <si>
    <t>MECEARIA DO LOURO</t>
  </si>
  <si>
    <t>RUA RUA DO AEROPORTO</t>
  </si>
  <si>
    <t>-10.822315</t>
  </si>
  <si>
    <t>-42.720314</t>
  </si>
  <si>
    <t>(740) 09977-4723</t>
  </si>
  <si>
    <t>0228-0257</t>
  </si>
  <si>
    <t>EVERTON FERREIRA DOS SANTOS</t>
  </si>
  <si>
    <t>MERC FERREIRA</t>
  </si>
  <si>
    <t>RUA BERTO VARGAS, 945</t>
  </si>
  <si>
    <t>-10.832492</t>
  </si>
  <si>
    <t>-42.722855</t>
  </si>
  <si>
    <t>(740) 09947-7831</t>
  </si>
  <si>
    <t>0228-0259</t>
  </si>
  <si>
    <t>LEONICE DA SILVA CARVALHO</t>
  </si>
  <si>
    <t>REST E CHURR FEIJAO</t>
  </si>
  <si>
    <t>AV AVENIDA PRINCIPAL, 22</t>
  </si>
  <si>
    <t>-11.010268</t>
  </si>
  <si>
    <t>-42.394130</t>
  </si>
  <si>
    <t>(074) 99912-1736</t>
  </si>
  <si>
    <t>0228-0280</t>
  </si>
  <si>
    <t>EVONEIDE RODRIGUES JUVENAL</t>
  </si>
  <si>
    <t>LANCHONETE RODRIGUES</t>
  </si>
  <si>
    <t>RUA GOES CALMOM, 467</t>
  </si>
  <si>
    <t>-10.827153</t>
  </si>
  <si>
    <t>-42.733040</t>
  </si>
  <si>
    <t>(740) 03661-2694</t>
  </si>
  <si>
    <t>0228-0287</t>
  </si>
  <si>
    <t>GILSON JOSE DA SILVA</t>
  </si>
  <si>
    <t>LANCH E PIZZARIA 3 C</t>
  </si>
  <si>
    <t>RUA REINALDO BRAGA, 629</t>
  </si>
  <si>
    <t>-10.829699</t>
  </si>
  <si>
    <t>-42.726860</t>
  </si>
  <si>
    <t>(400) 09946-5960</t>
  </si>
  <si>
    <t>0228-0307</t>
  </si>
  <si>
    <t>SANDRO ALMEIDA DE QUEIROZ</t>
  </si>
  <si>
    <t>AVENIDA CONVENIENCIA</t>
  </si>
  <si>
    <t>AV AVENIDA JJ SEABRA, 197</t>
  </si>
  <si>
    <t>-10.823923</t>
  </si>
  <si>
    <t>-42.729218</t>
  </si>
  <si>
    <t>(074) 03661-1488</t>
  </si>
  <si>
    <t>0228-0320</t>
  </si>
  <si>
    <t>JACILENE NUNES PIQUE</t>
  </si>
  <si>
    <t>MERCEARIA JC</t>
  </si>
  <si>
    <t>RUA RUA 1, 33</t>
  </si>
  <si>
    <t>GUAXINIM</t>
  </si>
  <si>
    <t>-10.818448</t>
  </si>
  <si>
    <t>-42.715626</t>
  </si>
  <si>
    <t>(074) 99937-5863</t>
  </si>
  <si>
    <t>0228-0324</t>
  </si>
  <si>
    <t>WILMA DO NASCIMENTO LEITE</t>
  </si>
  <si>
    <t>BARBEARI CORTE ATUAL</t>
  </si>
  <si>
    <t>RUA RUA RUI BARBOSA, 405</t>
  </si>
  <si>
    <t>-10.819567</t>
  </si>
  <si>
    <t>-42.728860</t>
  </si>
  <si>
    <t>(740) 99978-7825</t>
  </si>
  <si>
    <t>0228-0328</t>
  </si>
  <si>
    <t>CARLOS ROBERTO NOGUEIRA DE QUEIROZ</t>
  </si>
  <si>
    <t>MERC PANIF NOGUEIRA</t>
  </si>
  <si>
    <t>RUA RUA 4, 320</t>
  </si>
  <si>
    <t>-10.831518</t>
  </si>
  <si>
    <t>-42.725113</t>
  </si>
  <si>
    <t>(074) 09917-8684</t>
  </si>
  <si>
    <t>0228-0334</t>
  </si>
  <si>
    <t>JULIETA MARIANA BORGES</t>
  </si>
  <si>
    <t>MERCEARIA JULLY</t>
  </si>
  <si>
    <t>RUA RUY BARBOSA, 671</t>
  </si>
  <si>
    <t>-10.817712</t>
  </si>
  <si>
    <t>-42.727463</t>
  </si>
  <si>
    <t>0228-0341</t>
  </si>
  <si>
    <t>ZINALDA DO NASCIMENTO</t>
  </si>
  <si>
    <t>MERC E ACOU JZ</t>
  </si>
  <si>
    <t>RUA ROSA BARAUNA, 193</t>
  </si>
  <si>
    <t>-10.822884</t>
  </si>
  <si>
    <t>-42.727325</t>
  </si>
  <si>
    <t>(740) 99950-1040</t>
  </si>
  <si>
    <t>0228-0344</t>
  </si>
  <si>
    <t>FABIANO ALVES ROCHA</t>
  </si>
  <si>
    <t>XIQUE XIQUE ORIENTAL</t>
  </si>
  <si>
    <t>PRC PRAC DR ROCINO, 28</t>
  </si>
  <si>
    <t>-10.822318</t>
  </si>
  <si>
    <t>-42.732600</t>
  </si>
  <si>
    <t>(071) 99682-3726</t>
  </si>
  <si>
    <t>0228-0350</t>
  </si>
  <si>
    <t>BARTOLOMEU RIBEIRO DOS SANTOS</t>
  </si>
  <si>
    <t>BOX 29 01</t>
  </si>
  <si>
    <t>AV AV BARAO DO RIO BRANCO, 29</t>
  </si>
  <si>
    <t>-10.820245</t>
  </si>
  <si>
    <t>-42.732113</t>
  </si>
  <si>
    <t>(074) 09922-8602</t>
  </si>
  <si>
    <t>0228-0356</t>
  </si>
  <si>
    <t>MARILENE ANTUNES OLIVEIRA</t>
  </si>
  <si>
    <t>REST DA LENINHA</t>
  </si>
  <si>
    <t>RUA JOAO GUIMARAES, 95</t>
  </si>
  <si>
    <t>-10.820329</t>
  </si>
  <si>
    <t>-42.731163</t>
  </si>
  <si>
    <t>(074) 98834-2592</t>
  </si>
  <si>
    <t>0228-0357</t>
  </si>
  <si>
    <t>MANASSES SOUZA DE FREITAS</t>
  </si>
  <si>
    <t>AVENIDA BURGUER</t>
  </si>
  <si>
    <t>RUA QUINTINO BOCAIUVA, 2</t>
  </si>
  <si>
    <t>-10.823956</t>
  </si>
  <si>
    <t>-42.729424</t>
  </si>
  <si>
    <t>(074) 99982-2095</t>
  </si>
  <si>
    <t>0228-0362</t>
  </si>
  <si>
    <t>JADIAN ALLAN BARBOSA NUNES</t>
  </si>
  <si>
    <t>MERCADINHO JADIAN</t>
  </si>
  <si>
    <t>TRV TRAV 2 NAVARRO DE BRITO, 241</t>
  </si>
  <si>
    <t>PONTO DA ILHA</t>
  </si>
  <si>
    <t>-10.815882</t>
  </si>
  <si>
    <t>-42.724274</t>
  </si>
  <si>
    <t>(074) 99957-0627</t>
  </si>
  <si>
    <t>0228-0364</t>
  </si>
  <si>
    <t>JOAO SILVA DOS SANTOS</t>
  </si>
  <si>
    <t>MERC E ACOU RIBEIRIN</t>
  </si>
  <si>
    <t>RUA R ORIENTE, 445</t>
  </si>
  <si>
    <t>-10.816951</t>
  </si>
  <si>
    <t>-42.722804</t>
  </si>
  <si>
    <t>(074) 99969-5600</t>
  </si>
  <si>
    <t>0228-0372</t>
  </si>
  <si>
    <t>DEYGSON SANTOS MATUTINO</t>
  </si>
  <si>
    <t>BALLAS BURGUER</t>
  </si>
  <si>
    <t>RUA VIRGILIO BERSSA, 106</t>
  </si>
  <si>
    <t>-10.825239</t>
  </si>
  <si>
    <t>-42.728728</t>
  </si>
  <si>
    <t>(071) 99194-6995</t>
  </si>
  <si>
    <t>0228-0376</t>
  </si>
  <si>
    <t>THIAGO JOAQUIM XAVIER DA SILVA</t>
  </si>
  <si>
    <t>ESPETIM BAIANO</t>
  </si>
  <si>
    <t>TRV TRAVESSA ADAO BASTOS, 420</t>
  </si>
  <si>
    <t>-10.824445</t>
  </si>
  <si>
    <t>-42.729443</t>
  </si>
  <si>
    <t>(074) 98822-3410</t>
  </si>
  <si>
    <t>0228-0378</t>
  </si>
  <si>
    <t>ADRIANA SANTOS DE SANTANA</t>
  </si>
  <si>
    <t>MERC SANTANA 01</t>
  </si>
  <si>
    <t>RUA R ANTONIO FIGUEREDO, 49</t>
  </si>
  <si>
    <t>BNH</t>
  </si>
  <si>
    <t>-10.831896</t>
  </si>
  <si>
    <t>-42.724020</t>
  </si>
  <si>
    <t>(074) 09941-9388</t>
  </si>
  <si>
    <t>0228-0380</t>
  </si>
  <si>
    <t>JULIANA RIBEIRO DOS SANTOS</t>
  </si>
  <si>
    <t>MERCADO TAUAN</t>
  </si>
  <si>
    <t>RUA RUA 51 A</t>
  </si>
  <si>
    <t>BHN SENHOR BONFIM NO</t>
  </si>
  <si>
    <t>-10.826700</t>
  </si>
  <si>
    <t>-42.715904</t>
  </si>
  <si>
    <t>(074) 99948-1269</t>
  </si>
  <si>
    <t>0228-0382</t>
  </si>
  <si>
    <t>GETULIO VITOR RIBEIRO</t>
  </si>
  <si>
    <t>MERCADO B GURI</t>
  </si>
  <si>
    <t>RUA RUA 23, 16</t>
  </si>
  <si>
    <t>SENHOR DO BONFIM</t>
  </si>
  <si>
    <t>-10.832994</t>
  </si>
  <si>
    <t>-42.719900</t>
  </si>
  <si>
    <t>(074) 98817-8341</t>
  </si>
  <si>
    <t>0228-0386</t>
  </si>
  <si>
    <t>NELY CARVALHO DA CRUZ</t>
  </si>
  <si>
    <t>MERCADINHO NELY</t>
  </si>
  <si>
    <t>RUA RUA 56, 251</t>
  </si>
  <si>
    <t>-10.828889</t>
  </si>
  <si>
    <t>-42.716110</t>
  </si>
  <si>
    <t>(074) 03361-3847</t>
  </si>
  <si>
    <t>0228-0399</t>
  </si>
  <si>
    <t>EDMILSON PINHEIRO DOS SANTOS</t>
  </si>
  <si>
    <t>PARAISO DO SALGADO</t>
  </si>
  <si>
    <t>RUA DR MAGALHAES, 20</t>
  </si>
  <si>
    <t>-10.821013</t>
  </si>
  <si>
    <t>-42.731174</t>
  </si>
  <si>
    <t>(074) 99938-9122</t>
  </si>
  <si>
    <t>0228-0401</t>
  </si>
  <si>
    <t>MANUELA HENRIQUE LIMA</t>
  </si>
  <si>
    <t>KBECAS BURGERES</t>
  </si>
  <si>
    <t>RUA QUITINHO BOCAIUVA, 26</t>
  </si>
  <si>
    <t>-10.823721</t>
  </si>
  <si>
    <t>-42.728988</t>
  </si>
  <si>
    <t>(077) 99996-0831</t>
  </si>
  <si>
    <t>0228-0402</t>
  </si>
  <si>
    <t>EDIVALDO CARLOS DE MATOS</t>
  </si>
  <si>
    <t>MERC E ACOUG MATOS</t>
  </si>
  <si>
    <t>RUA RUA E 2</t>
  </si>
  <si>
    <t>NOVA IGUIRA</t>
  </si>
  <si>
    <t>-10.774919</t>
  </si>
  <si>
    <t>-42.686222</t>
  </si>
  <si>
    <t>(074) 99954-6033</t>
  </si>
  <si>
    <t>0228-0411</t>
  </si>
  <si>
    <t>MARICELIA TEIXEIRA DE BRITO</t>
  </si>
  <si>
    <t>MERCADINHO MARICELIA</t>
  </si>
  <si>
    <t>RUA RUA 04</t>
  </si>
  <si>
    <t>-10.815738</t>
  </si>
  <si>
    <t>-42.718580</t>
  </si>
  <si>
    <t>(074) 99940-8692</t>
  </si>
  <si>
    <t>0228-0415</t>
  </si>
  <si>
    <t>LEANDRO SANTOS DA SILVA</t>
  </si>
  <si>
    <t>CASA DOS SALGADOS 01</t>
  </si>
  <si>
    <t>RUA JOSE PEREGRINO, 94</t>
  </si>
  <si>
    <t>-10.819529</t>
  </si>
  <si>
    <t>-42.731052</t>
  </si>
  <si>
    <t>(074) 99912-1640</t>
  </si>
  <si>
    <t>0228-0425</t>
  </si>
  <si>
    <t>POLYANE CARVALHO DE QUEIROZ</t>
  </si>
  <si>
    <t>MERCADO ALVORADA</t>
  </si>
  <si>
    <t>RUA NILTON SILVA TEIXEIRA, 267</t>
  </si>
  <si>
    <t>-10.830137</t>
  </si>
  <si>
    <t>-42.726482</t>
  </si>
  <si>
    <t>(074) 09950-3148</t>
  </si>
  <si>
    <t>0228-0426</t>
  </si>
  <si>
    <t>JELMO DE NOVAIS CARNEIRO DE SOUZA</t>
  </si>
  <si>
    <t>CAPIXABAS BAR</t>
  </si>
  <si>
    <t>PRC CEL FRANCISCO GUIMARAES, 16</t>
  </si>
  <si>
    <t>-10.820995</t>
  </si>
  <si>
    <t>-42.732178</t>
  </si>
  <si>
    <t>(074) 98112-8883</t>
  </si>
  <si>
    <t>0228-0427</t>
  </si>
  <si>
    <t>ARLINDINA MENDES DE GUIMARAES</t>
  </si>
  <si>
    <t>MERCADINH SAO MARCOS</t>
  </si>
  <si>
    <t>PRC FRANCISCO GUIMARAES, 125</t>
  </si>
  <si>
    <t>-10.820646</t>
  </si>
  <si>
    <t>-42.731720</t>
  </si>
  <si>
    <t>(074) 09969-3089</t>
  </si>
  <si>
    <t>0228-0432</t>
  </si>
  <si>
    <t>POLIANA CERQUEIRA DE JESUS</t>
  </si>
  <si>
    <t>DELICIAS DA POLLY</t>
  </si>
  <si>
    <t>AV ACM 336 A, 336</t>
  </si>
  <si>
    <t>-10.821463</t>
  </si>
  <si>
    <t>-42.725967</t>
  </si>
  <si>
    <t>(074) 00996-7184</t>
  </si>
  <si>
    <t>0228-0436</t>
  </si>
  <si>
    <t>NEIDE LOPES DE MELO ME</t>
  </si>
  <si>
    <t>MERCADINHO JN</t>
  </si>
  <si>
    <t>RUA RUY BARBOSA, 246</t>
  </si>
  <si>
    <t>-10.820719</t>
  </si>
  <si>
    <t>-42.729454</t>
  </si>
  <si>
    <t>(074) 99977-5075</t>
  </si>
  <si>
    <t>0228-0441</t>
  </si>
  <si>
    <t>DJAILSON DA SILVA ME</t>
  </si>
  <si>
    <t>SUPERM E PAN SILVA</t>
  </si>
  <si>
    <t>RUA RUA ROSA BARAUNA, 86</t>
  </si>
  <si>
    <t>-10.823709</t>
  </si>
  <si>
    <t>-42.727825</t>
  </si>
  <si>
    <t>(074) 99925-4038</t>
  </si>
  <si>
    <t>0228-0444</t>
  </si>
  <si>
    <t>ROSICLEIDE FERREIRA DA SILVA - ME</t>
  </si>
  <si>
    <t>SUPERMERCADO SILVA01</t>
  </si>
  <si>
    <t>RUA R JOSE PEREGRINO, 225</t>
  </si>
  <si>
    <t>-10.820353</t>
  </si>
  <si>
    <t>-42.729618</t>
  </si>
  <si>
    <t>(074) 99937-3619</t>
  </si>
  <si>
    <t>0228-0447</t>
  </si>
  <si>
    <t>REJANE NUNES AZEVEDO</t>
  </si>
  <si>
    <t>ESTACAO DA CERVEJA</t>
  </si>
  <si>
    <t>RUA RUA AURELINO MIRANDA, 103</t>
  </si>
  <si>
    <t>-10.820194</t>
  </si>
  <si>
    <t>-42.725390</t>
  </si>
  <si>
    <t>(074) 99930-8397</t>
  </si>
  <si>
    <t>0228-0460</t>
  </si>
  <si>
    <t>ANA CLEIDE SILVA DOS SANTOS</t>
  </si>
  <si>
    <t>RESTAUR PRATO FEITO</t>
  </si>
  <si>
    <t>AV AV BARRA DO RIO BRANCO, 4</t>
  </si>
  <si>
    <t>-10.820685</t>
  </si>
  <si>
    <t>-42.732000</t>
  </si>
  <si>
    <t>(074) 99999-8709</t>
  </si>
  <si>
    <t>0228-0461</t>
  </si>
  <si>
    <t>TEREZINHA RODRIGUES DOS SANTOS</t>
  </si>
  <si>
    <t>ACARAJE DA TEREZINHA</t>
  </si>
  <si>
    <t>RUA RUA AURORA, 3</t>
  </si>
  <si>
    <t>-10.826015</t>
  </si>
  <si>
    <t>-42.731117</t>
  </si>
  <si>
    <t>(074) 99804-2612</t>
  </si>
  <si>
    <t>0228-0492</t>
  </si>
  <si>
    <t>J A SANTANA HOTEL</t>
  </si>
  <si>
    <t>CARRANCA GRANDE HO01</t>
  </si>
  <si>
    <t>RUA TREZE DE JUNHO, 10</t>
  </si>
  <si>
    <t>-10.821175</t>
  </si>
  <si>
    <t>-42.722237</t>
  </si>
  <si>
    <t>(074) 99991-5809</t>
  </si>
  <si>
    <t>0228-0499</t>
  </si>
  <si>
    <t>JONAS NUNES NOVAIS</t>
  </si>
  <si>
    <t>MERCADINHO BNH 01</t>
  </si>
  <si>
    <t>RUA RUA S, 12</t>
  </si>
  <si>
    <t>-10.831593</t>
  </si>
  <si>
    <t>-42.719463</t>
  </si>
  <si>
    <t>(074) 99136-2780</t>
  </si>
  <si>
    <t>0228-0508</t>
  </si>
  <si>
    <t>EDIMILSON DA SILVA GUIMARAES</t>
  </si>
  <si>
    <t>PANIFICADORA SILVA</t>
  </si>
  <si>
    <t>RUA RUA G, 22</t>
  </si>
  <si>
    <t>-10.828886</t>
  </si>
  <si>
    <t>-42.720860</t>
  </si>
  <si>
    <t>(074) 99802-0612</t>
  </si>
  <si>
    <t>0228-0517</t>
  </si>
  <si>
    <t>VALMIRENE ALMEIDA SANTANA EIRELI</t>
  </si>
  <si>
    <t>COMPANHIA DO CHURR</t>
  </si>
  <si>
    <t>RUA ROSA LOPES SOARES, 215</t>
  </si>
  <si>
    <t>-41.847220</t>
  </si>
  <si>
    <t>(074) 99956-8233</t>
  </si>
  <si>
    <t>0228-0526</t>
  </si>
  <si>
    <t>ANTONIO CAETITE SOUZA</t>
  </si>
  <si>
    <t>CHUR LIDER DO CHURRA</t>
  </si>
  <si>
    <t>RUA RUA CEL JOSE MANGUEIRA</t>
  </si>
  <si>
    <t>-10.822802</t>
  </si>
  <si>
    <t>-42.729977</t>
  </si>
  <si>
    <t>(074) 99944-7158</t>
  </si>
  <si>
    <t>0228-0532</t>
  </si>
  <si>
    <t>CARLOS ANTONIO PEREIRA DOS S JUNIOR</t>
  </si>
  <si>
    <t>AV CONVENIENCIA 01</t>
  </si>
  <si>
    <t>AV JJ SEABRA, 272</t>
  </si>
  <si>
    <t>-42.728610</t>
  </si>
  <si>
    <t>(074) 99924-0826</t>
  </si>
  <si>
    <t>0228-0534</t>
  </si>
  <si>
    <t>MARIJANE DOS SANTOS JESUS</t>
  </si>
  <si>
    <t>BAR NATHIELE</t>
  </si>
  <si>
    <t>RUA RUA 4, 51</t>
  </si>
  <si>
    <t>PEDRINHOS</t>
  </si>
  <si>
    <t>-10.817223</t>
  </si>
  <si>
    <t>-42.720276</t>
  </si>
  <si>
    <t>(074) 99956-1617</t>
  </si>
  <si>
    <t>0228-0537</t>
  </si>
  <si>
    <t>JEFFERSON ALVES DA SILVA</t>
  </si>
  <si>
    <t>LANCHONETE ALVES</t>
  </si>
  <si>
    <t>RUA ROSA BARAUNA, 181</t>
  </si>
  <si>
    <t>-10.822982</t>
  </si>
  <si>
    <t>-42.727492</t>
  </si>
  <si>
    <t>(074) 99938-6381</t>
  </si>
  <si>
    <t>0228-0547</t>
  </si>
  <si>
    <t>VITOR ANTUNES CARVALHO</t>
  </si>
  <si>
    <t>HOTEL GRANDE RIO</t>
  </si>
  <si>
    <t>RUA RUA GOES CALMON, 19</t>
  </si>
  <si>
    <t>-10.823334</t>
  </si>
  <si>
    <t>-42.731110</t>
  </si>
  <si>
    <t>(074) 99923-3236</t>
  </si>
  <si>
    <t>0228-0551</t>
  </si>
  <si>
    <t>KELLY DE LUNAS BONFIM</t>
  </si>
  <si>
    <t>AVENIDA BURGUER   01</t>
  </si>
  <si>
    <t>AV AVENIDA J J SEABRA, 176</t>
  </si>
  <si>
    <t>-10.823995</t>
  </si>
  <si>
    <t>-42.729370</t>
  </si>
  <si>
    <t>(074) 99809-7479</t>
  </si>
  <si>
    <t>0228-0559</t>
  </si>
  <si>
    <t>XIQUE XIQUE PALACE HOTEL</t>
  </si>
  <si>
    <t>XIQ XIQ PALACE HOTEL</t>
  </si>
  <si>
    <t>AV AVENIDA ANTONIO CARLOS MAGALHAES, 594</t>
  </si>
  <si>
    <t>-10.820703</t>
  </si>
  <si>
    <t>-42.720400</t>
  </si>
  <si>
    <t>(074) 98809-7742</t>
  </si>
  <si>
    <t>0228-0561</t>
  </si>
  <si>
    <t>POUSADA MACEDO LTDA</t>
  </si>
  <si>
    <t>MACEDO GOLD HOTEL</t>
  </si>
  <si>
    <t>RUA RUA EROTIDES NOGUEIRA, 710</t>
  </si>
  <si>
    <t>-10.831179</t>
  </si>
  <si>
    <t>-42.731290</t>
  </si>
  <si>
    <t>(074) 99925-7404</t>
  </si>
  <si>
    <t>0228-0569</t>
  </si>
  <si>
    <t>ANTONIA VENCEDORA DA SILVA</t>
  </si>
  <si>
    <t>BAR DA PRACA</t>
  </si>
  <si>
    <t>TRV TRAVESSA 1 DO CINQUENTENARIO, 40</t>
  </si>
  <si>
    <t>-10.827997</t>
  </si>
  <si>
    <t>(074) 98846-7716</t>
  </si>
  <si>
    <t>0228-0573</t>
  </si>
  <si>
    <t>MARCELO RIBEIRO BRITO</t>
  </si>
  <si>
    <t>PRIME CONVENIENCIA</t>
  </si>
  <si>
    <t>AV AVENIDA JJ SEABRA, 266</t>
  </si>
  <si>
    <t>-10.824333</t>
  </si>
  <si>
    <t>-42.728740</t>
  </si>
  <si>
    <t>(074) 99970-1110</t>
  </si>
  <si>
    <t>0228-0575</t>
  </si>
  <si>
    <t>LUCELENA VIEIRA DOS SANTOS</t>
  </si>
  <si>
    <t>CAFETERIA PERFEITO S</t>
  </si>
  <si>
    <t>RUA QUINTINO BOCAIUVA, 335</t>
  </si>
  <si>
    <t>-10.821322</t>
  </si>
  <si>
    <t>-42.727486</t>
  </si>
  <si>
    <t>(074) 98852-4045</t>
  </si>
  <si>
    <t>0228-0579</t>
  </si>
  <si>
    <t>MEGA VAREJAO MATUTINO SUPERMERCADO</t>
  </si>
  <si>
    <t>MEGA VAREJAO MATUTIN</t>
  </si>
  <si>
    <t>TRV TRAVESSA GEDIVAL SOUSA ANDRADE, 462</t>
  </si>
  <si>
    <t>-10.819792</t>
  </si>
  <si>
    <t>-42.727295</t>
  </si>
  <si>
    <t>(074) 99906-2451</t>
  </si>
  <si>
    <t>0228-0583</t>
  </si>
  <si>
    <t>JACSON GLEIDSON DE SOUSA</t>
  </si>
  <si>
    <t>MERCADO JACSON</t>
  </si>
  <si>
    <t>RUA RUA ARISTOTELES MARCAL, 540</t>
  </si>
  <si>
    <t>-10.816802</t>
  </si>
  <si>
    <t>-42.723045</t>
  </si>
  <si>
    <t>(074) 99934-0322</t>
  </si>
  <si>
    <t>0228-0585</t>
  </si>
  <si>
    <t>FAGNER PEREIRA DOS SANTOS</t>
  </si>
  <si>
    <t>XIQUE BURGUER</t>
  </si>
  <si>
    <t>RUA RUA AURORA 74 A, 74</t>
  </si>
  <si>
    <t>-10.824414</t>
  </si>
  <si>
    <t>-42.729332</t>
  </si>
  <si>
    <t>(074) 99956-1768</t>
  </si>
  <si>
    <t>0228-0592</t>
  </si>
  <si>
    <t>ADALTO DURAES DE SOUZA</t>
  </si>
  <si>
    <t>LANCHONETE SOUZA  01</t>
  </si>
  <si>
    <t>RUA CUSTODIO DE MORAES, 235</t>
  </si>
  <si>
    <t>-10.819886</t>
  </si>
  <si>
    <t>-42.731327</t>
  </si>
  <si>
    <t>(074) 99909-3511</t>
  </si>
  <si>
    <t>0228-0596</t>
  </si>
  <si>
    <t>ELISETE RIBEIRO BRITO</t>
  </si>
  <si>
    <t>MARCADINHO YASMIM</t>
  </si>
  <si>
    <t>RUA RUA 13 DE JUNHO, 16</t>
  </si>
  <si>
    <t>-10.839130</t>
  </si>
  <si>
    <t>-42.726486</t>
  </si>
  <si>
    <t>(074) 99916-0620</t>
  </si>
  <si>
    <t>0228-0598</t>
  </si>
  <si>
    <t>CAROLINE DE ARAUJO DOS SANTOS</t>
  </si>
  <si>
    <t>MERCADINHO CASSIANE</t>
  </si>
  <si>
    <t>RUA RUA J</t>
  </si>
  <si>
    <t>-10.776224</t>
  </si>
  <si>
    <t>-42.684387</t>
  </si>
  <si>
    <t>(074) 99914-1170</t>
  </si>
  <si>
    <t>0228-0606</t>
  </si>
  <si>
    <t>UELTON DOS SANTOS SILVA</t>
  </si>
  <si>
    <t>PIZZARIA PEPPERANE</t>
  </si>
  <si>
    <t>RUA RUA HONEZINDA T DA ROCHA, 104</t>
  </si>
  <si>
    <t>-10.836308</t>
  </si>
  <si>
    <t>-42.726685</t>
  </si>
  <si>
    <t>(074) 99803-1397</t>
  </si>
  <si>
    <t>0228-0607</t>
  </si>
  <si>
    <t>SOLON MARQUES DA CRUZ</t>
  </si>
  <si>
    <t>BAR DO SOLON</t>
  </si>
  <si>
    <t>RUA RUA BELO HORIZONTE, 46</t>
  </si>
  <si>
    <t>-10.821700</t>
  </si>
  <si>
    <t>-42.732494</t>
  </si>
  <si>
    <t>(074) 99963-2568</t>
  </si>
  <si>
    <t>0228-0611</t>
  </si>
  <si>
    <t>ANTONIO CARLOS FILHO</t>
  </si>
  <si>
    <t>PADARIA ALVES</t>
  </si>
  <si>
    <t>RUA RUA F, 5</t>
  </si>
  <si>
    <t>NOVA IGUIRRA</t>
  </si>
  <si>
    <t>-10.774767</t>
  </si>
  <si>
    <t>-42.686210</t>
  </si>
  <si>
    <t>(074) 99906-8349</t>
  </si>
  <si>
    <t>0228-0616</t>
  </si>
  <si>
    <t>CARLEONES RODRIGUES SILVA</t>
  </si>
  <si>
    <t>CONVENIENCIA RODRIGU</t>
  </si>
  <si>
    <t>TRV 13 DE JUNHO, 13</t>
  </si>
  <si>
    <t>-10.837268</t>
  </si>
  <si>
    <t>-42.726580</t>
  </si>
  <si>
    <t>(011) 95752-1857</t>
  </si>
  <si>
    <t>0228-0625</t>
  </si>
  <si>
    <t>ERISVALDO RODRIGUES DE SOUZA</t>
  </si>
  <si>
    <t>CASA DO ESPETINHO</t>
  </si>
  <si>
    <t>PRC PRACA AIRTON SENA, 602</t>
  </si>
  <si>
    <t>-10.828639</t>
  </si>
  <si>
    <t>-42.724384</t>
  </si>
  <si>
    <t>(074) 99950-9758</t>
  </si>
  <si>
    <t>0228-0626</t>
  </si>
  <si>
    <t>VANIA SANTOS ROCHA</t>
  </si>
  <si>
    <t>DELICIAS DE SABORES</t>
  </si>
  <si>
    <t>TRV TRV DJALMAQ BESSA, 950</t>
  </si>
  <si>
    <t>-10.830124</t>
  </si>
  <si>
    <t>-42.724846</t>
  </si>
  <si>
    <t>(074) 98142-6607</t>
  </si>
  <si>
    <t>0228-0631</t>
  </si>
  <si>
    <t>BARTOLOMEU LINO DE SOUSA</t>
  </si>
  <si>
    <t>MERCADINHO BRILHANTE</t>
  </si>
  <si>
    <t>RUA RUA DOM PEDRO SEGUNDO, 939</t>
  </si>
  <si>
    <t>-10.816209</t>
  </si>
  <si>
    <t>-42.723970</t>
  </si>
  <si>
    <t>(074) 99947-8034</t>
  </si>
  <si>
    <t>0228-0635</t>
  </si>
  <si>
    <t>CAROLINE BISPO DOS SANTOS ALVES</t>
  </si>
  <si>
    <t>MERCADO MAIS</t>
  </si>
  <si>
    <t>RUA RUA 49, 54</t>
  </si>
  <si>
    <t>-10.825257</t>
  </si>
  <si>
    <t>-42.716170</t>
  </si>
  <si>
    <t>(074) 99811-7772</t>
  </si>
  <si>
    <t>0228-0644</t>
  </si>
  <si>
    <t>JOAO DE OLIVEIRA BARRETO</t>
  </si>
  <si>
    <t>COMERCIAL ALMEIDA</t>
  </si>
  <si>
    <t>RUA RUA CUSTODIO MORAES, 228</t>
  </si>
  <si>
    <t>-10.819915</t>
  </si>
  <si>
    <t>(074) 99966-2287</t>
  </si>
  <si>
    <t>0228-0645</t>
  </si>
  <si>
    <t>MEGA VAREJAO MATUTI</t>
  </si>
  <si>
    <t>RUA RUA DR BRITOALDO MIRANDA, 311</t>
  </si>
  <si>
    <t>-10.831441</t>
  </si>
  <si>
    <t>-42.725050</t>
  </si>
  <si>
    <t>(074) 99931-2634</t>
  </si>
  <si>
    <t>0228-0659</t>
  </si>
  <si>
    <t>PANIFICADORA GF LTDA</t>
  </si>
  <si>
    <t>PADARIA GL</t>
  </si>
  <si>
    <t>RUA RUA VIRGILIO MOREIRA 834, 834</t>
  </si>
  <si>
    <t>-10.829443</t>
  </si>
  <si>
    <t>-42.722073</t>
  </si>
  <si>
    <t>(074) 99991-6296</t>
  </si>
  <si>
    <t>0228-0661</t>
  </si>
  <si>
    <t>JEANE RIBEIRO DE ARAUJO</t>
  </si>
  <si>
    <t>PADARIA DA DIVA</t>
  </si>
  <si>
    <t>RUA RUA 02 GUAXINIM, 92</t>
  </si>
  <si>
    <t>-10.817918</t>
  </si>
  <si>
    <t>-42.715250</t>
  </si>
  <si>
    <t>(074) 99950-7902</t>
  </si>
  <si>
    <t>0228-0663</t>
  </si>
  <si>
    <t>STEFANY COUTO CRUZ</t>
  </si>
  <si>
    <t>BAR E POUSADA COMIDA</t>
  </si>
  <si>
    <t>PRC PRACA 6 DE JULHO, 70</t>
  </si>
  <si>
    <t>-10.822887</t>
  </si>
  <si>
    <t>-42.730717</t>
  </si>
  <si>
    <t>(071) 99732-7390</t>
  </si>
  <si>
    <t>0228-0664</t>
  </si>
  <si>
    <t>MEGA VAREJAO SUPERME</t>
  </si>
  <si>
    <t>PRC PRACA DOM MAXIMO 420, 420</t>
  </si>
  <si>
    <t>-10.822890</t>
  </si>
  <si>
    <t>-42.732120</t>
  </si>
  <si>
    <t>(074) 03661-4286</t>
  </si>
  <si>
    <t>0228-0667</t>
  </si>
  <si>
    <t>WAGNER JOSE DURAES</t>
  </si>
  <si>
    <t>CHACARA DURAES</t>
  </si>
  <si>
    <t>RUA EROTIDES NOGUEIRA, 510</t>
  </si>
  <si>
    <t>-10.820343</t>
  </si>
  <si>
    <t>-42.725945</t>
  </si>
  <si>
    <t>(074) 98118-9093</t>
  </si>
  <si>
    <t>0228-0668</t>
  </si>
  <si>
    <t>RENATO FERREIRA CARVALHO</t>
  </si>
  <si>
    <t>MERCADO BELA VISTA01</t>
  </si>
  <si>
    <t>RUA RUA VIRGILIO BESSA, 311</t>
  </si>
  <si>
    <t>-10.826920</t>
  </si>
  <si>
    <t>-42.730040</t>
  </si>
  <si>
    <t>(074) 99112-3901</t>
  </si>
  <si>
    <t>0228-0670</t>
  </si>
  <si>
    <t>IVO PEREIRA DE ALMEIDA</t>
  </si>
  <si>
    <t>MERCADO PONTO CERT09</t>
  </si>
  <si>
    <t>RUA RUA 15 DE NOVEMBRO, 489</t>
  </si>
  <si>
    <t>-10.827979</t>
  </si>
  <si>
    <t>-42.732254</t>
  </si>
  <si>
    <t>(074) 09980-5071</t>
  </si>
  <si>
    <t>0228-0674</t>
  </si>
  <si>
    <t>MIRANILDA PEREIRA LACERDA NOGUEIRA</t>
  </si>
  <si>
    <t>BOX 25            01</t>
  </si>
  <si>
    <t>AV AVENIDA BARAO DO RIO BRANCO, 25</t>
  </si>
  <si>
    <t>-10.820081</t>
  </si>
  <si>
    <t>-42.732006</t>
  </si>
  <si>
    <t>(074) 99940-8793</t>
  </si>
  <si>
    <t>0228-0676</t>
  </si>
  <si>
    <t>ALLAN DUARTE RODRIGUES</t>
  </si>
  <si>
    <t>POPPY SUPERMERCADO</t>
  </si>
  <si>
    <t>AV AVENIDA AYRTON SENNA DA SILVA, 455</t>
  </si>
  <si>
    <t>-10.828188</t>
  </si>
  <si>
    <t>-42.725110</t>
  </si>
  <si>
    <t>(074) 98135-8227</t>
  </si>
  <si>
    <t>0228-0679</t>
  </si>
  <si>
    <t>EVERALDO DAS NEVES LIMA</t>
  </si>
  <si>
    <t>CONVENI COMPINENSE</t>
  </si>
  <si>
    <t>RUA BELO HORIZNTE, 21</t>
  </si>
  <si>
    <t>-10.821840</t>
  </si>
  <si>
    <t>-42.732323</t>
  </si>
  <si>
    <t>(074) 99906-5603</t>
  </si>
  <si>
    <t>0228-0693</t>
  </si>
  <si>
    <t>ALAN GONZAGA DOS SANTOS</t>
  </si>
  <si>
    <t>RESTAURANT DA EVELLY</t>
  </si>
  <si>
    <t>AV AVENIDA ANTONIO CARLOS MAGALHAES, 1060</t>
  </si>
  <si>
    <t>-10.820647</t>
  </si>
  <si>
    <t>-42.723686</t>
  </si>
  <si>
    <t>(074) 99983-9896</t>
  </si>
  <si>
    <t>0228-0697</t>
  </si>
  <si>
    <t>ROGERIO VAGNER PEREIRA DA SILVA</t>
  </si>
  <si>
    <t>ACOUGUE DO ROGERIO</t>
  </si>
  <si>
    <t>RUA QUINTINO BOCAIUVA</t>
  </si>
  <si>
    <t>-10.820238</t>
  </si>
  <si>
    <t>-42.726760</t>
  </si>
  <si>
    <t>(074) 99959-7343</t>
  </si>
  <si>
    <t>0228-0698</t>
  </si>
  <si>
    <t>MACAY KARINE PEREIRA BASTOS</t>
  </si>
  <si>
    <t>POINT DO ACARAJE  01</t>
  </si>
  <si>
    <t>RUA DR DELIO LEDOUX, 290</t>
  </si>
  <si>
    <t>-10.828236</t>
  </si>
  <si>
    <t>-42.727985</t>
  </si>
  <si>
    <t>(074) 99950-9784</t>
  </si>
  <si>
    <t>0228-0701</t>
  </si>
  <si>
    <t>RANGEL PEQUI FIGUEREDO</t>
  </si>
  <si>
    <t>REST MUNDIAL DA GALI</t>
  </si>
  <si>
    <t>ROD RODOVIA BA 052, 69</t>
  </si>
  <si>
    <t>-10.819087</t>
  </si>
  <si>
    <t>-42.715090</t>
  </si>
  <si>
    <t>(074) 99819-0287</t>
  </si>
  <si>
    <t>0228-0702</t>
  </si>
  <si>
    <t>RUY CARLOS RODRIGUES DOS SANTOS JUNIOR</t>
  </si>
  <si>
    <t>CANTINHO DO LANCHE02</t>
  </si>
  <si>
    <t>RUA RUA ESPERANCA, 62</t>
  </si>
  <si>
    <t>-10.819833</t>
  </si>
  <si>
    <t>-42.725513</t>
  </si>
  <si>
    <t>(074) 99982-4425</t>
  </si>
  <si>
    <t>0228-0703</t>
  </si>
  <si>
    <t>LUCAS BESSA DA CUNHA</t>
  </si>
  <si>
    <t>LUCAS LANCHES</t>
  </si>
  <si>
    <t>RUA RUA DOM PEDRO I, 153</t>
  </si>
  <si>
    <t>-10.821474</t>
  </si>
  <si>
    <t>-42.729614</t>
  </si>
  <si>
    <t>(074) 98102-0676</t>
  </si>
  <si>
    <t>0228-0705</t>
  </si>
  <si>
    <t>LEONI MIRANDA CUNHA</t>
  </si>
  <si>
    <t>CONVENI VILA DO ALMI</t>
  </si>
  <si>
    <t>RUA RUA EROTIDES NEGUEIRA, 711</t>
  </si>
  <si>
    <t>-10.831190</t>
  </si>
  <si>
    <t>-42.731150</t>
  </si>
  <si>
    <t>(074) 98124-4659</t>
  </si>
  <si>
    <t>0228-0709</t>
  </si>
  <si>
    <t>RAUL VICTOR FIGUEIREDO SANTOS</t>
  </si>
  <si>
    <t>CASA DOS SALGADOS 2</t>
  </si>
  <si>
    <t>RUA RUA JOAO PEREIRA DA COSTA, 22</t>
  </si>
  <si>
    <t>-10.825892</t>
  </si>
  <si>
    <t>-42.727790</t>
  </si>
  <si>
    <t>(074) 99945-6201</t>
  </si>
  <si>
    <t>0228-0711</t>
  </si>
  <si>
    <t>EDIVAN COSMO DA SILVA</t>
  </si>
  <si>
    <t>OFICINA DO PAO</t>
  </si>
  <si>
    <t>RUA RUA JOEL FERREIRA DE CARVALHO, 65</t>
  </si>
  <si>
    <t>-10.822304</t>
  </si>
  <si>
    <t>-42.731457</t>
  </si>
  <si>
    <t>(074) 99988-4569</t>
  </si>
  <si>
    <t>0228-0714</t>
  </si>
  <si>
    <t>FLAVIO PEREIRA DOS SANTOS</t>
  </si>
  <si>
    <t>COFFEE BREAK      01</t>
  </si>
  <si>
    <t>RUA RUA VIRGILIO BESSA, 420</t>
  </si>
  <si>
    <t>-10.827716</t>
  </si>
  <si>
    <t>-42.730766</t>
  </si>
  <si>
    <t>(074) 99980-2664</t>
  </si>
  <si>
    <t>0228-0715</t>
  </si>
  <si>
    <t>EDNALDO TRINDADE DE NASCIMENTO</t>
  </si>
  <si>
    <t>RESTAURANTE PARADA O</t>
  </si>
  <si>
    <t>AV AVENIDA ANTONIO CARLOS MAGALHAES, 100</t>
  </si>
  <si>
    <t>-10.819273</t>
  </si>
  <si>
    <t>-42.717476</t>
  </si>
  <si>
    <t>(074) 99998-4877</t>
  </si>
  <si>
    <t>0228-0716</t>
  </si>
  <si>
    <t>IURE ROCHA BASTOS GOMES LTDA</t>
  </si>
  <si>
    <t>COLISEU BURGUER XX</t>
  </si>
  <si>
    <t>RUA RUA QUINTINO BOCAIUVA, 56</t>
  </si>
  <si>
    <t>-10.823658</t>
  </si>
  <si>
    <t>-42.728886</t>
  </si>
  <si>
    <t>(074) 99971-9231</t>
  </si>
  <si>
    <t>0228-0717</t>
  </si>
  <si>
    <t>RAFAEL ALVES DOS SANTOS</t>
  </si>
  <si>
    <t>ESPACO GOURMET</t>
  </si>
  <si>
    <t>EST ESTRADA DA SERRA</t>
  </si>
  <si>
    <t>-10.828033</t>
  </si>
  <si>
    <t>-42.724735</t>
  </si>
  <si>
    <t>(074) 98861-3540</t>
  </si>
  <si>
    <t>0228-0720</t>
  </si>
  <si>
    <t>MARIA JOSE DIOCLECIO DO NASCIMENTO</t>
  </si>
  <si>
    <t>STATUS BAR CHURRASCA</t>
  </si>
  <si>
    <t>RUA RUA MARECHAL DEODORO, 51</t>
  </si>
  <si>
    <t>-10.823698</t>
  </si>
  <si>
    <t>-42.732640</t>
  </si>
  <si>
    <t>(074) 93661-3671</t>
  </si>
  <si>
    <t>0228-0721</t>
  </si>
  <si>
    <t>JN MERCEARIA LTDA</t>
  </si>
  <si>
    <t>MERCADINHO POPULAR03</t>
  </si>
  <si>
    <t>RUA RUA VIRGILIO BESSA, 516</t>
  </si>
  <si>
    <t>-10.828491</t>
  </si>
  <si>
    <t>-42.731260</t>
  </si>
  <si>
    <t>(074) 99940-1074</t>
  </si>
  <si>
    <t>0228-0722</t>
  </si>
  <si>
    <t>DJALMA DOS SANTOS SOUZA</t>
  </si>
  <si>
    <t>DELECIOS BURGUES</t>
  </si>
  <si>
    <t>RUA RUA 56, 230 / A</t>
  </si>
  <si>
    <t>SENHOR DO BOMFIM/BNH</t>
  </si>
  <si>
    <t>-10.829289</t>
  </si>
  <si>
    <t>-42.715252</t>
  </si>
  <si>
    <t>(074) 98144-7888</t>
  </si>
  <si>
    <t>0228-0723</t>
  </si>
  <si>
    <t>ANTONIO GALDINO DA COSTA DIAS</t>
  </si>
  <si>
    <t>RESTAURANTE FM</t>
  </si>
  <si>
    <t>RUA 54 A, 117</t>
  </si>
  <si>
    <t>-10.828415</t>
  </si>
  <si>
    <t>-42.714847</t>
  </si>
  <si>
    <t>(074) 98839-9759</t>
  </si>
  <si>
    <t>0228-0726</t>
  </si>
  <si>
    <t>NEILTON NERES CIRIANO</t>
  </si>
  <si>
    <t>ABATEDOURO NERES</t>
  </si>
  <si>
    <t>RUA RUA D PEDRO II, 920</t>
  </si>
  <si>
    <t>-10.816446</t>
  </si>
  <si>
    <t>-42.723965</t>
  </si>
  <si>
    <t>(074) 99957-7706</t>
  </si>
  <si>
    <t>0228-0727</t>
  </si>
  <si>
    <t>RAFAEL SAMPAIO DO NASCIMENTO</t>
  </si>
  <si>
    <t>MERCADO CARDEAL   01</t>
  </si>
  <si>
    <t>RUA RUA RUY BARBOSA, 95</t>
  </si>
  <si>
    <t>-10.821910</t>
  </si>
  <si>
    <t>-42.730423</t>
  </si>
  <si>
    <t>(074) 99929-0431</t>
  </si>
  <si>
    <t>0228-0730</t>
  </si>
  <si>
    <t>MARIA LUISA DE ABREU OLIVEIRA</t>
  </si>
  <si>
    <t>REST XIQUE-XIQUE</t>
  </si>
  <si>
    <t>10R RUA ROSA BARAUNA, 276</t>
  </si>
  <si>
    <t>-10.822365</t>
  </si>
  <si>
    <t>-42.726944</t>
  </si>
  <si>
    <t>(074) 03973-5760</t>
  </si>
  <si>
    <t>0228-0732</t>
  </si>
  <si>
    <t>ADEMIR DE ALMEIDA CAFE</t>
  </si>
  <si>
    <t>MABELY</t>
  </si>
  <si>
    <t>RUA RUA PEDRO MARIANOO, 417 / A</t>
  </si>
  <si>
    <t>-10.820394</t>
  </si>
  <si>
    <t>-42.727720</t>
  </si>
  <si>
    <t>(074) 99112-6847</t>
  </si>
  <si>
    <t>0228-0734</t>
  </si>
  <si>
    <t>THAMIRES DE JESUS BORGES</t>
  </si>
  <si>
    <t>BAR E REST DA VANIA</t>
  </si>
  <si>
    <t>AV BARAO DO RIO BRANCO, 86</t>
  </si>
  <si>
    <t>-10.818736</t>
  </si>
  <si>
    <t>-42.731358</t>
  </si>
  <si>
    <t>(749) 08811-1667</t>
  </si>
  <si>
    <t>0228-0735</t>
  </si>
  <si>
    <t>VILMAR MARTINS DOS SANTOS JUNIOR</t>
  </si>
  <si>
    <t>CASA DAS PIZZAS   01</t>
  </si>
  <si>
    <t>RUA CLODOALDO MAGALHAES AVELINO, 443</t>
  </si>
  <si>
    <t>-10.827071</t>
  </si>
  <si>
    <t>-42.727036</t>
  </si>
  <si>
    <t>(074) 98808-4228</t>
  </si>
  <si>
    <t>0228-0739</t>
  </si>
  <si>
    <t>MARCICLEIA DOS SANTOS SANTANA</t>
  </si>
  <si>
    <t>SPETINHO E LANCHONET</t>
  </si>
  <si>
    <t>ROD BA 052, 104</t>
  </si>
  <si>
    <t>SANTA MARIA</t>
  </si>
  <si>
    <t>-10.817252</t>
  </si>
  <si>
    <t>-42.717965</t>
  </si>
  <si>
    <t>(074) 99922-0378</t>
  </si>
  <si>
    <t>0228-0742</t>
  </si>
  <si>
    <t>CARLOS EDUARDO SILVA DIAS</t>
  </si>
  <si>
    <t>DISTRIBUIDORA VIRA C</t>
  </si>
  <si>
    <t>AV RAUL BRAGA, 92</t>
  </si>
  <si>
    <t>-10.828649</t>
  </si>
  <si>
    <t>-42.722622</t>
  </si>
  <si>
    <t>(074) 99958-0996</t>
  </si>
  <si>
    <t>0228-0744</t>
  </si>
  <si>
    <t>FABIO DA SILVA PEREIRA</t>
  </si>
  <si>
    <t>LANCHONETE GOOD YCY</t>
  </si>
  <si>
    <t>RUA RUA DOS MACONS 1</t>
  </si>
  <si>
    <t>-10.829999</t>
  </si>
  <si>
    <t>-42.731310</t>
  </si>
  <si>
    <t>(074) 09994-5029</t>
  </si>
  <si>
    <t>0228-0745</t>
  </si>
  <si>
    <t>LUZINETE BORGES CORREIA</t>
  </si>
  <si>
    <t>DISTRI NOGUEIRA</t>
  </si>
  <si>
    <t>RUA RUI BARBOSA, 593</t>
  </si>
  <si>
    <t>-10.818258</t>
  </si>
  <si>
    <t>-42.727875</t>
  </si>
  <si>
    <t>(074) 09997-0545</t>
  </si>
  <si>
    <t>0228-0748</t>
  </si>
  <si>
    <t>NEILTON PEREIRA LIMA</t>
  </si>
  <si>
    <t>RESTAURANTE TIA NANA</t>
  </si>
  <si>
    <t>RUA AURORA, 456</t>
  </si>
  <si>
    <t>-10.827692</t>
  </si>
  <si>
    <t>-42.731537</t>
  </si>
  <si>
    <t>(074) 98864-7680</t>
  </si>
  <si>
    <t>0228-0749</t>
  </si>
  <si>
    <t>ALEXSANDRO ANDRADE SANTOS</t>
  </si>
  <si>
    <t>BUTECO GELO E CIA</t>
  </si>
  <si>
    <t>AV JJ SEABRA, 396</t>
  </si>
  <si>
    <t>-10.825317</t>
  </si>
  <si>
    <t>(011) 97605-9043</t>
  </si>
  <si>
    <t>0228-0750</t>
  </si>
  <si>
    <t>ANDREZA DE JESUS PEREIRA</t>
  </si>
  <si>
    <t>RECANTO DO SALGADOS</t>
  </si>
  <si>
    <t>PRA PRESIDENTE VARGAS, 128</t>
  </si>
  <si>
    <t>-10.822478</t>
  </si>
  <si>
    <t>-42.732647</t>
  </si>
  <si>
    <t>(074) 99921-6803</t>
  </si>
  <si>
    <t>0228-0751</t>
  </si>
  <si>
    <t>EVANEIDE NUNES DA SILVA</t>
  </si>
  <si>
    <t>BAR PEIXE FRITO</t>
  </si>
  <si>
    <t>ROD BA 052, 1</t>
  </si>
  <si>
    <t>RURAL XIQUE XIQUE</t>
  </si>
  <si>
    <t>-10.819865</t>
  </si>
  <si>
    <t>-42.716614</t>
  </si>
  <si>
    <t>(074) 99933-0262</t>
  </si>
  <si>
    <t>0228-0752</t>
  </si>
  <si>
    <t>LUIZ VICENTE SANTANA FRANCA</t>
  </si>
  <si>
    <t>TROPICAL LANCHES  01</t>
  </si>
  <si>
    <t>PRC 6 DE JULHO, 6</t>
  </si>
  <si>
    <t>-10.822866</t>
  </si>
  <si>
    <t>-42.731170</t>
  </si>
  <si>
    <t>(074) 98145-4166</t>
  </si>
  <si>
    <t>0228-0753</t>
  </si>
  <si>
    <t>ELIENE MARIA NAZARE</t>
  </si>
  <si>
    <t>O COQUEIRAL</t>
  </si>
  <si>
    <t>RUA RUA DR DELIO LEDUX, 578</t>
  </si>
  <si>
    <t>-10.830534</t>
  </si>
  <si>
    <t>-42.731230</t>
  </si>
  <si>
    <t>(074) 98141-1530</t>
  </si>
  <si>
    <t>0228-0755</t>
  </si>
  <si>
    <t>ROMULO ALMEIDA COSTA</t>
  </si>
  <si>
    <t>PASTELARIA ROMEU E J</t>
  </si>
  <si>
    <t>RUA RUA AURORA, 456</t>
  </si>
  <si>
    <t>-10.824881</t>
  </si>
  <si>
    <t>-42.726643</t>
  </si>
  <si>
    <t>(074) 99933-7491</t>
  </si>
  <si>
    <t>0228-0756</t>
  </si>
  <si>
    <t>SORAIA SOUZA DE CARVALHO</t>
  </si>
  <si>
    <t>SOL FRIOS         01</t>
  </si>
  <si>
    <t>TRV TRAVESSA DO CINQUENTENARIO, 485</t>
  </si>
  <si>
    <t>-10.828306</t>
  </si>
  <si>
    <t>-42.730670</t>
  </si>
  <si>
    <t>(074) 99943-6416</t>
  </si>
  <si>
    <t>0228-0759</t>
  </si>
  <si>
    <t>WENDELL PEREIRA DA SILVA SENA</t>
  </si>
  <si>
    <t>BAR DA NEURA      01</t>
  </si>
  <si>
    <t>TRV DOS ESPORTE, 1018</t>
  </si>
  <si>
    <t>-10.820684</t>
  </si>
  <si>
    <t>-42.725956</t>
  </si>
  <si>
    <t>(011) 97337-7746</t>
  </si>
  <si>
    <t>0228-0760</t>
  </si>
  <si>
    <t>ADRIANA PEREIRA DA SILVA</t>
  </si>
  <si>
    <t>CASA DE TEMPERO SOUZ</t>
  </si>
  <si>
    <t>RUA JOAO GUIMARAES, 133</t>
  </si>
  <si>
    <t>-10.820660</t>
  </si>
  <si>
    <t>-42.730812</t>
  </si>
  <si>
    <t>(074) 09988-2116</t>
  </si>
  <si>
    <t>0228-0761</t>
  </si>
  <si>
    <t>EDICLEIDE PEREIRA DOS SANTOS</t>
  </si>
  <si>
    <t>EMPORIO DOS SALGADOS</t>
  </si>
  <si>
    <t>RUA MNSENHOR DA COSTA, 292</t>
  </si>
  <si>
    <t>-10.820232</t>
  </si>
  <si>
    <t>-42.729890</t>
  </si>
  <si>
    <t>(077) 98167-2197</t>
  </si>
  <si>
    <t>0228-0762</t>
  </si>
  <si>
    <t>EUNICE RUFINO DE CARVALHO</t>
  </si>
  <si>
    <t>LANCH BATE PAPO 2</t>
  </si>
  <si>
    <t>RUA BA 52, 214</t>
  </si>
  <si>
    <t>GUAXINIM/ X. XIQUE</t>
  </si>
  <si>
    <t>-10.818908</t>
  </si>
  <si>
    <t>-42.713920</t>
  </si>
  <si>
    <t>(074) 98156-2923</t>
  </si>
  <si>
    <t>0228-0763</t>
  </si>
  <si>
    <t>FLAVIA BORGES MOREIRA</t>
  </si>
  <si>
    <t>MERCADINHO MARCIEL</t>
  </si>
  <si>
    <t>RUA 55, 28</t>
  </si>
  <si>
    <t>-10.828698</t>
  </si>
  <si>
    <t>-42.714920</t>
  </si>
  <si>
    <t>(074) 98152-2832</t>
  </si>
  <si>
    <t>0228-0764</t>
  </si>
  <si>
    <t>ERIQUE RODRIGUES DA SILVA</t>
  </si>
  <si>
    <t>NOSSA CONVENIENCIA</t>
  </si>
  <si>
    <t>RUA JOAO GUIMARAES, 906</t>
  </si>
  <si>
    <t>-10.824203</t>
  </si>
  <si>
    <t>-42.724979</t>
  </si>
  <si>
    <t>(074) 98119-9290</t>
  </si>
  <si>
    <t>0228-0765</t>
  </si>
  <si>
    <t>NUBIA OLIVEIRA DA SILVA</t>
  </si>
  <si>
    <t>PP ESPETINHO</t>
  </si>
  <si>
    <t>RUA DEMOSTHENES BARNABE DA SILVA, 41</t>
  </si>
  <si>
    <t>POLIVALENTE XIQUE XI</t>
  </si>
  <si>
    <t>-10.828018</t>
  </si>
  <si>
    <t>-42.724792</t>
  </si>
  <si>
    <t>(077) 99857-5297</t>
  </si>
  <si>
    <t>0228-0768</t>
  </si>
  <si>
    <t>ANDRE MARTINS SILVA</t>
  </si>
  <si>
    <t>SABOR XIQUE SALGADOS</t>
  </si>
  <si>
    <t>RUA CEL MANOEL TEXEIRA, 8</t>
  </si>
  <si>
    <t>-10.821326</t>
  </si>
  <si>
    <t>-42.731298</t>
  </si>
  <si>
    <t>(077) 98821-0266</t>
  </si>
  <si>
    <t>0228-0769</t>
  </si>
  <si>
    <t>POPPY SUPERMERCADO LTDA</t>
  </si>
  <si>
    <t>POPPY MIX</t>
  </si>
  <si>
    <t>RUA CUSTODIO DE MORAES, 342</t>
  </si>
  <si>
    <t>-10.818821</t>
  </si>
  <si>
    <t>-42.730593</t>
  </si>
  <si>
    <t>0228-0773</t>
  </si>
  <si>
    <t>CONVENIENCIA MACEDO LTDA</t>
  </si>
  <si>
    <t>MERCADO CONVENIENCIA</t>
  </si>
  <si>
    <t>RUA EROTIDES NOGUERIRA, 692</t>
  </si>
  <si>
    <t>-10.830948</t>
  </si>
  <si>
    <t>-42.731338</t>
  </si>
  <si>
    <t>(074) 99111-5126</t>
  </si>
  <si>
    <t>0228-0774</t>
  </si>
  <si>
    <t>LUCIENE PIQUI DOS REIS</t>
  </si>
  <si>
    <t>RESTA DOS RIBEIRINHO</t>
  </si>
  <si>
    <t>AV BARAO DO RIO BRANCO, 350</t>
  </si>
  <si>
    <t>-10.819840</t>
  </si>
  <si>
    <t>-42.731429</t>
  </si>
  <si>
    <t>(074) 99931-8449</t>
  </si>
  <si>
    <t>0228-0775</t>
  </si>
  <si>
    <t>LEILTON GOMES DA SILVA</t>
  </si>
  <si>
    <t>MERC E ACOUGUE GOMES</t>
  </si>
  <si>
    <t>RUA BANDEIRANTES, 6</t>
  </si>
  <si>
    <t>SR DO BOMFIM</t>
  </si>
  <si>
    <t>-10.828901</t>
  </si>
  <si>
    <t>-42.718277</t>
  </si>
  <si>
    <t>(074) 99964-1130</t>
  </si>
  <si>
    <t>0228-0776</t>
  </si>
  <si>
    <t>CAMILA LORENA SILVA SANTOS</t>
  </si>
  <si>
    <t>CLUBE DO ESPETINHO</t>
  </si>
  <si>
    <t>PRC DOM MAXIMO 1, 113</t>
  </si>
  <si>
    <t>-10.822952</t>
  </si>
  <si>
    <t>-42.732452</t>
  </si>
  <si>
    <t>(074) 98150-9882</t>
  </si>
  <si>
    <t>0228-0777</t>
  </si>
  <si>
    <t>MAURICIO DUQUE DE LIMA MACHADO</t>
  </si>
  <si>
    <t>SALGADOS DO THEO</t>
  </si>
  <si>
    <t>RUA R GUSTAVO COSTA, 12</t>
  </si>
  <si>
    <t>-10.822842</t>
  </si>
  <si>
    <t>-42.731148</t>
  </si>
  <si>
    <t>(061) 98135-4220</t>
  </si>
  <si>
    <t>0228-0779</t>
  </si>
  <si>
    <t>LAUDECIO PEREIRA DOS SANTOS</t>
  </si>
  <si>
    <t>RESTAURANTE L E A</t>
  </si>
  <si>
    <t>ROD BA 052 SN 01</t>
  </si>
  <si>
    <t>-10.820740</t>
  </si>
  <si>
    <t>-42.717214</t>
  </si>
  <si>
    <t>(074) 99979-3881</t>
  </si>
  <si>
    <t>0228-0780</t>
  </si>
  <si>
    <t>DAMIRES DA SILVA SOUZA NUNES</t>
  </si>
  <si>
    <t>MERCADINHO NUNES  01</t>
  </si>
  <si>
    <t>RUA RUA 49 A, 54</t>
  </si>
  <si>
    <t>-10.825353</t>
  </si>
  <si>
    <t>-42.716214</t>
  </si>
  <si>
    <t>(074) 81445-1996</t>
  </si>
  <si>
    <t>0228-0781</t>
  </si>
  <si>
    <t>FELIPE OLIVEIRA SANTOS</t>
  </si>
  <si>
    <t>MERCADINHO XIMENES</t>
  </si>
  <si>
    <t>RUA JC BNH J, 5</t>
  </si>
  <si>
    <t>-10.829693</t>
  </si>
  <si>
    <t>-42.720365</t>
  </si>
  <si>
    <t>(016) 99413-5137</t>
  </si>
  <si>
    <t>0228-0782</t>
  </si>
  <si>
    <t>NATALIA ROCHA SANTOS</t>
  </si>
  <si>
    <t>SALGADOS DA TIA LO</t>
  </si>
  <si>
    <t>RUA CJ BNH G, 32</t>
  </si>
  <si>
    <t>-10.831355</t>
  </si>
  <si>
    <t>-42.721876</t>
  </si>
  <si>
    <t>0228-0783</t>
  </si>
  <si>
    <t>HILSTON RIBEIRO DE CARVALHO</t>
  </si>
  <si>
    <t>TEMPE DO CHEF DELICA</t>
  </si>
  <si>
    <t>RUA EXPED POMPEU R SANTOS, 301</t>
  </si>
  <si>
    <t>-10.822903</t>
  </si>
  <si>
    <t>-42.725678</t>
  </si>
  <si>
    <t>(074) 98118-2672</t>
  </si>
  <si>
    <t>0228-0785</t>
  </si>
  <si>
    <t>TATIANA BESSA DE ANDRADE SILVA</t>
  </si>
  <si>
    <t>LANCHONETE DA TATI</t>
  </si>
  <si>
    <t>RUA 7 DE SETEMBRO, 7</t>
  </si>
  <si>
    <t>-11.403788</t>
  </si>
  <si>
    <t>-42.664374</t>
  </si>
  <si>
    <t>(074) 99147-5206</t>
  </si>
  <si>
    <t>0228-0786</t>
  </si>
  <si>
    <t>MAR E SERTAO LTDA</t>
  </si>
  <si>
    <t>MAR E SERTAO</t>
  </si>
  <si>
    <t>PRC DOM MAXIMO, 375</t>
  </si>
  <si>
    <t>-10.829894</t>
  </si>
  <si>
    <t>-42.723690</t>
  </si>
  <si>
    <t>(749) 09923-2357</t>
  </si>
  <si>
    <t>0228-0787</t>
  </si>
  <si>
    <t>LANCHONETE DELICIA DA THAY LTDA</t>
  </si>
  <si>
    <t>LANCHONETE DELICI DA</t>
  </si>
  <si>
    <t>RUA HONEZINDA TEIXEIRA DA ROCHA, 806</t>
  </si>
  <si>
    <t>-10.831231</t>
  </si>
  <si>
    <t>-42.727707</t>
  </si>
  <si>
    <t>(074) 99815-6304</t>
  </si>
  <si>
    <t>0228-0788</t>
  </si>
  <si>
    <t>LEONARDO DA SILVA SOUZA</t>
  </si>
  <si>
    <t>CASA DO ESPETNHO II</t>
  </si>
  <si>
    <t>PRC DOM MAXIMO, 72</t>
  </si>
  <si>
    <t>-10.822279</t>
  </si>
  <si>
    <t>-42.731580</t>
  </si>
  <si>
    <t>0228-0789</t>
  </si>
  <si>
    <t>FRANKLIN FLORENTINO BRITO</t>
  </si>
  <si>
    <t>ADEGA RODRIGUES</t>
  </si>
  <si>
    <t>TRV 13 DE JUNHO, 9</t>
  </si>
  <si>
    <t>-10.839025</t>
  </si>
  <si>
    <t>-42.727185</t>
  </si>
  <si>
    <t>(074) 99910-7655</t>
  </si>
  <si>
    <t>0228-0790</t>
  </si>
  <si>
    <t>ANDRESSA ANTUNES BASTOS</t>
  </si>
  <si>
    <t>MERCADINHO E PADA JP</t>
  </si>
  <si>
    <t>RUA EROTILDES NOGUEIRA, 631</t>
  </si>
  <si>
    <t>-10.830169</t>
  </si>
  <si>
    <t>-42.731223</t>
  </si>
  <si>
    <t>(074) 99955-8262</t>
  </si>
  <si>
    <t>0228-0791</t>
  </si>
  <si>
    <t>RESTAURANTE BODE E CIA LTDA</t>
  </si>
  <si>
    <t>FRANGO ASSAD DO GALE</t>
  </si>
  <si>
    <t>RUA ROSA BARAUNA, 194</t>
  </si>
  <si>
    <t>-42.727241</t>
  </si>
  <si>
    <t>(074) 09926-5913</t>
  </si>
  <si>
    <t>0228-0792</t>
  </si>
  <si>
    <t>CAIQUE DE OLIVEIRA ARAUJO LTDA</t>
  </si>
  <si>
    <t>PADARIA E MERC 20 AG</t>
  </si>
  <si>
    <t>RUA EROTIDES NOUGUEIRA, 671</t>
  </si>
  <si>
    <t>-10.830891</t>
  </si>
  <si>
    <t>-42.731296</t>
  </si>
  <si>
    <t>(074) 99962-5334</t>
  </si>
  <si>
    <t>0228-0793</t>
  </si>
  <si>
    <t>CLAUDEMIRO RODGUES DOS SANTOS LTDA</t>
  </si>
  <si>
    <t>PASTEL DO CHUAS</t>
  </si>
  <si>
    <t>RUA CUSTODIO MORAES, 157</t>
  </si>
  <si>
    <t>-10.821053</t>
  </si>
  <si>
    <t>-42.731683</t>
  </si>
  <si>
    <t>(074) 99965-8202</t>
  </si>
  <si>
    <t>0228-0794</t>
  </si>
  <si>
    <t>MICHAEL LOPES DE SOUZA</t>
  </si>
  <si>
    <t>MERCADINHO DA GENTE</t>
  </si>
  <si>
    <t>RUA 49 ANTIGO AEROPORTO, 900</t>
  </si>
  <si>
    <t>-10.825517</t>
  </si>
  <si>
    <t>-42.715319</t>
  </si>
  <si>
    <t>(074) 99939-8296</t>
  </si>
  <si>
    <t>0228-0796</t>
  </si>
  <si>
    <t>POSTO RIO VERDE II LTDA</t>
  </si>
  <si>
    <t>POSTO RIO VERDE II</t>
  </si>
  <si>
    <t>AV ANTONIO CARLOS MAGALHAES, 1260</t>
  </si>
  <si>
    <t>-10.820147</t>
  </si>
  <si>
    <t>-42.714585</t>
  </si>
  <si>
    <t>(074) 99955-2867</t>
  </si>
  <si>
    <t>0228-0797</t>
  </si>
  <si>
    <t>PADOCA PAO DA HORA LTDA</t>
  </si>
  <si>
    <t>PADOCA PAO DA HORA01</t>
  </si>
  <si>
    <t>RUA D PEDRO II 02, 445</t>
  </si>
  <si>
    <t>-10.820187</t>
  </si>
  <si>
    <t>-42.726728</t>
  </si>
  <si>
    <t>(071) 09334-6320</t>
  </si>
  <si>
    <t>0228-0798</t>
  </si>
  <si>
    <t>FELIPE DA SILVA SOUZA</t>
  </si>
  <si>
    <t>POINT DO ESPETINHO02</t>
  </si>
  <si>
    <t>AV J J SEABRA, 96</t>
  </si>
  <si>
    <t>-10.823500</t>
  </si>
  <si>
    <t>-42.730079</t>
  </si>
  <si>
    <t>(074) 98102-7882</t>
  </si>
  <si>
    <t>0228-0799</t>
  </si>
  <si>
    <t>GLERISTON MARTINS SOBRINHO</t>
  </si>
  <si>
    <t>SALGADOS SABOR XIQUE</t>
  </si>
  <si>
    <t>RUA CEL MANOEL TEIXEIRA, 8</t>
  </si>
  <si>
    <t>CENTRO XIQUE XIQUE/X</t>
  </si>
  <si>
    <t>-10.821361</t>
  </si>
  <si>
    <t>-42.731240</t>
  </si>
  <si>
    <t>(074) 99805-0017</t>
  </si>
  <si>
    <t>0228-0800</t>
  </si>
  <si>
    <t>MARIA DO SOCORRO DOS SANTOS</t>
  </si>
  <si>
    <t>RESTAURA S DO BONFIM</t>
  </si>
  <si>
    <t>RUA BARAO DO RIO BRANCO, 456</t>
  </si>
  <si>
    <t>-10.818133</t>
  </si>
  <si>
    <t>-42.731243</t>
  </si>
  <si>
    <t>(074) 99967-0457</t>
  </si>
  <si>
    <t>0228-0801</t>
  </si>
  <si>
    <t>ATACADAO PAI E FILHO LTDA</t>
  </si>
  <si>
    <t>ATACAREJO PAI F LTDA</t>
  </si>
  <si>
    <t>RUA CORONEL MANOEL TEIXEIRA, 47</t>
  </si>
  <si>
    <t>ZONA COMERCIAL</t>
  </si>
  <si>
    <t>-10.821235</t>
  </si>
  <si>
    <t>-42.731456</t>
  </si>
  <si>
    <t>(074) 99818-5471</t>
  </si>
  <si>
    <t>0228-0802</t>
  </si>
  <si>
    <t>VINICIUS SORIANO SOARES</t>
  </si>
  <si>
    <t>ACADEMIA STILUS</t>
  </si>
  <si>
    <t>RUA CASTRO ALVES, 391</t>
  </si>
  <si>
    <t>-10.826842</t>
  </si>
  <si>
    <t>-42.732103</t>
  </si>
  <si>
    <t>(074) 99935-6021</t>
  </si>
  <si>
    <t>0235-0002</t>
  </si>
  <si>
    <t>URANIA DE OLIVEIRA PAIVA</t>
  </si>
  <si>
    <t>MERCADINHO SCORPION</t>
  </si>
  <si>
    <t>PRC ANTONIO SAMPAIO / 02350002</t>
  </si>
  <si>
    <t>-11.427312</t>
  </si>
  <si>
    <t>-42.503952</t>
  </si>
  <si>
    <t>(074) 98131-7918</t>
  </si>
  <si>
    <t>0235-0005</t>
  </si>
  <si>
    <t>CLISMAN CLEY ROSA BOA VENTURA</t>
  </si>
  <si>
    <t>MERCADO CLISMAN</t>
  </si>
  <si>
    <t>RUA RUA IPUPIARA</t>
  </si>
  <si>
    <t>-11.432713</t>
  </si>
  <si>
    <t>-42.507862</t>
  </si>
  <si>
    <t>(740) 09115-9071</t>
  </si>
  <si>
    <t>0235-0008</t>
  </si>
  <si>
    <t>VANEILTON BARRETO DOS SANTOS</t>
  </si>
  <si>
    <t>BAR MIRA SERRA</t>
  </si>
  <si>
    <t>PRC PRACA ALBERTO SAMPAIO SN</t>
  </si>
  <si>
    <t>-11.428644</t>
  </si>
  <si>
    <t>-42.504770</t>
  </si>
  <si>
    <t>(740) 09139-9649</t>
  </si>
  <si>
    <t>0235-0010</t>
  </si>
  <si>
    <t>WAGNER PEREIRA DA SILVA</t>
  </si>
  <si>
    <t>MERCADO MASTER 01</t>
  </si>
  <si>
    <t>PRC PRACA ALBERTO SAMPAIO, 22</t>
  </si>
  <si>
    <t>-11.428803</t>
  </si>
  <si>
    <t>-42.504864</t>
  </si>
  <si>
    <t>(740) 09138-7242</t>
  </si>
  <si>
    <t>0235-0013</t>
  </si>
  <si>
    <t>ITALO VIEIRA DE OLIVEIRA</t>
  </si>
  <si>
    <t>MERCADO SOS VIEIRA</t>
  </si>
  <si>
    <t>PRC PRACA ALBERTO SAMPAIO, 32</t>
  </si>
  <si>
    <t>-11.428802</t>
  </si>
  <si>
    <t>(074) 99194-8849</t>
  </si>
  <si>
    <t>0235-0015</t>
  </si>
  <si>
    <t>SIVONEI FRANCA DE CARVALHO ME</t>
  </si>
  <si>
    <t>MERCADINHO EDUARDA</t>
  </si>
  <si>
    <t>RUA CASTELO BRANCO, 62</t>
  </si>
  <si>
    <t>-11.429960</t>
  </si>
  <si>
    <t>-42.505775</t>
  </si>
  <si>
    <t>(740) 99112-2750</t>
  </si>
  <si>
    <t>0235-0017</t>
  </si>
  <si>
    <t>ELIVANIA RODRIGUES DIAS</t>
  </si>
  <si>
    <t>MERCADINHO QUEIROZ01</t>
  </si>
  <si>
    <t>PRC PRACA DO MERCADO, 1</t>
  </si>
  <si>
    <t>-11.401994</t>
  </si>
  <si>
    <t>-42.664494</t>
  </si>
  <si>
    <t>(740) 03637-6052</t>
  </si>
  <si>
    <t>0235-0023</t>
  </si>
  <si>
    <t>JOAO RODRIGUES MADUREIRA NETO</t>
  </si>
  <si>
    <t>MERCEARIA DO JOAO 01</t>
  </si>
  <si>
    <t>PRC SANTO INACIO</t>
  </si>
  <si>
    <t>-11.110697</t>
  </si>
  <si>
    <t>-42.720623</t>
  </si>
  <si>
    <t>0235-0025</t>
  </si>
  <si>
    <t>SIMONE ROCHA ROMAO</t>
  </si>
  <si>
    <t>MERCADINHO MELCE</t>
  </si>
  <si>
    <t>PRC ALBERTO SAMPAIO SN</t>
  </si>
  <si>
    <t>-11.428822</t>
  </si>
  <si>
    <t>-42.504803</t>
  </si>
  <si>
    <t>(074) 99105-5533</t>
  </si>
  <si>
    <t>0235-0033</t>
  </si>
  <si>
    <t>REGINA BARRETO DA SILVA</t>
  </si>
  <si>
    <t>MERCAD FERREIRA</t>
  </si>
  <si>
    <t>RUA R EDILSON NOGUEIRA, 51</t>
  </si>
  <si>
    <t>-11.429370</t>
  </si>
  <si>
    <t>-42.502500</t>
  </si>
  <si>
    <t>(077) 99130-4623</t>
  </si>
  <si>
    <t>0235-0040</t>
  </si>
  <si>
    <t>MARCELO VITORIO CHAGAS</t>
  </si>
  <si>
    <t>LANCHONET PAULISTANA</t>
  </si>
  <si>
    <t>RUA RUA ANTONIO MARIANOO, 71</t>
  </si>
  <si>
    <t>-11.429734</t>
  </si>
  <si>
    <t>-42.505486</t>
  </si>
  <si>
    <t>(074) 99160-5964</t>
  </si>
  <si>
    <t>0235-0051</t>
  </si>
  <si>
    <t>AILTON PEREIRA DE SOUZA</t>
  </si>
  <si>
    <t>LANCHONETE DO AILTON</t>
  </si>
  <si>
    <t>RUA MAE CHANCHA, 105</t>
  </si>
  <si>
    <t>-11.428544</t>
  </si>
  <si>
    <t>-42.504402</t>
  </si>
  <si>
    <t>(074) 99188-7700</t>
  </si>
  <si>
    <t>0235-0053</t>
  </si>
  <si>
    <t>CEZAR ALVES QUEIROZ DE OLIVEIRA</t>
  </si>
  <si>
    <t>ACOUGUE DO CEZAR</t>
  </si>
  <si>
    <t>RUA DJALMA BESSA, 164</t>
  </si>
  <si>
    <t>-11.428828</t>
  </si>
  <si>
    <t>-42.504868</t>
  </si>
  <si>
    <t>(074) 99141-6652</t>
  </si>
  <si>
    <t>0235-0063</t>
  </si>
  <si>
    <t>E.M.W. COMERCIO VAREJISTA DE ALIMENTOS L</t>
  </si>
  <si>
    <t>SKINAO DA ECONOMIA</t>
  </si>
  <si>
    <t>RUA RUA ANTONIO MARIANO, 1</t>
  </si>
  <si>
    <t>-11.429934</t>
  </si>
  <si>
    <t>-42.505610</t>
  </si>
  <si>
    <t>(074) 99127-0240</t>
  </si>
  <si>
    <t>0235-0064</t>
  </si>
  <si>
    <t>LAURA CARVALHO MIRANDA</t>
  </si>
  <si>
    <t>MERCEARIA MARTINS</t>
  </si>
  <si>
    <t>RUA RUA ESTADO NOVO, 22</t>
  </si>
  <si>
    <t>POV ITAJUBAQUARA</t>
  </si>
  <si>
    <t>-11.403984</t>
  </si>
  <si>
    <t>-42.664303</t>
  </si>
  <si>
    <t>(011) 96686-3438</t>
  </si>
  <si>
    <t>0235-0066</t>
  </si>
  <si>
    <t>THAUAN DA SILVA NOGUEIRA</t>
  </si>
  <si>
    <t>MERCADO DURAES 01</t>
  </si>
  <si>
    <t>RUA IPUPIARA, 34</t>
  </si>
  <si>
    <t>-11.431207</t>
  </si>
  <si>
    <t>-42.506485</t>
  </si>
  <si>
    <t>0235-0074</t>
  </si>
  <si>
    <t>HEIDE MARTINS DE MIRANDA</t>
  </si>
  <si>
    <t>LANCHONETE MARTINS</t>
  </si>
  <si>
    <t>RUA RUA OTACILIO LIMA, 150</t>
  </si>
  <si>
    <t>-11.400835</t>
  </si>
  <si>
    <t>-42.664967</t>
  </si>
  <si>
    <t>(074) 99108-9741</t>
  </si>
  <si>
    <t>0235-0076</t>
  </si>
  <si>
    <t>GRACIENE DE JESUS SILVA AMORIM</t>
  </si>
  <si>
    <t>MERCADO AMORIM    01</t>
  </si>
  <si>
    <t>RUA RUA ITAJUBAQUARA, 99911</t>
  </si>
  <si>
    <t>-11.429687</t>
  </si>
  <si>
    <t>-42.510864</t>
  </si>
  <si>
    <t>(074) 99151-4789</t>
  </si>
  <si>
    <t>0235-0077</t>
  </si>
  <si>
    <t>ADRIANA SILVA DOS SANTOS QUEIROZ</t>
  </si>
  <si>
    <t>BAR ENC DOS AMIGOS01</t>
  </si>
  <si>
    <t>RUA RUA DA IGREJA, 35</t>
  </si>
  <si>
    <t>-11.401525</t>
  </si>
  <si>
    <t>-42.663956</t>
  </si>
  <si>
    <t>(074) 99195-3128</t>
  </si>
  <si>
    <t>0235-0078</t>
  </si>
  <si>
    <t>PAULO HENRIQUE DE OLIVEIRA SOARES</t>
  </si>
  <si>
    <t>CEREALISTA JULIA E R</t>
  </si>
  <si>
    <t>RUA RUA FEBRONIO DE SOUZA, 475</t>
  </si>
  <si>
    <t>-11.433077</t>
  </si>
  <si>
    <t>-42.506523</t>
  </si>
  <si>
    <t>(074) 99117-2750</t>
  </si>
  <si>
    <t>0235-0079</t>
  </si>
  <si>
    <t>ELITON ALVES DE MIRANDA</t>
  </si>
  <si>
    <t>MERCADINHO MIRANDA</t>
  </si>
  <si>
    <t>PRC PRACA DO MERCADO, 204</t>
  </si>
  <si>
    <t>-11.300313</t>
  </si>
  <si>
    <t>-42.658020</t>
  </si>
  <si>
    <t>(074) 98861-0755</t>
  </si>
  <si>
    <t>0235-0080</t>
  </si>
  <si>
    <t>ANDREIA DOMINGOS PEDROSA BATISTA</t>
  </si>
  <si>
    <t>MERCADO BOM JESUS 02</t>
  </si>
  <si>
    <t>RUA RUA DA ETA N 11, 11</t>
  </si>
  <si>
    <t>-11.434270</t>
  </si>
  <si>
    <t>-42.505627</t>
  </si>
  <si>
    <t>(074) 98112-3455</t>
  </si>
  <si>
    <t>0235-0088</t>
  </si>
  <si>
    <t>LUIS CARLOS CRUZ CAPISTRANO</t>
  </si>
  <si>
    <t>SUPERMERCADO ISMA</t>
  </si>
  <si>
    <t>RUA RUA ANTONIO MARIANO 1, 1</t>
  </si>
  <si>
    <t>-11.429842</t>
  </si>
  <si>
    <t>-42.505592</t>
  </si>
  <si>
    <t>0235-0092</t>
  </si>
  <si>
    <t>JACIARA BENTO DE SOUZA</t>
  </si>
  <si>
    <t>MACAXEIRA RESTAURANT</t>
  </si>
  <si>
    <t>RUA RUA BRASIL, 35</t>
  </si>
  <si>
    <t>-11.436125</t>
  </si>
  <si>
    <t>-42.506326</t>
  </si>
  <si>
    <t>(074) 99145-2341</t>
  </si>
  <si>
    <t>0235-0094</t>
  </si>
  <si>
    <t>TAUANE DA SILVA SOUZA</t>
  </si>
  <si>
    <t>CASA DO ESPETINHO 01</t>
  </si>
  <si>
    <t>RUA RUA DJALMA BESSA, 25</t>
  </si>
  <si>
    <t>-11.431346</t>
  </si>
  <si>
    <t>-42.505833</t>
  </si>
  <si>
    <t>0235-0097</t>
  </si>
  <si>
    <t>ALAI PEREIRA PAULO</t>
  </si>
  <si>
    <t>LANCHONETE WA MAB</t>
  </si>
  <si>
    <t>RUA RUA DO BILRO, 35</t>
  </si>
  <si>
    <t>-11.403047</t>
  </si>
  <si>
    <t>-42.663790</t>
  </si>
  <si>
    <t>(011) 96658-4432</t>
  </si>
  <si>
    <t>0235-0099</t>
  </si>
  <si>
    <t>LUSINETE MARIA DE MORAIS</t>
  </si>
  <si>
    <t>BAR RESTAURANTE PAI</t>
  </si>
  <si>
    <t>RUA RUA DA CAIXA DAGUA, 71</t>
  </si>
  <si>
    <t>-11.403889</t>
  </si>
  <si>
    <t>-42.664585</t>
  </si>
  <si>
    <t>(074) 99197-0137</t>
  </si>
  <si>
    <t>0235-0100</t>
  </si>
  <si>
    <t>DOLIANA MARIA FRANCO MARTINS THEODORO</t>
  </si>
  <si>
    <t>RESTAURANTE ASSURUA</t>
  </si>
  <si>
    <t>RUA RUA IPUPIARA, 555</t>
  </si>
  <si>
    <t>PITUBA / GENTIO DO O</t>
  </si>
  <si>
    <t>-11.434324</t>
  </si>
  <si>
    <t>-42.510452</t>
  </si>
  <si>
    <t>(011) 94019-7059</t>
  </si>
  <si>
    <t>0235-0109</t>
  </si>
  <si>
    <t>NEUMA PEREIRA DOS SANTOS</t>
  </si>
  <si>
    <t>LANCHONETE PALADAR</t>
  </si>
  <si>
    <t>RUA DJALMA BESSA, 9933</t>
  </si>
  <si>
    <t>-11.433526</t>
  </si>
  <si>
    <t>-42.506306</t>
  </si>
  <si>
    <t>(029) 98101-1689</t>
  </si>
  <si>
    <t>0235-0110</t>
  </si>
  <si>
    <t>MIRLA PAIVA PINHO</t>
  </si>
  <si>
    <t>ADEGA BAR DISTRIBUID</t>
  </si>
  <si>
    <t>RUA ITAJUBAQUARA, 626</t>
  </si>
  <si>
    <t>-11.428760</t>
  </si>
  <si>
    <t>-42.504910</t>
  </si>
  <si>
    <t>(074) 98122-7652</t>
  </si>
  <si>
    <t>0235-0111</t>
  </si>
  <si>
    <t>REINALDO MARQUES COVAS</t>
  </si>
  <si>
    <t>BAR E RESTAURANTE O</t>
  </si>
  <si>
    <t>RUA RUA DIAMANTINA, 55</t>
  </si>
  <si>
    <t>-11.104227</t>
  </si>
  <si>
    <t>-42.737390</t>
  </si>
  <si>
    <t>(074) 99961-1758</t>
  </si>
  <si>
    <t>0235-0113</t>
  </si>
  <si>
    <t>RENATA SUENE GOMES LEITE DE OLIVEIRA</t>
  </si>
  <si>
    <t>EMPORIO BEBIDAS</t>
  </si>
  <si>
    <t>RUA IPUPIARA, 10</t>
  </si>
  <si>
    <t>-11.431191</t>
  </si>
  <si>
    <t>-42.506081</t>
  </si>
  <si>
    <t>(074) 99122-0088</t>
  </si>
  <si>
    <t>0235-0114</t>
  </si>
  <si>
    <t>LABONA BURGUE</t>
  </si>
  <si>
    <t>TRV IPUPIARA, 10</t>
  </si>
  <si>
    <t>-11.433741</t>
  </si>
  <si>
    <t>-42.506211</t>
  </si>
  <si>
    <t>(077) 98834-3751</t>
  </si>
  <si>
    <t>0235-0115</t>
  </si>
  <si>
    <t>ERIC ANTUNES SOUZA</t>
  </si>
  <si>
    <t>MERCEARIA DO ERIC</t>
  </si>
  <si>
    <t>RUA MAIRA VASCONCELOS, 20</t>
  </si>
  <si>
    <t>COQUEIRO COQUEIRO</t>
  </si>
  <si>
    <t>-11.422749</t>
  </si>
  <si>
    <t>-42.682140</t>
  </si>
  <si>
    <t>(011) 99813-5460</t>
  </si>
  <si>
    <t>0235-0116</t>
  </si>
  <si>
    <t>OLIVEIRA SEBASTIAO DA SILVA</t>
  </si>
  <si>
    <t>PADARIA OLIVEIRA  01</t>
  </si>
  <si>
    <t>RUA DJALMA BESSA, 59</t>
  </si>
  <si>
    <t>-11.429286</t>
  </si>
  <si>
    <t>-42.504893</t>
  </si>
  <si>
    <t>(074) 99194-9251</t>
  </si>
  <si>
    <t>0235-0117</t>
  </si>
  <si>
    <t>GENIO CIQUEIRA DE OLIVEIRA</t>
  </si>
  <si>
    <t>LANCHONETE IZABEL</t>
  </si>
  <si>
    <t>PRC DO MERCADO, 6</t>
  </si>
  <si>
    <t>-11.401447</t>
  </si>
  <si>
    <t>-42.663994</t>
  </si>
  <si>
    <t>(074) 98831-5290</t>
  </si>
  <si>
    <t>0265-0006</t>
  </si>
  <si>
    <t>GILVAN BATISTA DA SILVA</t>
  </si>
  <si>
    <t>FRIOS BATISTA</t>
  </si>
  <si>
    <t>RUA R SAO MIGUEL, 48</t>
  </si>
  <si>
    <t>TAQUARANDIR</t>
  </si>
  <si>
    <t>-10.890411</t>
  </si>
  <si>
    <t>-40.699770</t>
  </si>
  <si>
    <t>(074) 99102-2456</t>
  </si>
  <si>
    <t>0265-0014</t>
  </si>
  <si>
    <t>JOSENIAS DE ALCANTARA MELO</t>
  </si>
  <si>
    <t>MERCADO SILVA</t>
  </si>
  <si>
    <t>RUA BOA VISTA, 8888</t>
  </si>
  <si>
    <t>-10.987868</t>
  </si>
  <si>
    <t>-40.743030</t>
  </si>
  <si>
    <t>(074) 98131-6149</t>
  </si>
  <si>
    <t>0265-0018</t>
  </si>
  <si>
    <t>GILDERLANDIO SILVESTRE TINEL</t>
  </si>
  <si>
    <t>MERCADO SILVESTRE</t>
  </si>
  <si>
    <t>RUA MANOEL NOVAES</t>
  </si>
  <si>
    <t>-10.890326</t>
  </si>
  <si>
    <t>-40.700554</t>
  </si>
  <si>
    <t>(075) 03199-9650</t>
  </si>
  <si>
    <t>0265-0019</t>
  </si>
  <si>
    <t>AUSIENE DE JESUS LUCIO</t>
  </si>
  <si>
    <t>MERCADO MOTA</t>
  </si>
  <si>
    <t>RUA PASSAGEM DO RIO, 3</t>
  </si>
  <si>
    <t>-10.890449</t>
  </si>
  <si>
    <t>-40.700530</t>
  </si>
  <si>
    <t>(074) 99975-7830</t>
  </si>
  <si>
    <t>0265-0031</t>
  </si>
  <si>
    <t>JOAO LENO DAS VIRGENS OLIVEIRA</t>
  </si>
  <si>
    <t>HAMBURGUERIA 92</t>
  </si>
  <si>
    <t>RUA RUA WALDEC ORNELA, 117</t>
  </si>
  <si>
    <t>-10.954434</t>
  </si>
  <si>
    <t>-40.575474</t>
  </si>
  <si>
    <t>(074) 98131-7627</t>
  </si>
  <si>
    <t>0265-0038</t>
  </si>
  <si>
    <t>MARIA DE FATIMA MIRANDA T DE SOUZA</t>
  </si>
  <si>
    <t>SUPERMERCAD SAO LUIZ</t>
  </si>
  <si>
    <t>TRV SAO JOSE, 88</t>
  </si>
  <si>
    <t>-10.955438</t>
  </si>
  <si>
    <t>-40.575314</t>
  </si>
  <si>
    <t>(074) 98125-5992</t>
  </si>
  <si>
    <t>0265-0043</t>
  </si>
  <si>
    <t>LUIZ ROBERTO MOREIRA DE SOUSA</t>
  </si>
  <si>
    <t>ACAITERIA NA GARAGEM</t>
  </si>
  <si>
    <t>RUA RUI BARBOSA, 17</t>
  </si>
  <si>
    <t>-10.954722</t>
  </si>
  <si>
    <t>-40.575280</t>
  </si>
  <si>
    <t>(074) 98111-3620</t>
  </si>
  <si>
    <t>0265-0044</t>
  </si>
  <si>
    <t>MARIA AUREA DE SOUZA</t>
  </si>
  <si>
    <t>COMERCIAL MIRANGABA2</t>
  </si>
  <si>
    <t>PRC PRACA JURACY MAGALHAES, 176</t>
  </si>
  <si>
    <t>-10.954166</t>
  </si>
  <si>
    <t>-40.576110</t>
  </si>
  <si>
    <t>(074) 98130-0472</t>
  </si>
  <si>
    <t>0265-0046</t>
  </si>
  <si>
    <t>ELISVANIA DE CARVALHO</t>
  </si>
  <si>
    <t>BAR DA GORETE</t>
  </si>
  <si>
    <t>RUA RUA BOM JESUS, 14</t>
  </si>
  <si>
    <t>POV TAQUARANDI</t>
  </si>
  <si>
    <t>-10.890000</t>
  </si>
  <si>
    <t>-40.698055</t>
  </si>
  <si>
    <t>(074) 99947-5146</t>
  </si>
  <si>
    <t>0265-0047</t>
  </si>
  <si>
    <t>PATRICIA CARVALHO PEREIRA DE JESUS</t>
  </si>
  <si>
    <t>MERCADINHO JP</t>
  </si>
  <si>
    <t>TRV TRAVESSA QUINTINO ALVES, 266</t>
  </si>
  <si>
    <t>-11.053611</t>
  </si>
  <si>
    <t>-40.779724</t>
  </si>
  <si>
    <t>(074) 98126-1079</t>
  </si>
  <si>
    <t>0265-0050</t>
  </si>
  <si>
    <t>ELIELTON COSTA ARAUJO</t>
  </si>
  <si>
    <t>RECANTO DO PETISCO01</t>
  </si>
  <si>
    <t>RUA RUA MAXIMINIANO NONATO N, 9999</t>
  </si>
  <si>
    <t>-10.890622</t>
  </si>
  <si>
    <t>-40.697150</t>
  </si>
  <si>
    <t>(074) 99997-2777</t>
  </si>
  <si>
    <t>0265-0054</t>
  </si>
  <si>
    <t>MERCADINHO MIRANGABA LTDA</t>
  </si>
  <si>
    <t>SUPER BOMPRECO</t>
  </si>
  <si>
    <t>AV AVENIDA AV MANOEL NOVAIS</t>
  </si>
  <si>
    <t>-10.952369</t>
  </si>
  <si>
    <t>-40.574910</t>
  </si>
  <si>
    <t>(074) 99971-3948</t>
  </si>
  <si>
    <t>0265-0055</t>
  </si>
  <si>
    <t>DALVA FREIRE ARAUJO</t>
  </si>
  <si>
    <t>BAR DA DALVA</t>
  </si>
  <si>
    <t>RUA RUA MANOEL NOVAES 23, 23</t>
  </si>
  <si>
    <t>-10.890602</t>
  </si>
  <si>
    <t>-40.700720</t>
  </si>
  <si>
    <t>(074) 98138-2909</t>
  </si>
  <si>
    <t>0265-0057</t>
  </si>
  <si>
    <t>IGOR LINHARES REGO</t>
  </si>
  <si>
    <t>PARADA OBRIGATORIA01</t>
  </si>
  <si>
    <t>PRA PRACA JURAC MAGALHAES, 13</t>
  </si>
  <si>
    <t>-10.954306</t>
  </si>
  <si>
    <t>-40.575623</t>
  </si>
  <si>
    <t>(074) 99912-2632</t>
  </si>
  <si>
    <t>0265-0059</t>
  </si>
  <si>
    <t>NEVY GONZAGA DIAS</t>
  </si>
  <si>
    <t>REI DO PAO DE QUEI01</t>
  </si>
  <si>
    <t>RUA RUA MANDACARU 29, 29</t>
  </si>
  <si>
    <t>MANDACARU / MIRANGAB</t>
  </si>
  <si>
    <t>-10.895456</t>
  </si>
  <si>
    <t>-40.685276</t>
  </si>
  <si>
    <t>(074) 81100-3739</t>
  </si>
  <si>
    <t>0265-0060</t>
  </si>
  <si>
    <t>IVAMAR PEREIRA DE SANTANA</t>
  </si>
  <si>
    <t>MERCADINHO SANTANA03</t>
  </si>
  <si>
    <t>RUA DUQUE DE CAXIAS</t>
  </si>
  <si>
    <t>-10.955666</t>
  </si>
  <si>
    <t>-40.573670</t>
  </si>
  <si>
    <t>(074) 99959-2105</t>
  </si>
  <si>
    <t>0265-0064</t>
  </si>
  <si>
    <t>CELESTE MIRIAN DIAS DE CARVALHO</t>
  </si>
  <si>
    <t>REST DA MIRIAN</t>
  </si>
  <si>
    <t>PRC PRACA SAO MIGUEL, 12</t>
  </si>
  <si>
    <t>-10.890609</t>
  </si>
  <si>
    <t>-40.697857</t>
  </si>
  <si>
    <t>(074) 99807-0123</t>
  </si>
  <si>
    <t>0265-0068</t>
  </si>
  <si>
    <t>JOAO PEDRO DIAS LAGO</t>
  </si>
  <si>
    <t>MERCADO POPULAR   03</t>
  </si>
  <si>
    <t>POV POV VALE DO TAQUARANDI, 191</t>
  </si>
  <si>
    <t>-10.895673</t>
  </si>
  <si>
    <t>-40.685028</t>
  </si>
  <si>
    <t>(074) 98126-5974</t>
  </si>
  <si>
    <t>0265-0069</t>
  </si>
  <si>
    <t>MARCOS ANTONIO BATISTA MELO</t>
  </si>
  <si>
    <t>CAFEZINHO SILVESTR01</t>
  </si>
  <si>
    <t>PRC PRACA SAO MIGUEL, 130</t>
  </si>
  <si>
    <t>-10.890747</t>
  </si>
  <si>
    <t>-40.699840</t>
  </si>
  <si>
    <t>(074) 99951-0597</t>
  </si>
  <si>
    <t>0265-0071</t>
  </si>
  <si>
    <t>LIDIA SODRE BARRETO DE ARAUJO</t>
  </si>
  <si>
    <t>IMPERIO BEBIDAS E CO</t>
  </si>
  <si>
    <t>RUA JONAS CARVALHO, 226</t>
  </si>
  <si>
    <t>-10.965548</t>
  </si>
  <si>
    <t>-41.077061</t>
  </si>
  <si>
    <t>(074) 99972-6920</t>
  </si>
  <si>
    <t>0289-0001</t>
  </si>
  <si>
    <t>RAUL DA CONCEICAO BARBOSA</t>
  </si>
  <si>
    <t>LANCH GRAU NA CHAPA</t>
  </si>
  <si>
    <t>RUA RUA PEDROES, 77</t>
  </si>
  <si>
    <t>-11.053224</t>
  </si>
  <si>
    <t>-40.781948</t>
  </si>
  <si>
    <t>(074) 98113-0025</t>
  </si>
  <si>
    <t>0289-0003</t>
  </si>
  <si>
    <t>NILMARIO SILVA DO OURO</t>
  </si>
  <si>
    <t>D OURO SUPERMERCADO</t>
  </si>
  <si>
    <t>RUA RUA BOA VISTA, 95</t>
  </si>
  <si>
    <t>-10.987761</t>
  </si>
  <si>
    <t>-40.739777</t>
  </si>
  <si>
    <t>(074) 98823-1815</t>
  </si>
  <si>
    <t>0289-0005</t>
  </si>
  <si>
    <t>PAES CARDOSO SUPERMERCADO LTDA</t>
  </si>
  <si>
    <t>COMERCIAL PAES CARDO</t>
  </si>
  <si>
    <t>PRC PRACA ROSA MARQUES, 94</t>
  </si>
  <si>
    <t>-10.974583</t>
  </si>
  <si>
    <t>-40.765930</t>
  </si>
  <si>
    <t>(074) 98821-1654</t>
  </si>
  <si>
    <t>0289-0006</t>
  </si>
  <si>
    <t>JOABE CARVALHO SANTOS</t>
  </si>
  <si>
    <t>LANCHONETE IRM</t>
  </si>
  <si>
    <t>PRC PRACA DA SE, 836</t>
  </si>
  <si>
    <t>-11.053196</t>
  </si>
  <si>
    <t>-40.782120</t>
  </si>
  <si>
    <t>(074) 98828-2846</t>
  </si>
  <si>
    <t>0289-0007</t>
  </si>
  <si>
    <t>ADRIANA CARVALHO DE AMORIM</t>
  </si>
  <si>
    <t>LANCHONETE ESMERALDA</t>
  </si>
  <si>
    <t>RUA RUA FERNANDO DALTRO, 132</t>
  </si>
  <si>
    <t>-11.052515</t>
  </si>
  <si>
    <t>-40.780430</t>
  </si>
  <si>
    <t>(071) 98786-4230</t>
  </si>
  <si>
    <t>0289-0011</t>
  </si>
  <si>
    <t>LIVIA SOUZA LIMA</t>
  </si>
  <si>
    <t>TOP GRILL</t>
  </si>
  <si>
    <t>AV AVENIDA FERNANDO DALTRO, 72</t>
  </si>
  <si>
    <t>-11.050508</t>
  </si>
  <si>
    <t>-40.783670</t>
  </si>
  <si>
    <t>(064) 99208-0455</t>
  </si>
  <si>
    <t>0289-0013</t>
  </si>
  <si>
    <t>THIELE BARBOSA DE SOUZA</t>
  </si>
  <si>
    <t>THIELE BARBOSA</t>
  </si>
  <si>
    <t>RUA RUA FERNANDO DALTRO, 24</t>
  </si>
  <si>
    <t>-11.051882</t>
  </si>
  <si>
    <t>-40.781890</t>
  </si>
  <si>
    <t>(074) 98836-0050</t>
  </si>
  <si>
    <t>0289-0016</t>
  </si>
  <si>
    <t>MARCOS FERREIRA DE SOUZA</t>
  </si>
  <si>
    <t>MERCADO PAES CARDOSO</t>
  </si>
  <si>
    <t>RUA RUA DA IGREJA, 172</t>
  </si>
  <si>
    <t>-10.974702</t>
  </si>
  <si>
    <t>-40.766354</t>
  </si>
  <si>
    <t>0289-0018</t>
  </si>
  <si>
    <t>EDUARDO NASCIMENTO DOS SANTOS</t>
  </si>
  <si>
    <t>LANCHONETE DO PIMPAO</t>
  </si>
  <si>
    <t>RUA RUA MORRO DO CHAPEU, 28</t>
  </si>
  <si>
    <t>-11.053031</t>
  </si>
  <si>
    <t>(074) 98817-5743</t>
  </si>
  <si>
    <t>0289-0020</t>
  </si>
  <si>
    <t>SUPERMERCADO GM LTDA</t>
  </si>
  <si>
    <t>SUPERMERCADO GM</t>
  </si>
  <si>
    <t>AV AVENIDA FERNANDO DALTRO, 240</t>
  </si>
  <si>
    <t>-11.052579</t>
  </si>
  <si>
    <t>-40.780270</t>
  </si>
  <si>
    <t>(074) 98126-0402</t>
  </si>
  <si>
    <t>0289-0021</t>
  </si>
  <si>
    <t>MARIVANIA PEREIRA DE JESUS COMERCIO DE A</t>
  </si>
  <si>
    <t>MERCADO J3        01</t>
  </si>
  <si>
    <t>RUA RUA JURACY MAGALHAES, 8887</t>
  </si>
  <si>
    <t>-10.978828</t>
  </si>
  <si>
    <t>-40.767230</t>
  </si>
  <si>
    <t>(074) 98838-8925</t>
  </si>
  <si>
    <t>0289-0023</t>
  </si>
  <si>
    <t>VALTERNEI DIAS DA SILVA</t>
  </si>
  <si>
    <t>MERCEARIA JK</t>
  </si>
  <si>
    <t>PRC PRACA DA SE, 26</t>
  </si>
  <si>
    <t>-11.054214</t>
  </si>
  <si>
    <t>-40.782444</t>
  </si>
  <si>
    <t>(074) 98841-1938</t>
  </si>
  <si>
    <t>0289-0025</t>
  </si>
  <si>
    <t>RAILDA DIAS DA SILVA</t>
  </si>
  <si>
    <t>MERCADO ESQUINAO  01</t>
  </si>
  <si>
    <t>RUA RUA GLIBERTO MIRANDA, 15</t>
  </si>
  <si>
    <t>-11.054460</t>
  </si>
  <si>
    <t>-40.783480</t>
  </si>
  <si>
    <t>(074) 98842-4327</t>
  </si>
  <si>
    <t>0289-0026</t>
  </si>
  <si>
    <t>UELITON LOPES DOS SANTOS</t>
  </si>
  <si>
    <t>LA BRASA RESTAURANTE</t>
  </si>
  <si>
    <t>RUA RUA FLAVIO MESQUITAA, 201</t>
  </si>
  <si>
    <t>LAGES/LAGES</t>
  </si>
  <si>
    <t>-11.056115</t>
  </si>
  <si>
    <t>-40.774292</t>
  </si>
  <si>
    <t>(074) 98123-0252</t>
  </si>
  <si>
    <t>0289-0027</t>
  </si>
  <si>
    <t>SOLANE ALVES DOS SANTOS</t>
  </si>
  <si>
    <t>OXENTE BUR</t>
  </si>
  <si>
    <t>RUA RUA CEL SOSTENIS, 1022</t>
  </si>
  <si>
    <t>-11.051324</t>
  </si>
  <si>
    <t>-40.781307</t>
  </si>
  <si>
    <t>(074) 98107-6133</t>
  </si>
  <si>
    <t>0289-0028</t>
  </si>
  <si>
    <t>MARILEIDE LIMA MACIEL</t>
  </si>
  <si>
    <t>MERCADINHO TITO</t>
  </si>
  <si>
    <t>RUA RUA FERNANDO DALTRO, 191</t>
  </si>
  <si>
    <t>-11.052521</t>
  </si>
  <si>
    <t>-40.781270</t>
  </si>
  <si>
    <t>(074) 98838-5440</t>
  </si>
  <si>
    <t>0289-0030</t>
  </si>
  <si>
    <t>JACINTA MARIA DA SILVA</t>
  </si>
  <si>
    <t>RESTAURANTE CALIXT01</t>
  </si>
  <si>
    <t>RUA FERNANDO DALTRO, 73</t>
  </si>
  <si>
    <t>-11.050425</t>
  </si>
  <si>
    <t>-40.783700</t>
  </si>
  <si>
    <t>(074) 98137-5723</t>
  </si>
  <si>
    <t>0289-0031</t>
  </si>
  <si>
    <t>ADRIANO DE CARVALHO LIMA</t>
  </si>
  <si>
    <t>QUALY MERCADO</t>
  </si>
  <si>
    <t>RUA BOM JESUS, 9999</t>
  </si>
  <si>
    <t>-10.970895</t>
  </si>
  <si>
    <t>-40.769897</t>
  </si>
  <si>
    <t>(749) 08144-2172</t>
  </si>
  <si>
    <t>0289-0032</t>
  </si>
  <si>
    <t>DAIANE DA SILVA MONTENEGRO</t>
  </si>
  <si>
    <t>LA BRASA ESPETINHO</t>
  </si>
  <si>
    <t>AV AVENIDA MORRO DO CHAPEU</t>
  </si>
  <si>
    <t>-11.052560</t>
  </si>
  <si>
    <t>-40.779620</t>
  </si>
  <si>
    <t>(074) 99932-9445</t>
  </si>
  <si>
    <t>0289-0035</t>
  </si>
  <si>
    <t>TIAGO CARVALHO DE SOUZA</t>
  </si>
  <si>
    <t>MERCADO CENTRAL   01</t>
  </si>
  <si>
    <t>RUA RUA JOSE ANTONIO PEREIRA, 55555</t>
  </si>
  <si>
    <t>-10.989119</t>
  </si>
  <si>
    <t>-40.735161</t>
  </si>
  <si>
    <t>(074) 98849-1782</t>
  </si>
  <si>
    <t>0289-0037</t>
  </si>
  <si>
    <t>GERALDO ALVES DE QUEIROZ</t>
  </si>
  <si>
    <t>MERCADINHO QUEIROZ03</t>
  </si>
  <si>
    <t>RUA FERNANDO DALTRO</t>
  </si>
  <si>
    <t>-11.052028</t>
  </si>
  <si>
    <t>-40.781494</t>
  </si>
  <si>
    <t>(074) 98138-2450</t>
  </si>
  <si>
    <t>0289-0038</t>
  </si>
  <si>
    <t>ISAAC SANTOS ALMEIDA</t>
  </si>
  <si>
    <t>LANCHONETE SHALLON</t>
  </si>
  <si>
    <t>RUA FERNANDO DALTRO, 47</t>
  </si>
  <si>
    <t>-11.054107</t>
  </si>
  <si>
    <t>-40.782246</t>
  </si>
  <si>
    <t>(074) 98837-7220</t>
  </si>
  <si>
    <t>0293-0002</t>
  </si>
  <si>
    <t>DAIANE COSTA PIRES RIOS</t>
  </si>
  <si>
    <t>M RIOS</t>
  </si>
  <si>
    <t>RUA RUA SANTANA, 38</t>
  </si>
  <si>
    <t>-11.757981</t>
  </si>
  <si>
    <t>-40.712480</t>
  </si>
  <si>
    <t>(077) 99851-2468</t>
  </si>
  <si>
    <t>0293-0003</t>
  </si>
  <si>
    <t>JOAOSITO FERREIRA SILVA</t>
  </si>
  <si>
    <t>BAR E DEPOSITO VEM Q</t>
  </si>
  <si>
    <t>PIRITIBA</t>
  </si>
  <si>
    <t>PRC PRACA A C M</t>
  </si>
  <si>
    <t>-11.756388</t>
  </si>
  <si>
    <t>-40.712925</t>
  </si>
  <si>
    <t>(074) 99948-7458</t>
  </si>
  <si>
    <t>0293-0004</t>
  </si>
  <si>
    <t>IARA PEREIRA DA SILVA</t>
  </si>
  <si>
    <t>RESTAURANTE POSTO SE</t>
  </si>
  <si>
    <t>RUA RUA MUNDO NOVO, 75</t>
  </si>
  <si>
    <t>-11.756662</t>
  </si>
  <si>
    <t>-40.710720</t>
  </si>
  <si>
    <t>(074) 99976-1093</t>
  </si>
  <si>
    <t>0293-0005</t>
  </si>
  <si>
    <t>RESTAURANTE COMIDA01</t>
  </si>
  <si>
    <t>AV ORLANDO CARNEIRO LIMA</t>
  </si>
  <si>
    <t>-11.756458</t>
  </si>
  <si>
    <t>-40.711246</t>
  </si>
  <si>
    <t>(074) 99928-9284</t>
  </si>
  <si>
    <t>0200-3012</t>
  </si>
  <si>
    <t>ROMEU SILVA NETO</t>
  </si>
  <si>
    <t>BAR SABOR RESTAURANT</t>
  </si>
  <si>
    <t>-11.289411</t>
  </si>
  <si>
    <t>-41.841900</t>
  </si>
  <si>
    <t>(074) 99964-4930</t>
  </si>
  <si>
    <t>0200-3173</t>
  </si>
  <si>
    <t>IRECE MAQUINAS DE VENDAS AUTOMATICAS LTD</t>
  </si>
  <si>
    <t>PEGOU VENDING MACHIN</t>
  </si>
  <si>
    <t>-11.300909</t>
  </si>
  <si>
    <t>-41.854353</t>
  </si>
  <si>
    <t>(074) 09998-2045</t>
  </si>
  <si>
    <t>0200-3174</t>
  </si>
  <si>
    <t>SILVANA SATIRO DA SILVA COMERCIAL LTDA</t>
  </si>
  <si>
    <t>VITRINE DAS CARNES</t>
  </si>
  <si>
    <t>-11.302599</t>
  </si>
  <si>
    <t>-41.848905</t>
  </si>
  <si>
    <t>0200-3175</t>
  </si>
  <si>
    <t>JOSE BEZERRA DA SILVA NETO</t>
  </si>
  <si>
    <t>MERCEARIA COSTA</t>
  </si>
  <si>
    <t>-11.306419</t>
  </si>
  <si>
    <t>-41.844827</t>
  </si>
  <si>
    <t>(074) 99933-0918</t>
  </si>
  <si>
    <t>0202-0287</t>
  </si>
  <si>
    <t>IONE NEVES BASTOS</t>
  </si>
  <si>
    <t>RESTAURANTE CODORNA</t>
  </si>
  <si>
    <t>-11.443496</t>
  </si>
  <si>
    <t>-41.422103</t>
  </si>
  <si>
    <t>(075) 00982-8316</t>
  </si>
  <si>
    <t>0202-0288</t>
  </si>
  <si>
    <t>RESTAURANTE DA CODOR</t>
  </si>
  <si>
    <t>0204-0162</t>
  </si>
  <si>
    <t>JARBAS MARTINS DE SOUZA</t>
  </si>
  <si>
    <t>MERCADINHO SAN MART</t>
  </si>
  <si>
    <t>-11.889082</t>
  </si>
  <si>
    <t>-41.752768</t>
  </si>
  <si>
    <t>(011) 91772-2026</t>
  </si>
  <si>
    <t>0204-0163</t>
  </si>
  <si>
    <t>SOLANO CARVALHO DE SOUZA</t>
  </si>
  <si>
    <t>BAR SOLANO</t>
  </si>
  <si>
    <t>-11.910314</t>
  </si>
  <si>
    <t>-41.745489</t>
  </si>
  <si>
    <t>(074) 99968-9075</t>
  </si>
  <si>
    <t>0205-0266</t>
  </si>
  <si>
    <t>GABRIELA DE JESUS NASCIMENTO</t>
  </si>
  <si>
    <t>ESTAOCAO GOURMET</t>
  </si>
  <si>
    <t>-11.969467</t>
  </si>
  <si>
    <t>-41.267306</t>
  </si>
  <si>
    <t>(075) 99831-6796</t>
  </si>
  <si>
    <t>0205-0267</t>
  </si>
  <si>
    <t>EDINALDO HUMBERTO RIBEIRO</t>
  </si>
  <si>
    <t>NALDO DO QUIOSQUE</t>
  </si>
  <si>
    <t>-11.968073</t>
  </si>
  <si>
    <t>-41.266080</t>
  </si>
  <si>
    <t>(075) 99814-5338</t>
  </si>
  <si>
    <t>0208-0194</t>
  </si>
  <si>
    <t>LAILA MACHADO DE NOVAIS</t>
  </si>
  <si>
    <t>MERCADO NOVAIS    04</t>
  </si>
  <si>
    <t>-11.079283</t>
  </si>
  <si>
    <t>-42.130501</t>
  </si>
  <si>
    <t>(074) 09944-6308</t>
  </si>
  <si>
    <t>0208-0254</t>
  </si>
  <si>
    <t>JOAO MATOS DOS SANTOS JUNIOR</t>
  </si>
  <si>
    <t>COMERCIAL SANTOS  01</t>
  </si>
  <si>
    <t>-11.134401</t>
  </si>
  <si>
    <t>-42.101843</t>
  </si>
  <si>
    <t>(074) 99929-4111</t>
  </si>
  <si>
    <t>0208-0298</t>
  </si>
  <si>
    <t>MERCADO NOVAIS</t>
  </si>
  <si>
    <t>MERCADO NOVAIS    03</t>
  </si>
  <si>
    <t>(074) 99810-6398</t>
  </si>
  <si>
    <t>0210-0248</t>
  </si>
  <si>
    <t>SUPERMERCADO ZIDANE LTDA</t>
  </si>
  <si>
    <t>SUPERMERCADO ZIDANE</t>
  </si>
  <si>
    <t>-11.543748</t>
  </si>
  <si>
    <t>-41.978043</t>
  </si>
  <si>
    <t>(074) 99946-5028</t>
  </si>
  <si>
    <t>0212-0139</t>
  </si>
  <si>
    <t>SUPERMERCADO PAGUE MENOS RIO VERDE I LTD</t>
  </si>
  <si>
    <t>SUPERMERCADO PAGUE01</t>
  </si>
  <si>
    <t>-10.978519</t>
  </si>
  <si>
    <t>-42.357369</t>
  </si>
  <si>
    <t>0213-0423</t>
  </si>
  <si>
    <t>KAMILA INGRYD LEAL SILVA DOS SANTOS</t>
  </si>
  <si>
    <t>CONVENENCIA LTAZ</t>
  </si>
  <si>
    <t>-11.394616</t>
  </si>
  <si>
    <t>-41.697313</t>
  </si>
  <si>
    <t>(074) 99998-8498</t>
  </si>
  <si>
    <t>0215-0467</t>
  </si>
  <si>
    <t>GEICIANE DA COSTA REIS</t>
  </si>
  <si>
    <t>BAR DA GESSY</t>
  </si>
  <si>
    <t>-11.395625</t>
  </si>
  <si>
    <t>-41.838411</t>
  </si>
  <si>
    <t>(077) 99856-7883</t>
  </si>
  <si>
    <t>0216-0232</t>
  </si>
  <si>
    <t>MARCIA RAQUEL OLIVEIRA DE SOUZA ME</t>
  </si>
  <si>
    <t>LANCHONETE SALVADOR</t>
  </si>
  <si>
    <t>-11.545792</t>
  </si>
  <si>
    <t>-41.174688</t>
  </si>
  <si>
    <t>(074) 99908-4004</t>
  </si>
  <si>
    <t>0216-0501</t>
  </si>
  <si>
    <t>JEANICE BEU DE SOUZA</t>
  </si>
  <si>
    <t>POSTO SIDEL</t>
  </si>
  <si>
    <t>(074) 99881-1527</t>
  </si>
  <si>
    <t>0216-0559</t>
  </si>
  <si>
    <t>BRASA DO MORRO GRILL LTDA</t>
  </si>
  <si>
    <t>BRASA DO MORRO GRILL</t>
  </si>
  <si>
    <t>-11.549832</t>
  </si>
  <si>
    <t>-41.156454</t>
  </si>
  <si>
    <t>(074) 98138-8423</t>
  </si>
  <si>
    <t>0216-0560</t>
  </si>
  <si>
    <t>ANDERSON NOVAIS DOURADO</t>
  </si>
  <si>
    <t>MERCADO DO POVO   03</t>
  </si>
  <si>
    <t>-11.550440</t>
  </si>
  <si>
    <t>-41.155780</t>
  </si>
  <si>
    <t>(074) 98866-2072</t>
  </si>
  <si>
    <t>0221-0186</t>
  </si>
  <si>
    <t>MANOEL MISSIAS DIAS DE SOUZA</t>
  </si>
  <si>
    <t>BAR DO MANELAO</t>
  </si>
  <si>
    <t>-12.013466</t>
  </si>
  <si>
    <t>-41.669565</t>
  </si>
  <si>
    <t>(075) 99926-1525</t>
  </si>
  <si>
    <t>0224-0137</t>
  </si>
  <si>
    <t>RUBERVAL BARBOSA DOS SANTOS</t>
  </si>
  <si>
    <t>MERCADO RS        02</t>
  </si>
  <si>
    <t>-11.728524</t>
  </si>
  <si>
    <t>-41.326507</t>
  </si>
  <si>
    <t>(074) 99919-5172</t>
  </si>
  <si>
    <t>0228-0803</t>
  </si>
  <si>
    <t>ALEXSANDRO MACHADO OLIVEIRA</t>
  </si>
  <si>
    <t>CASA DO ESPETINHO 02</t>
  </si>
  <si>
    <t>-11.828614</t>
  </si>
  <si>
    <t>-42.724383</t>
  </si>
  <si>
    <t>(074) 99994-3539</t>
  </si>
  <si>
    <t>0235-0004</t>
  </si>
  <si>
    <t>DEUSVALDO DOS SANTOS BARRETO</t>
  </si>
  <si>
    <t>POUSADA FOGAO DE LE</t>
  </si>
  <si>
    <t>-11.426719</t>
  </si>
  <si>
    <t>-42.503511</t>
  </si>
  <si>
    <t>(740) 03637-2103</t>
  </si>
  <si>
    <t>0289-0039</t>
  </si>
  <si>
    <t>BRUNA DOS SANTOS MAIA</t>
  </si>
  <si>
    <t>MERCADINHO LIMA   01</t>
  </si>
  <si>
    <t>-11.054112</t>
  </si>
  <si>
    <t>-40.782222</t>
  </si>
  <si>
    <t>(074) 98854-7319</t>
  </si>
  <si>
    <t>0212-0079</t>
  </si>
  <si>
    <t>DANIELE CARDOSO CRUZ</t>
  </si>
  <si>
    <t>VIVI LANCHES</t>
  </si>
  <si>
    <t>-11.011744</t>
  </si>
  <si>
    <t>-42.398306</t>
  </si>
  <si>
    <t>(074) 99926-1883</t>
  </si>
  <si>
    <t>0212-0140</t>
  </si>
  <si>
    <t>REINILDE FRANCISCA OLIVEIRA LTDA</t>
  </si>
  <si>
    <t>MERCADINHO BOMPREC01</t>
  </si>
  <si>
    <t>-10.985441</t>
  </si>
  <si>
    <t>-42.340513</t>
  </si>
  <si>
    <t>0213-0424</t>
  </si>
  <si>
    <t>ROSIMEIRE PEREIRA DOS SANTOS</t>
  </si>
  <si>
    <t>ROSE LANCHES</t>
  </si>
  <si>
    <t>-11.348373</t>
  </si>
  <si>
    <t>-41.646033</t>
  </si>
  <si>
    <t>(074) 98858-8495</t>
  </si>
  <si>
    <t>0213-0425</t>
  </si>
  <si>
    <t>DELICIAS DE CASA CAFETERAIA LTDA</t>
  </si>
  <si>
    <t>DELICIAS DE CASA CAF</t>
  </si>
  <si>
    <t>-11.346150</t>
  </si>
  <si>
    <t>-41.661050</t>
  </si>
  <si>
    <t>(074) 99947-6992</t>
  </si>
  <si>
    <t>0213-0426</t>
  </si>
  <si>
    <t>FREDSON LIMA PEREIRA DE ARAUJO</t>
  </si>
  <si>
    <t>FL DISTRIBUIDORA</t>
  </si>
  <si>
    <t>-11.346145</t>
  </si>
  <si>
    <t>(074) 99954-0636</t>
  </si>
  <si>
    <t>COD.</t>
  </si>
  <si>
    <t xml:space="preserve">PONTA DE GONDOLA ENTRADA DE LOJA </t>
  </si>
  <si>
    <t>GELADEIRA KO</t>
  </si>
  <si>
    <t xml:space="preserve">DUAS PORTAS DE GELOPAR </t>
  </si>
  <si>
    <t xml:space="preserve">CARONA SESSÃO DE BISCOITO </t>
  </si>
  <si>
    <t xml:space="preserve">GELADEIRA MONSTER </t>
  </si>
  <si>
    <t>PONTA DE GONDOLA E FRIGOBAR MONSTER</t>
  </si>
  <si>
    <t xml:space="preserve">EQUIPAMENTO </t>
  </si>
  <si>
    <t>RACK E GELADEIRA PANELINHA</t>
  </si>
  <si>
    <t xml:space="preserve">GONDOLA - SETOR DE BEBIDAS </t>
  </si>
  <si>
    <t xml:space="preserve">MANTER OS 2 METROS DE GONDOLA </t>
  </si>
  <si>
    <t xml:space="preserve">ESTOQUE DA LOJA </t>
  </si>
  <si>
    <t>PONTO EXTRA NO HORTI FRUTI</t>
  </si>
  <si>
    <t>RACK KO - ABASTECIMENTO PADARIA.</t>
  </si>
  <si>
    <t>GELADEIRA E GELOPAR LANCHONETE</t>
  </si>
  <si>
    <t>LIMPEZA, VERIFICAR VALIDADES, E ABASTECIMENTO.</t>
  </si>
  <si>
    <t>CASO NÃO TER, CONQUISTAR ESPAÇO.</t>
  </si>
  <si>
    <t>GELADEIRA KO PONTA DELADA 2 PORTAS.</t>
  </si>
  <si>
    <t>GELADEIRA KO - RETORNAVEIS.</t>
  </si>
  <si>
    <t>RACK MAIS ECONOMIA - RETORNAVEIS.</t>
  </si>
  <si>
    <t>RACK PONTA DE GONDOLA - HORTIFRUTI</t>
  </si>
  <si>
    <t xml:space="preserve">RACK MULTICATEGORIA - MERCEARIA SALGADA </t>
  </si>
  <si>
    <t>GELADEIRA KO - FASTLANE 4 PORTAS</t>
  </si>
  <si>
    <t>2 GELADEIRAS KO AÇOUGUE.</t>
  </si>
  <si>
    <t>GELOPAR DO CLIENTE.</t>
  </si>
  <si>
    <t>RACK HIDRATAÇÃO.</t>
  </si>
  <si>
    <t>RACK KAPO - SETOR DE BISCOITOS.</t>
  </si>
  <si>
    <t>2 GELADEIRAS K.O ENTRADA DA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</si>
</sst>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3" fillId="0" borderId="0" xfId="1"/>
    <xf numFmtId="0" fontId="3" fillId="0" borderId="0" xfId="1" applyNumberFormat="1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1" fillId="0" borderId="10" xfId="0" applyFont="1" applyBorder="1"/>
    <xf numFmtId="0" fontId="0" fillId="0" borderId="1" xfId="0" applyFill="1" applyBorder="1"/>
    <xf numFmtId="0" fontId="1" fillId="0" borderId="11" xfId="0" applyFont="1" applyBorder="1"/>
    <xf numFmtId="0" fontId="0" fillId="0" borderId="1" xfId="0" applyBorder="1" applyAlignment="1">
      <alignment vertical="center"/>
    </xf>
  </cellXfs>
  <cellStyles count="2">
    <cellStyle name="Hiperlink" xfId="1" xr:uid="{183FAF12-6202-49AA-8066-5BE83142844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be07ecf3fee6f4e/&#193;rea%20de%20Trabalho/Material%20para%20Logistica/AUXILIADOR%20DE%20ROTA%202.0.xlsx" TargetMode="External"/><Relationship Id="rId1" Type="http://schemas.openxmlformats.org/officeDocument/2006/relationships/externalLinkPath" Target="https://d.docs.live.net/6103f0fbe4ce1606/Desktop/Material%20para%20Logistica/AUXILIADOR%20DE%20ROTA%20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XILIADOR DE ROTA"/>
      <sheetName val="ROTA DO DIA "/>
      <sheetName val="ROTEIRO"/>
      <sheetName val="DADOS"/>
      <sheetName val="ROTEIRIZAÇÃO"/>
      <sheetName val="CONFIG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SETOR</v>
          </cell>
          <cell r="C1" t="str">
            <v>NOME</v>
          </cell>
          <cell r="D1" t="str">
            <v>TELEFONE</v>
          </cell>
        </row>
        <row r="2">
          <cell r="B2">
            <v>203</v>
          </cell>
          <cell r="C2" t="str">
            <v>ALEXANDRE</v>
          </cell>
          <cell r="D2" t="str">
            <v>74 99653478</v>
          </cell>
        </row>
        <row r="3">
          <cell r="B3">
            <v>206</v>
          </cell>
          <cell r="C3" t="str">
            <v>ROBERTO</v>
          </cell>
          <cell r="D3" t="str">
            <v>74 99551147</v>
          </cell>
        </row>
        <row r="4">
          <cell r="B4">
            <v>208</v>
          </cell>
          <cell r="C4" t="str">
            <v>NEILTON</v>
          </cell>
          <cell r="D4" t="str">
            <v>74 99857115</v>
          </cell>
        </row>
        <row r="5">
          <cell r="B5">
            <v>212</v>
          </cell>
          <cell r="C5" t="str">
            <v>ANDRE</v>
          </cell>
          <cell r="D5" t="str">
            <v>74 99916877</v>
          </cell>
        </row>
        <row r="6">
          <cell r="B6">
            <v>214</v>
          </cell>
          <cell r="C6" t="str">
            <v>GEOVANA</v>
          </cell>
          <cell r="D6" t="str">
            <v>74 99523491</v>
          </cell>
        </row>
        <row r="7">
          <cell r="B7">
            <v>201</v>
          </cell>
          <cell r="C7" t="str">
            <v>EDSON</v>
          </cell>
          <cell r="D7" t="str">
            <v>74 99403278</v>
          </cell>
        </row>
        <row r="8">
          <cell r="B8">
            <v>205</v>
          </cell>
          <cell r="C8" t="str">
            <v>EMETIO</v>
          </cell>
          <cell r="D8" t="str">
            <v>74 98039589</v>
          </cell>
        </row>
        <row r="9">
          <cell r="B9">
            <v>213</v>
          </cell>
          <cell r="C9" t="str">
            <v>DANIEL</v>
          </cell>
          <cell r="D9" t="str">
            <v>74 99461824</v>
          </cell>
        </row>
        <row r="10">
          <cell r="B10">
            <v>215</v>
          </cell>
          <cell r="C10" t="str">
            <v>JARDEL</v>
          </cell>
          <cell r="D10" t="str">
            <v>74 99321440</v>
          </cell>
        </row>
        <row r="11">
          <cell r="B11">
            <v>202</v>
          </cell>
          <cell r="C11" t="str">
            <v>ARISTON</v>
          </cell>
          <cell r="D11" t="str">
            <v>74 99384078</v>
          </cell>
        </row>
        <row r="12">
          <cell r="B12">
            <v>204</v>
          </cell>
          <cell r="C12" t="str">
            <v>EVA</v>
          </cell>
          <cell r="D12" t="str">
            <v>74 98046078</v>
          </cell>
        </row>
        <row r="13">
          <cell r="B13">
            <v>207</v>
          </cell>
          <cell r="C13" t="str">
            <v>HIAGO</v>
          </cell>
          <cell r="D13" t="str">
            <v>74 99872571</v>
          </cell>
        </row>
        <row r="14">
          <cell r="B14">
            <v>209</v>
          </cell>
          <cell r="C14" t="str">
            <v>IGOR</v>
          </cell>
          <cell r="D14" t="str">
            <v>74 99590346</v>
          </cell>
        </row>
        <row r="15">
          <cell r="B15">
            <v>210</v>
          </cell>
          <cell r="C15" t="str">
            <v>SILAS</v>
          </cell>
          <cell r="D15" t="str">
            <v>74 98041875</v>
          </cell>
        </row>
        <row r="16">
          <cell r="B16">
            <v>211</v>
          </cell>
          <cell r="C16" t="str">
            <v>DAIANE</v>
          </cell>
          <cell r="D16" t="str">
            <v>74 99298866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299F-93F3-4CD9-85C2-CAB9B4802B40}">
  <dimension ref="A1:B10"/>
  <sheetViews>
    <sheetView workbookViewId="0">
      <selection activeCell="B18" sqref="B18"/>
    </sheetView>
  </sheetViews>
  <sheetFormatPr defaultRowHeight="14.4" x14ac:dyDescent="0.3"/>
  <cols>
    <col min="2" max="2" width="21" bestFit="1" customWidth="1"/>
  </cols>
  <sheetData>
    <row r="1" spans="1:2" x14ac:dyDescent="0.3"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f t="shared" ref="A3:A10" si="0">A2+1</f>
        <v>2</v>
      </c>
      <c r="B3" t="s">
        <v>2</v>
      </c>
    </row>
    <row r="4" spans="1:2" x14ac:dyDescent="0.3">
      <c r="A4">
        <f t="shared" si="0"/>
        <v>3</v>
      </c>
      <c r="B4" t="s">
        <v>3</v>
      </c>
    </row>
    <row r="5" spans="1:2" x14ac:dyDescent="0.3">
      <c r="A5">
        <f t="shared" si="0"/>
        <v>4</v>
      </c>
      <c r="B5" t="s">
        <v>4</v>
      </c>
    </row>
    <row r="6" spans="1:2" x14ac:dyDescent="0.3">
      <c r="A6">
        <f t="shared" si="0"/>
        <v>5</v>
      </c>
      <c r="B6" t="s">
        <v>5</v>
      </c>
    </row>
    <row r="7" spans="1:2" x14ac:dyDescent="0.3">
      <c r="A7">
        <f t="shared" si="0"/>
        <v>6</v>
      </c>
      <c r="B7" t="s">
        <v>6</v>
      </c>
    </row>
    <row r="8" spans="1:2" x14ac:dyDescent="0.3">
      <c r="A8">
        <f t="shared" si="0"/>
        <v>7</v>
      </c>
      <c r="B8" t="s">
        <v>7</v>
      </c>
    </row>
    <row r="9" spans="1:2" x14ac:dyDescent="0.3">
      <c r="A9">
        <f t="shared" si="0"/>
        <v>8</v>
      </c>
      <c r="B9" t="s">
        <v>8</v>
      </c>
    </row>
    <row r="10" spans="1:2" x14ac:dyDescent="0.3">
      <c r="A10">
        <f t="shared" si="0"/>
        <v>9</v>
      </c>
      <c r="B10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9107-09D3-485B-BA2C-EC8C6291BC82}">
  <dimension ref="A1:P2488"/>
  <sheetViews>
    <sheetView workbookViewId="0">
      <selection activeCell="B22" sqref="B22"/>
    </sheetView>
  </sheetViews>
  <sheetFormatPr defaultRowHeight="14.4" x14ac:dyDescent="0.3"/>
  <cols>
    <col min="1" max="1" width="11.109375" bestFit="1" customWidth="1"/>
    <col min="2" max="2" width="47.44140625" bestFit="1" customWidth="1"/>
    <col min="3" max="3" width="26" bestFit="1" customWidth="1"/>
    <col min="4" max="4" width="20.88671875" hidden="1" customWidth="1"/>
    <col min="5" max="5" width="61.109375" hidden="1" customWidth="1"/>
    <col min="6" max="6" width="26" hidden="1" customWidth="1"/>
    <col min="7" max="8" width="4" bestFit="1" customWidth="1"/>
    <col min="9" max="9" width="12.33203125" bestFit="1" customWidth="1"/>
    <col min="10" max="10" width="13.88671875" bestFit="1" customWidth="1"/>
    <col min="11" max="11" width="50.109375" bestFit="1" customWidth="1"/>
    <col min="12" max="12" width="16.6640625" bestFit="1" customWidth="1"/>
    <col min="13" max="13" width="18.6640625" bestFit="1" customWidth="1"/>
    <col min="15" max="16" width="12.33203125" bestFit="1" customWidth="1"/>
  </cols>
  <sheetData>
    <row r="1" spans="1:16" s="1" customFormat="1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4" t="s">
        <v>30</v>
      </c>
      <c r="O1" s="4" t="s">
        <v>31</v>
      </c>
      <c r="P1" s="4" t="s">
        <v>32</v>
      </c>
    </row>
    <row r="2" spans="1:16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212</v>
      </c>
      <c r="H2">
        <v>200</v>
      </c>
      <c r="I2" s="5" t="s">
        <v>39</v>
      </c>
      <c r="J2" s="5" t="s">
        <v>40</v>
      </c>
      <c r="K2" s="5" t="str">
        <f>"https://www.google.com/maps?q="&amp;""&amp;LEFT(I2,3)&amp;"."&amp;RIGHT(I2,6)&amp;", "&amp;LEFT(J2,3)&amp;"."&amp;RIGHT(J2,6)</f>
        <v>https://www.google.com/maps?q=-11.302038, -41.847767</v>
      </c>
      <c r="L2" s="5" t="str">
        <f>HYPERLINK(K2,"Abrir no Maps")</f>
        <v>Abrir no Maps</v>
      </c>
      <c r="M2" t="s">
        <v>41</v>
      </c>
      <c r="N2" s="5"/>
      <c r="O2" t="str">
        <f>VLOOKUP(G2,'[1]CONFIG.'!$B:$C,2,0)</f>
        <v>ANDRE</v>
      </c>
      <c r="P2" t="str">
        <f>VLOOKUP(O2,'[1]CONFIG.'!$C:$D,2,0)</f>
        <v>74 99916877</v>
      </c>
    </row>
    <row r="3" spans="1:16" x14ac:dyDescent="0.3">
      <c r="A3" t="s">
        <v>42</v>
      </c>
      <c r="B3" t="s">
        <v>43</v>
      </c>
      <c r="C3" t="s">
        <v>44</v>
      </c>
      <c r="D3" t="s">
        <v>36</v>
      </c>
      <c r="E3" t="s">
        <v>45</v>
      </c>
      <c r="F3" t="s">
        <v>46</v>
      </c>
      <c r="G3">
        <v>211</v>
      </c>
      <c r="H3">
        <v>500</v>
      </c>
      <c r="I3" s="5" t="s">
        <v>47</v>
      </c>
      <c r="J3" s="5" t="s">
        <v>48</v>
      </c>
      <c r="K3" s="5" t="str">
        <f>"https://www.google.com/maps?q="&amp;""&amp;LEFT(I3,3)&amp;"."&amp;RIGHT(I3,6)&amp;", "&amp;LEFT(J3,3)&amp;"."&amp;RIGHT(J3,6)</f>
        <v>https://www.google.com/maps?q=-11.240131, -41.755140</v>
      </c>
      <c r="L3" s="5" t="str">
        <f>HYPERLINK(K3,"Abrir no Maps")</f>
        <v>Abrir no Maps</v>
      </c>
      <c r="M3" t="s">
        <v>49</v>
      </c>
      <c r="N3" s="5"/>
      <c r="O3" t="str">
        <f>VLOOKUP(G3,'[1]CONFIG.'!$B:$C,2,0)</f>
        <v>DAIANE</v>
      </c>
      <c r="P3" t="str">
        <f>VLOOKUP(O3,'[1]CONFIG.'!$C:$D,2,0)</f>
        <v>74 99298866</v>
      </c>
    </row>
    <row r="4" spans="1:16" x14ac:dyDescent="0.3">
      <c r="A4" t="s">
        <v>50</v>
      </c>
      <c r="B4" t="s">
        <v>51</v>
      </c>
      <c r="C4" t="s">
        <v>52</v>
      </c>
      <c r="D4" t="s">
        <v>36</v>
      </c>
      <c r="E4" t="s">
        <v>53</v>
      </c>
      <c r="F4" t="s">
        <v>54</v>
      </c>
      <c r="G4">
        <v>211</v>
      </c>
      <c r="H4">
        <v>500</v>
      </c>
      <c r="I4" s="5" t="s">
        <v>55</v>
      </c>
      <c r="J4" s="5" t="s">
        <v>56</v>
      </c>
      <c r="K4" s="5" t="str">
        <f t="shared" ref="K4:K67" si="0">"https://www.google.com/maps?q="&amp;""&amp;LEFT(I4,3)&amp;"."&amp;RIGHT(I4,6)&amp;", "&amp;LEFT(J4,3)&amp;"."&amp;RIGHT(J4,6)</f>
        <v>https://www.google.com/maps?q=-11.290277, -41.839720</v>
      </c>
      <c r="L4" s="5" t="str">
        <f t="shared" ref="L4:L67" si="1">HYPERLINK(K4,"Abrir no Maps")</f>
        <v>Abrir no Maps</v>
      </c>
      <c r="M4" t="s">
        <v>57</v>
      </c>
      <c r="N4" s="5"/>
      <c r="O4" t="str">
        <f>VLOOKUP(G4,'[1]CONFIG.'!$B:$C,2,0)</f>
        <v>DAIANE</v>
      </c>
      <c r="P4" t="str">
        <f>VLOOKUP(O4,'[1]CONFIG.'!$C:$D,2,0)</f>
        <v>74 99298866</v>
      </c>
    </row>
    <row r="5" spans="1:16" x14ac:dyDescent="0.3">
      <c r="A5" t="s">
        <v>58</v>
      </c>
      <c r="B5" t="s">
        <v>59</v>
      </c>
      <c r="C5" t="s">
        <v>60</v>
      </c>
      <c r="D5" t="s">
        <v>36</v>
      </c>
      <c r="E5" t="s">
        <v>61</v>
      </c>
      <c r="F5" t="s">
        <v>62</v>
      </c>
      <c r="G5">
        <v>211</v>
      </c>
      <c r="H5">
        <v>500</v>
      </c>
      <c r="I5" s="5" t="s">
        <v>63</v>
      </c>
      <c r="J5" s="5" t="s">
        <v>64</v>
      </c>
      <c r="K5" s="5" t="str">
        <f t="shared" si="0"/>
        <v>https://www.google.com/maps?q=-11.287683, -41.847990</v>
      </c>
      <c r="L5" s="5" t="str">
        <f t="shared" si="1"/>
        <v>Abrir no Maps</v>
      </c>
      <c r="M5" t="s">
        <v>65</v>
      </c>
      <c r="N5" s="5"/>
      <c r="O5" t="str">
        <f>VLOOKUP(G5,'[1]CONFIG.'!$B:$C,2,0)</f>
        <v>DAIANE</v>
      </c>
      <c r="P5" t="str">
        <f>VLOOKUP(O5,'[1]CONFIG.'!$C:$D,2,0)</f>
        <v>74 99298866</v>
      </c>
    </row>
    <row r="6" spans="1:16" x14ac:dyDescent="0.3">
      <c r="A6" t="s">
        <v>66</v>
      </c>
      <c r="B6" t="s">
        <v>67</v>
      </c>
      <c r="C6" t="s">
        <v>68</v>
      </c>
      <c r="D6" t="s">
        <v>36</v>
      </c>
      <c r="E6" t="s">
        <v>69</v>
      </c>
      <c r="F6" t="s">
        <v>54</v>
      </c>
      <c r="G6">
        <v>211</v>
      </c>
      <c r="H6">
        <v>500</v>
      </c>
      <c r="I6" s="5" t="s">
        <v>70</v>
      </c>
      <c r="J6" s="5" t="s">
        <v>71</v>
      </c>
      <c r="K6" s="5" t="str">
        <f t="shared" si="0"/>
        <v>https://www.google.com/maps?q=-11.290862, -41.839860</v>
      </c>
      <c r="L6" s="5" t="str">
        <f t="shared" si="1"/>
        <v>Abrir no Maps</v>
      </c>
      <c r="M6" t="s">
        <v>72</v>
      </c>
      <c r="N6" s="5"/>
      <c r="O6" t="str">
        <f>VLOOKUP(G6,'[1]CONFIG.'!$B:$C,2,0)</f>
        <v>DAIANE</v>
      </c>
      <c r="P6" t="str">
        <f>VLOOKUP(O6,'[1]CONFIG.'!$C:$D,2,0)</f>
        <v>74 99298866</v>
      </c>
    </row>
    <row r="7" spans="1:16" x14ac:dyDescent="0.3">
      <c r="A7" t="s">
        <v>73</v>
      </c>
      <c r="B7" t="s">
        <v>74</v>
      </c>
      <c r="C7" t="s">
        <v>75</v>
      </c>
      <c r="D7" t="s">
        <v>36</v>
      </c>
      <c r="E7" t="s">
        <v>76</v>
      </c>
      <c r="F7" t="s">
        <v>77</v>
      </c>
      <c r="G7">
        <v>204</v>
      </c>
      <c r="H7">
        <v>500</v>
      </c>
      <c r="I7" s="5" t="s">
        <v>78</v>
      </c>
      <c r="J7" s="5" t="s">
        <v>79</v>
      </c>
      <c r="K7" s="5" t="str">
        <f t="shared" si="0"/>
        <v>https://www.google.com/maps?q=-11.299548, -41.855328</v>
      </c>
      <c r="L7" s="5" t="str">
        <f t="shared" si="1"/>
        <v>Abrir no Maps</v>
      </c>
      <c r="M7" t="s">
        <v>80</v>
      </c>
      <c r="N7" s="5"/>
      <c r="O7" t="str">
        <f>VLOOKUP(G7,'[1]CONFIG.'!$B:$C,2,0)</f>
        <v>EVA</v>
      </c>
      <c r="P7" t="str">
        <f>VLOOKUP(O7,'[1]CONFIG.'!$C:$D,2,0)</f>
        <v>74 98046078</v>
      </c>
    </row>
    <row r="8" spans="1:16" x14ac:dyDescent="0.3">
      <c r="A8" t="s">
        <v>81</v>
      </c>
      <c r="B8" t="s">
        <v>82</v>
      </c>
      <c r="C8" t="s">
        <v>83</v>
      </c>
      <c r="D8" t="s">
        <v>36</v>
      </c>
      <c r="E8" t="s">
        <v>84</v>
      </c>
      <c r="F8" t="s">
        <v>85</v>
      </c>
      <c r="G8">
        <v>210</v>
      </c>
      <c r="H8">
        <v>500</v>
      </c>
      <c r="I8" s="5" t="s">
        <v>86</v>
      </c>
      <c r="J8" s="5" t="s">
        <v>87</v>
      </c>
      <c r="K8" s="5" t="str">
        <f t="shared" si="0"/>
        <v>https://www.google.com/maps?q=-11.302778, -41.872500</v>
      </c>
      <c r="L8" s="5" t="str">
        <f t="shared" si="1"/>
        <v>Abrir no Maps</v>
      </c>
      <c r="M8" t="s">
        <v>88</v>
      </c>
      <c r="N8" s="5"/>
      <c r="O8" t="str">
        <f>VLOOKUP(G8,'[1]CONFIG.'!$B:$C,2,0)</f>
        <v>SILAS</v>
      </c>
      <c r="P8" t="str">
        <f>VLOOKUP(O8,'[1]CONFIG.'!$C:$D,2,0)</f>
        <v>74 98041875</v>
      </c>
    </row>
    <row r="9" spans="1:16" x14ac:dyDescent="0.3">
      <c r="A9" t="s">
        <v>89</v>
      </c>
      <c r="B9" t="s">
        <v>90</v>
      </c>
      <c r="C9" t="s">
        <v>91</v>
      </c>
      <c r="D9" t="s">
        <v>36</v>
      </c>
      <c r="E9" t="s">
        <v>92</v>
      </c>
      <c r="F9" t="s">
        <v>93</v>
      </c>
      <c r="G9">
        <v>209</v>
      </c>
      <c r="H9">
        <v>500</v>
      </c>
      <c r="I9" s="5" t="s">
        <v>94</v>
      </c>
      <c r="J9" s="5" t="s">
        <v>95</v>
      </c>
      <c r="K9" s="5" t="str">
        <f t="shared" si="0"/>
        <v>https://www.google.com/maps?q=-11.303440, -41.854847</v>
      </c>
      <c r="L9" s="5" t="str">
        <f t="shared" si="1"/>
        <v>Abrir no Maps</v>
      </c>
      <c r="M9" t="s">
        <v>96</v>
      </c>
      <c r="N9" s="5"/>
      <c r="O9" t="str">
        <f>VLOOKUP(G9,'[1]CONFIG.'!$B:$C,2,0)</f>
        <v>IGOR</v>
      </c>
      <c r="P9" t="str">
        <f>VLOOKUP(O9,'[1]CONFIG.'!$C:$D,2,0)</f>
        <v>74 99590346</v>
      </c>
    </row>
    <row r="10" spans="1:16" x14ac:dyDescent="0.3">
      <c r="A10" t="s">
        <v>97</v>
      </c>
      <c r="B10" t="s">
        <v>98</v>
      </c>
      <c r="C10" t="s">
        <v>99</v>
      </c>
      <c r="D10" t="s">
        <v>36</v>
      </c>
      <c r="E10" t="s">
        <v>100</v>
      </c>
      <c r="F10" t="s">
        <v>93</v>
      </c>
      <c r="G10">
        <v>209</v>
      </c>
      <c r="H10">
        <v>500</v>
      </c>
      <c r="I10" s="5" t="s">
        <v>101</v>
      </c>
      <c r="J10" s="5" t="s">
        <v>102</v>
      </c>
      <c r="K10" s="5" t="str">
        <f t="shared" si="0"/>
        <v>https://www.google.com/maps?q=-11.302867, -41.851612</v>
      </c>
      <c r="L10" s="5" t="str">
        <f t="shared" si="1"/>
        <v>Abrir no Maps</v>
      </c>
      <c r="M10" t="s">
        <v>103</v>
      </c>
      <c r="N10" s="5"/>
      <c r="O10" t="str">
        <f>VLOOKUP(G10,'[1]CONFIG.'!$B:$C,2,0)</f>
        <v>IGOR</v>
      </c>
      <c r="P10" t="str">
        <f>VLOOKUP(O10,'[1]CONFIG.'!$C:$D,2,0)</f>
        <v>74 99590346</v>
      </c>
    </row>
    <row r="11" spans="1:16" x14ac:dyDescent="0.3">
      <c r="A11" t="s">
        <v>104</v>
      </c>
      <c r="B11" t="s">
        <v>105</v>
      </c>
      <c r="C11" t="s">
        <v>106</v>
      </c>
      <c r="D11" t="s">
        <v>36</v>
      </c>
      <c r="E11" t="s">
        <v>107</v>
      </c>
      <c r="F11" t="s">
        <v>108</v>
      </c>
      <c r="G11">
        <v>207</v>
      </c>
      <c r="H11">
        <v>500</v>
      </c>
      <c r="I11" s="5" t="s">
        <v>109</v>
      </c>
      <c r="J11" s="5" t="s">
        <v>110</v>
      </c>
      <c r="K11" s="5" t="str">
        <f t="shared" si="0"/>
        <v>https://www.google.com/maps?q=-11.309420, -41.863262</v>
      </c>
      <c r="L11" s="5" t="str">
        <f t="shared" si="1"/>
        <v>Abrir no Maps</v>
      </c>
      <c r="M11" t="s">
        <v>111</v>
      </c>
      <c r="N11" s="5"/>
      <c r="O11" t="str">
        <f>VLOOKUP(G11,'[1]CONFIG.'!$B:$C,2,0)</f>
        <v>HIAGO</v>
      </c>
      <c r="P11" t="str">
        <f>VLOOKUP(O11,'[1]CONFIG.'!$C:$D,2,0)</f>
        <v>74 99872571</v>
      </c>
    </row>
    <row r="12" spans="1:16" x14ac:dyDescent="0.3">
      <c r="A12" t="s">
        <v>112</v>
      </c>
      <c r="B12" t="s">
        <v>113</v>
      </c>
      <c r="C12" t="s">
        <v>114</v>
      </c>
      <c r="D12" t="s">
        <v>36</v>
      </c>
      <c r="E12" t="s">
        <v>115</v>
      </c>
      <c r="F12" t="s">
        <v>38</v>
      </c>
      <c r="G12">
        <v>212</v>
      </c>
      <c r="H12">
        <v>200</v>
      </c>
      <c r="I12" s="5" t="s">
        <v>116</v>
      </c>
      <c r="J12" s="5" t="s">
        <v>117</v>
      </c>
      <c r="K12" s="5" t="str">
        <f t="shared" si="0"/>
        <v>https://www.google.com/maps?q=-11.304084, -41.849476</v>
      </c>
      <c r="L12" s="5" t="str">
        <f t="shared" si="1"/>
        <v>Abrir no Maps</v>
      </c>
      <c r="M12" t="s">
        <v>118</v>
      </c>
      <c r="N12" s="5"/>
      <c r="O12" t="str">
        <f>VLOOKUP(G12,'[1]CONFIG.'!$B:$C,2,0)</f>
        <v>ANDRE</v>
      </c>
      <c r="P12" t="str">
        <f>VLOOKUP(O12,'[1]CONFIG.'!$C:$D,2,0)</f>
        <v>74 99916877</v>
      </c>
    </row>
    <row r="13" spans="1:16" x14ac:dyDescent="0.3">
      <c r="A13" t="s">
        <v>119</v>
      </c>
      <c r="B13" t="s">
        <v>120</v>
      </c>
      <c r="C13" t="s">
        <v>121</v>
      </c>
      <c r="D13" t="s">
        <v>36</v>
      </c>
      <c r="E13" t="s">
        <v>122</v>
      </c>
      <c r="F13" t="s">
        <v>38</v>
      </c>
      <c r="G13">
        <v>212</v>
      </c>
      <c r="H13">
        <v>200</v>
      </c>
      <c r="I13" s="5" t="s">
        <v>123</v>
      </c>
      <c r="J13" s="5" t="s">
        <v>124</v>
      </c>
      <c r="K13" s="5" t="str">
        <f t="shared" si="0"/>
        <v>https://www.google.com/maps?q=-11.303965, -41.849860</v>
      </c>
      <c r="L13" s="5" t="str">
        <f t="shared" si="1"/>
        <v>Abrir no Maps</v>
      </c>
      <c r="M13" t="s">
        <v>125</v>
      </c>
      <c r="N13" s="5"/>
      <c r="O13" t="str">
        <f>VLOOKUP(G13,'[1]CONFIG.'!$B:$C,2,0)</f>
        <v>ANDRE</v>
      </c>
      <c r="P13" t="str">
        <f>VLOOKUP(O13,'[1]CONFIG.'!$C:$D,2,0)</f>
        <v>74 99916877</v>
      </c>
    </row>
    <row r="14" spans="1:16" x14ac:dyDescent="0.3">
      <c r="A14" t="s">
        <v>126</v>
      </c>
      <c r="B14" t="s">
        <v>127</v>
      </c>
      <c r="C14" t="s">
        <v>128</v>
      </c>
      <c r="D14" t="s">
        <v>36</v>
      </c>
      <c r="E14" t="s">
        <v>129</v>
      </c>
      <c r="F14" t="s">
        <v>93</v>
      </c>
      <c r="G14">
        <v>210</v>
      </c>
      <c r="H14">
        <v>500</v>
      </c>
      <c r="I14" s="5" t="s">
        <v>130</v>
      </c>
      <c r="J14" s="5" t="s">
        <v>131</v>
      </c>
      <c r="K14" s="5" t="str">
        <f t="shared" si="0"/>
        <v>https://www.google.com/maps?q=-11.302699, -41.858420</v>
      </c>
      <c r="L14" s="5" t="str">
        <f t="shared" si="1"/>
        <v>Abrir no Maps</v>
      </c>
      <c r="M14" t="s">
        <v>132</v>
      </c>
      <c r="N14" s="5"/>
      <c r="O14" t="str">
        <f>VLOOKUP(G14,'[1]CONFIG.'!$B:$C,2,0)</f>
        <v>SILAS</v>
      </c>
      <c r="P14" t="str">
        <f>VLOOKUP(O14,'[1]CONFIG.'!$C:$D,2,0)</f>
        <v>74 98041875</v>
      </c>
    </row>
    <row r="15" spans="1:16" x14ac:dyDescent="0.3">
      <c r="A15" t="s">
        <v>133</v>
      </c>
      <c r="B15" t="s">
        <v>134</v>
      </c>
      <c r="C15" t="s">
        <v>135</v>
      </c>
      <c r="D15" t="s">
        <v>36</v>
      </c>
      <c r="E15" t="s">
        <v>136</v>
      </c>
      <c r="F15" t="s">
        <v>137</v>
      </c>
      <c r="G15">
        <v>209</v>
      </c>
      <c r="H15">
        <v>500</v>
      </c>
      <c r="I15" s="5" t="s">
        <v>138</v>
      </c>
      <c r="J15" s="5" t="s">
        <v>139</v>
      </c>
      <c r="K15" s="5" t="str">
        <f t="shared" si="0"/>
        <v>https://www.google.com/maps?q=-11.305315, -41.850822</v>
      </c>
      <c r="L15" s="5" t="str">
        <f t="shared" si="1"/>
        <v>Abrir no Maps</v>
      </c>
      <c r="M15" t="s">
        <v>140</v>
      </c>
      <c r="N15" s="5"/>
      <c r="O15" t="str">
        <f>VLOOKUP(G15,'[1]CONFIG.'!$B:$C,2,0)</f>
        <v>IGOR</v>
      </c>
      <c r="P15" t="str">
        <f>VLOOKUP(O15,'[1]CONFIG.'!$C:$D,2,0)</f>
        <v>74 99590346</v>
      </c>
    </row>
    <row r="16" spans="1:16" x14ac:dyDescent="0.3">
      <c r="A16" t="s">
        <v>141</v>
      </c>
      <c r="B16" t="s">
        <v>142</v>
      </c>
      <c r="C16" t="s">
        <v>143</v>
      </c>
      <c r="D16" t="s">
        <v>36</v>
      </c>
      <c r="E16" t="s">
        <v>144</v>
      </c>
      <c r="F16" t="s">
        <v>38</v>
      </c>
      <c r="G16">
        <v>212</v>
      </c>
      <c r="H16">
        <v>200</v>
      </c>
      <c r="I16" s="5" t="s">
        <v>145</v>
      </c>
      <c r="J16" s="5" t="s">
        <v>146</v>
      </c>
      <c r="K16" s="5" t="str">
        <f t="shared" si="0"/>
        <v>https://www.google.com/maps?q=-11.304167, -41.848890</v>
      </c>
      <c r="L16" s="5" t="str">
        <f t="shared" si="1"/>
        <v>Abrir no Maps</v>
      </c>
      <c r="M16" t="s">
        <v>147</v>
      </c>
      <c r="N16" s="5"/>
      <c r="O16" t="str">
        <f>VLOOKUP(G16,'[1]CONFIG.'!$B:$C,2,0)</f>
        <v>ANDRE</v>
      </c>
      <c r="P16" t="str">
        <f>VLOOKUP(O16,'[1]CONFIG.'!$C:$D,2,0)</f>
        <v>74 99916877</v>
      </c>
    </row>
    <row r="17" spans="1:16" x14ac:dyDescent="0.3">
      <c r="A17" t="s">
        <v>148</v>
      </c>
      <c r="B17" t="s">
        <v>149</v>
      </c>
      <c r="C17" t="s">
        <v>150</v>
      </c>
      <c r="D17" t="s">
        <v>36</v>
      </c>
      <c r="E17" t="s">
        <v>151</v>
      </c>
      <c r="F17" t="s">
        <v>108</v>
      </c>
      <c r="G17">
        <v>209</v>
      </c>
      <c r="H17">
        <v>500</v>
      </c>
      <c r="I17" s="5" t="s">
        <v>152</v>
      </c>
      <c r="J17" s="5" t="s">
        <v>153</v>
      </c>
      <c r="K17" s="5" t="str">
        <f t="shared" si="0"/>
        <v>https://www.google.com/maps?q=-11.309582, -41.852640</v>
      </c>
      <c r="L17" s="5" t="str">
        <f t="shared" si="1"/>
        <v>Abrir no Maps</v>
      </c>
      <c r="M17" t="s">
        <v>154</v>
      </c>
      <c r="N17" s="5"/>
      <c r="O17" t="str">
        <f>VLOOKUP(G17,'[1]CONFIG.'!$B:$C,2,0)</f>
        <v>IGOR</v>
      </c>
      <c r="P17" t="str">
        <f>VLOOKUP(O17,'[1]CONFIG.'!$C:$D,2,0)</f>
        <v>74 99590346</v>
      </c>
    </row>
    <row r="18" spans="1:16" x14ac:dyDescent="0.3">
      <c r="A18" t="s">
        <v>155</v>
      </c>
      <c r="B18" t="s">
        <v>156</v>
      </c>
      <c r="C18" t="s">
        <v>157</v>
      </c>
      <c r="D18" t="s">
        <v>36</v>
      </c>
      <c r="E18" t="s">
        <v>158</v>
      </c>
      <c r="F18" t="s">
        <v>159</v>
      </c>
      <c r="G18">
        <v>204</v>
      </c>
      <c r="H18">
        <v>500</v>
      </c>
      <c r="I18" s="5" t="s">
        <v>160</v>
      </c>
      <c r="J18" s="5" t="s">
        <v>161</v>
      </c>
      <c r="K18" s="5" t="str">
        <f t="shared" si="0"/>
        <v>https://www.google.com/maps?q=-11.301733, -41.854560</v>
      </c>
      <c r="L18" s="5" t="str">
        <f t="shared" si="1"/>
        <v>Abrir no Maps</v>
      </c>
      <c r="M18" t="s">
        <v>162</v>
      </c>
      <c r="N18" s="5"/>
      <c r="O18" t="str">
        <f>VLOOKUP(G18,'[1]CONFIG.'!$B:$C,2,0)</f>
        <v>EVA</v>
      </c>
      <c r="P18" t="str">
        <f>VLOOKUP(O18,'[1]CONFIG.'!$C:$D,2,0)</f>
        <v>74 98046078</v>
      </c>
    </row>
    <row r="19" spans="1:16" x14ac:dyDescent="0.3">
      <c r="A19" t="s">
        <v>163</v>
      </c>
      <c r="B19" t="s">
        <v>164</v>
      </c>
      <c r="C19" t="s">
        <v>165</v>
      </c>
      <c r="D19" t="s">
        <v>36</v>
      </c>
      <c r="E19" t="s">
        <v>166</v>
      </c>
      <c r="F19" t="s">
        <v>167</v>
      </c>
      <c r="G19">
        <v>210</v>
      </c>
      <c r="H19">
        <v>500</v>
      </c>
      <c r="I19" s="5" t="s">
        <v>168</v>
      </c>
      <c r="J19" s="5" t="s">
        <v>169</v>
      </c>
      <c r="K19" s="5" t="str">
        <f t="shared" si="0"/>
        <v>https://www.google.com/maps?q=-11.303554, -41.866455</v>
      </c>
      <c r="L19" s="5" t="str">
        <f t="shared" si="1"/>
        <v>Abrir no Maps</v>
      </c>
      <c r="M19" t="s">
        <v>170</v>
      </c>
      <c r="N19" s="5"/>
      <c r="O19" t="str">
        <f>VLOOKUP(G19,'[1]CONFIG.'!$B:$C,2,0)</f>
        <v>SILAS</v>
      </c>
      <c r="P19" t="str">
        <f>VLOOKUP(O19,'[1]CONFIG.'!$C:$D,2,0)</f>
        <v>74 98041875</v>
      </c>
    </row>
    <row r="20" spans="1:16" x14ac:dyDescent="0.3">
      <c r="A20" t="s">
        <v>171</v>
      </c>
      <c r="B20" t="s">
        <v>172</v>
      </c>
      <c r="C20" t="s">
        <v>173</v>
      </c>
      <c r="D20" t="s">
        <v>36</v>
      </c>
      <c r="E20" t="s">
        <v>174</v>
      </c>
      <c r="F20" t="s">
        <v>167</v>
      </c>
      <c r="G20">
        <v>204</v>
      </c>
      <c r="H20">
        <v>500</v>
      </c>
      <c r="I20" s="5" t="s">
        <v>175</v>
      </c>
      <c r="J20" s="5" t="s">
        <v>176</v>
      </c>
      <c r="K20" s="5" t="str">
        <f t="shared" si="0"/>
        <v>https://www.google.com/maps?q=-11.303382, -41.867477</v>
      </c>
      <c r="L20" s="5" t="str">
        <f t="shared" si="1"/>
        <v>Abrir no Maps</v>
      </c>
      <c r="M20" t="s">
        <v>177</v>
      </c>
      <c r="N20" s="5"/>
      <c r="O20" t="str">
        <f>VLOOKUP(G20,'[1]CONFIG.'!$B:$C,2,0)</f>
        <v>EVA</v>
      </c>
      <c r="P20" t="str">
        <f>VLOOKUP(O20,'[1]CONFIG.'!$C:$D,2,0)</f>
        <v>74 98046078</v>
      </c>
    </row>
    <row r="21" spans="1:16" x14ac:dyDescent="0.3">
      <c r="A21" t="s">
        <v>178</v>
      </c>
      <c r="B21" t="s">
        <v>179</v>
      </c>
      <c r="C21" t="s">
        <v>180</v>
      </c>
      <c r="D21" t="s">
        <v>36</v>
      </c>
      <c r="E21" t="s">
        <v>181</v>
      </c>
      <c r="F21" t="s">
        <v>85</v>
      </c>
      <c r="G21">
        <v>204</v>
      </c>
      <c r="H21">
        <v>500</v>
      </c>
      <c r="I21" s="5" t="s">
        <v>182</v>
      </c>
      <c r="J21" s="5" t="s">
        <v>183</v>
      </c>
      <c r="K21" s="5" t="str">
        <f t="shared" si="0"/>
        <v>https://www.google.com/maps?q=-11.303427, -41.869873</v>
      </c>
      <c r="L21" s="5" t="str">
        <f t="shared" si="1"/>
        <v>Abrir no Maps</v>
      </c>
      <c r="M21">
        <v>0</v>
      </c>
      <c r="N21" s="5"/>
      <c r="O21" t="str">
        <f>VLOOKUP(G21,'[1]CONFIG.'!$B:$C,2,0)</f>
        <v>EVA</v>
      </c>
      <c r="P21" t="str">
        <f>VLOOKUP(O21,'[1]CONFIG.'!$C:$D,2,0)</f>
        <v>74 98046078</v>
      </c>
    </row>
    <row r="22" spans="1:16" x14ac:dyDescent="0.3">
      <c r="A22" t="s">
        <v>184</v>
      </c>
      <c r="B22" t="s">
        <v>185</v>
      </c>
      <c r="C22" t="s">
        <v>186</v>
      </c>
      <c r="D22" t="s">
        <v>36</v>
      </c>
      <c r="E22" t="s">
        <v>187</v>
      </c>
      <c r="F22" t="s">
        <v>38</v>
      </c>
      <c r="G22">
        <v>212</v>
      </c>
      <c r="H22">
        <v>200</v>
      </c>
      <c r="I22" s="5" t="s">
        <v>188</v>
      </c>
      <c r="J22" s="5" t="s">
        <v>189</v>
      </c>
      <c r="K22" s="5" t="str">
        <f t="shared" si="0"/>
        <v>https://www.google.com/maps?q=-11.304659, -41.853455</v>
      </c>
      <c r="L22" s="5" t="str">
        <f t="shared" si="1"/>
        <v>Abrir no Maps</v>
      </c>
      <c r="M22" t="s">
        <v>190</v>
      </c>
      <c r="N22" s="5"/>
      <c r="O22" t="str">
        <f>VLOOKUP(G22,'[1]CONFIG.'!$B:$C,2,0)</f>
        <v>ANDRE</v>
      </c>
      <c r="P22" t="str">
        <f>VLOOKUP(O22,'[1]CONFIG.'!$C:$D,2,0)</f>
        <v>74 99916877</v>
      </c>
    </row>
    <row r="23" spans="1:16" x14ac:dyDescent="0.3">
      <c r="A23" t="s">
        <v>191</v>
      </c>
      <c r="B23" t="s">
        <v>192</v>
      </c>
      <c r="C23" t="s">
        <v>193</v>
      </c>
      <c r="D23" t="s">
        <v>36</v>
      </c>
      <c r="E23" t="s">
        <v>194</v>
      </c>
      <c r="F23" t="s">
        <v>137</v>
      </c>
      <c r="G23">
        <v>212</v>
      </c>
      <c r="H23">
        <v>200</v>
      </c>
      <c r="I23" s="5" t="s">
        <v>195</v>
      </c>
      <c r="J23" s="5" t="s">
        <v>196</v>
      </c>
      <c r="K23" s="5" t="str">
        <f t="shared" si="0"/>
        <v>https://www.google.com/maps?q=-11.301513, -41.851340</v>
      </c>
      <c r="L23" s="5" t="str">
        <f t="shared" si="1"/>
        <v>Abrir no Maps</v>
      </c>
      <c r="M23" t="s">
        <v>197</v>
      </c>
      <c r="N23" s="5"/>
      <c r="O23" t="str">
        <f>VLOOKUP(G23,'[1]CONFIG.'!$B:$C,2,0)</f>
        <v>ANDRE</v>
      </c>
      <c r="P23" t="str">
        <f>VLOOKUP(O23,'[1]CONFIG.'!$C:$D,2,0)</f>
        <v>74 99916877</v>
      </c>
    </row>
    <row r="24" spans="1:16" x14ac:dyDescent="0.3">
      <c r="A24" t="s">
        <v>198</v>
      </c>
      <c r="B24" t="s">
        <v>199</v>
      </c>
      <c r="C24" t="s">
        <v>200</v>
      </c>
      <c r="D24" t="s">
        <v>36</v>
      </c>
      <c r="E24" t="s">
        <v>201</v>
      </c>
      <c r="F24" t="s">
        <v>202</v>
      </c>
      <c r="G24">
        <v>210</v>
      </c>
      <c r="H24">
        <v>500</v>
      </c>
      <c r="I24" s="5" t="s">
        <v>203</v>
      </c>
      <c r="J24" s="5" t="s">
        <v>204</v>
      </c>
      <c r="K24" s="5" t="str">
        <f t="shared" si="0"/>
        <v>https://www.google.com/maps?q=-11.300917, -41.861070</v>
      </c>
      <c r="L24" s="5" t="str">
        <f t="shared" si="1"/>
        <v>Abrir no Maps</v>
      </c>
      <c r="M24" t="s">
        <v>205</v>
      </c>
      <c r="N24" s="5"/>
      <c r="O24" t="str">
        <f>VLOOKUP(G24,'[1]CONFIG.'!$B:$C,2,0)</f>
        <v>SILAS</v>
      </c>
      <c r="P24" t="str">
        <f>VLOOKUP(O24,'[1]CONFIG.'!$C:$D,2,0)</f>
        <v>74 98041875</v>
      </c>
    </row>
    <row r="25" spans="1:16" x14ac:dyDescent="0.3">
      <c r="A25" t="s">
        <v>206</v>
      </c>
      <c r="B25" t="s">
        <v>207</v>
      </c>
      <c r="C25" t="s">
        <v>208</v>
      </c>
      <c r="D25" t="s">
        <v>36</v>
      </c>
      <c r="E25" t="s">
        <v>209</v>
      </c>
      <c r="F25" t="s">
        <v>38</v>
      </c>
      <c r="G25">
        <v>203</v>
      </c>
      <c r="H25">
        <v>200</v>
      </c>
      <c r="I25" s="5" t="s">
        <v>210</v>
      </c>
      <c r="J25" s="5" t="s">
        <v>211</v>
      </c>
      <c r="K25" s="5" t="str">
        <f t="shared" si="0"/>
        <v>https://www.google.com/maps?q=-11.307996, -41.854060</v>
      </c>
      <c r="L25" s="5" t="str">
        <f t="shared" si="1"/>
        <v>Abrir no Maps</v>
      </c>
      <c r="M25" t="s">
        <v>212</v>
      </c>
      <c r="N25" s="5"/>
      <c r="O25" t="str">
        <f>VLOOKUP(G25,'[1]CONFIG.'!$B:$C,2,0)</f>
        <v>ALEXANDRE</v>
      </c>
      <c r="P25" t="str">
        <f>VLOOKUP(O25,'[1]CONFIG.'!$C:$D,2,0)</f>
        <v>74 99653478</v>
      </c>
    </row>
    <row r="26" spans="1:16" x14ac:dyDescent="0.3">
      <c r="A26" t="s">
        <v>213</v>
      </c>
      <c r="B26" t="s">
        <v>214</v>
      </c>
      <c r="C26" t="s">
        <v>215</v>
      </c>
      <c r="D26" t="s">
        <v>36</v>
      </c>
      <c r="E26" t="s">
        <v>216</v>
      </c>
      <c r="F26" t="s">
        <v>217</v>
      </c>
      <c r="G26">
        <v>212</v>
      </c>
      <c r="H26">
        <v>200</v>
      </c>
      <c r="I26" s="5" t="s">
        <v>218</v>
      </c>
      <c r="J26" s="5" t="s">
        <v>219</v>
      </c>
      <c r="K26" s="5" t="str">
        <f t="shared" si="0"/>
        <v>https://www.google.com/maps?q=-11.299657, -41.846250</v>
      </c>
      <c r="L26" s="5" t="str">
        <f t="shared" si="1"/>
        <v>Abrir no Maps</v>
      </c>
      <c r="M26" t="s">
        <v>220</v>
      </c>
      <c r="N26" s="5"/>
      <c r="O26" t="str">
        <f>VLOOKUP(G26,'[1]CONFIG.'!$B:$C,2,0)</f>
        <v>ANDRE</v>
      </c>
      <c r="P26" t="str">
        <f>VLOOKUP(O26,'[1]CONFIG.'!$C:$D,2,0)</f>
        <v>74 99916877</v>
      </c>
    </row>
    <row r="27" spans="1:16" x14ac:dyDescent="0.3">
      <c r="A27" t="s">
        <v>221</v>
      </c>
      <c r="B27" t="s">
        <v>222</v>
      </c>
      <c r="C27" t="s">
        <v>223</v>
      </c>
      <c r="D27" t="s">
        <v>36</v>
      </c>
      <c r="E27" t="s">
        <v>224</v>
      </c>
      <c r="F27" t="s">
        <v>38</v>
      </c>
      <c r="G27">
        <v>212</v>
      </c>
      <c r="H27">
        <v>200</v>
      </c>
      <c r="I27" s="5" t="s">
        <v>225</v>
      </c>
      <c r="J27" s="5" t="s">
        <v>226</v>
      </c>
      <c r="K27" s="5" t="str">
        <f t="shared" si="0"/>
        <v>https://www.google.com/maps?q=-11.305055, -41.854940</v>
      </c>
      <c r="L27" s="5" t="str">
        <f t="shared" si="1"/>
        <v>Abrir no Maps</v>
      </c>
      <c r="M27" t="s">
        <v>227</v>
      </c>
      <c r="N27" s="5"/>
      <c r="O27" t="str">
        <f>VLOOKUP(G27,'[1]CONFIG.'!$B:$C,2,0)</f>
        <v>ANDRE</v>
      </c>
      <c r="P27" t="str">
        <f>VLOOKUP(O27,'[1]CONFIG.'!$C:$D,2,0)</f>
        <v>74 99916877</v>
      </c>
    </row>
    <row r="28" spans="1:16" x14ac:dyDescent="0.3">
      <c r="A28" t="s">
        <v>228</v>
      </c>
      <c r="B28" t="s">
        <v>229</v>
      </c>
      <c r="C28" t="s">
        <v>230</v>
      </c>
      <c r="D28" t="s">
        <v>36</v>
      </c>
      <c r="E28" t="s">
        <v>231</v>
      </c>
      <c r="F28" t="s">
        <v>232</v>
      </c>
      <c r="G28">
        <v>211</v>
      </c>
      <c r="H28">
        <v>500</v>
      </c>
      <c r="I28" s="5" t="s">
        <v>233</v>
      </c>
      <c r="J28" s="5" t="s">
        <v>234</v>
      </c>
      <c r="K28" s="5" t="str">
        <f t="shared" si="0"/>
        <v>https://www.google.com/maps?q=-11.294723, -41.820280</v>
      </c>
      <c r="L28" s="5" t="str">
        <f t="shared" si="1"/>
        <v>Abrir no Maps</v>
      </c>
      <c r="M28" t="s">
        <v>235</v>
      </c>
      <c r="N28" s="5"/>
      <c r="O28" t="str">
        <f>VLOOKUP(G28,'[1]CONFIG.'!$B:$C,2,0)</f>
        <v>DAIANE</v>
      </c>
      <c r="P28" t="str">
        <f>VLOOKUP(O28,'[1]CONFIG.'!$C:$D,2,0)</f>
        <v>74 99298866</v>
      </c>
    </row>
    <row r="29" spans="1:16" x14ac:dyDescent="0.3">
      <c r="A29" t="s">
        <v>236</v>
      </c>
      <c r="B29" t="s">
        <v>237</v>
      </c>
      <c r="C29" t="s">
        <v>238</v>
      </c>
      <c r="D29" t="s">
        <v>36</v>
      </c>
      <c r="E29" t="s">
        <v>239</v>
      </c>
      <c r="F29" t="s">
        <v>38</v>
      </c>
      <c r="G29">
        <v>212</v>
      </c>
      <c r="H29">
        <v>200</v>
      </c>
      <c r="I29" s="5" t="s">
        <v>240</v>
      </c>
      <c r="J29" s="5" t="s">
        <v>241</v>
      </c>
      <c r="K29" s="5" t="str">
        <f t="shared" si="0"/>
        <v>https://www.google.com/maps?q=-11.305274, -41.855206</v>
      </c>
      <c r="L29" s="5" t="str">
        <f t="shared" si="1"/>
        <v>Abrir no Maps</v>
      </c>
      <c r="M29" t="s">
        <v>242</v>
      </c>
      <c r="N29" s="5"/>
      <c r="O29" t="str">
        <f>VLOOKUP(G29,'[1]CONFIG.'!$B:$C,2,0)</f>
        <v>ANDRE</v>
      </c>
      <c r="P29" t="str">
        <f>VLOOKUP(O29,'[1]CONFIG.'!$C:$D,2,0)</f>
        <v>74 99916877</v>
      </c>
    </row>
    <row r="30" spans="1:16" x14ac:dyDescent="0.3">
      <c r="A30" t="s">
        <v>243</v>
      </c>
      <c r="B30" t="s">
        <v>244</v>
      </c>
      <c r="C30" t="s">
        <v>245</v>
      </c>
      <c r="D30" t="s">
        <v>36</v>
      </c>
      <c r="E30" t="s">
        <v>246</v>
      </c>
      <c r="F30" t="s">
        <v>93</v>
      </c>
      <c r="G30">
        <v>209</v>
      </c>
      <c r="H30">
        <v>500</v>
      </c>
      <c r="I30" s="5" t="s">
        <v>247</v>
      </c>
      <c r="J30" s="5" t="s">
        <v>248</v>
      </c>
      <c r="K30" s="5" t="str">
        <f t="shared" si="0"/>
        <v>https://www.google.com/maps?q=-11.302689, -41.848410</v>
      </c>
      <c r="L30" s="5" t="str">
        <f t="shared" si="1"/>
        <v>Abrir no Maps</v>
      </c>
      <c r="M30" t="s">
        <v>249</v>
      </c>
      <c r="N30" s="5"/>
      <c r="O30" t="str">
        <f>VLOOKUP(G30,'[1]CONFIG.'!$B:$C,2,0)</f>
        <v>IGOR</v>
      </c>
      <c r="P30" t="str">
        <f>VLOOKUP(O30,'[1]CONFIG.'!$C:$D,2,0)</f>
        <v>74 99590346</v>
      </c>
    </row>
    <row r="31" spans="1:16" x14ac:dyDescent="0.3">
      <c r="A31" t="s">
        <v>250</v>
      </c>
      <c r="B31" t="s">
        <v>251</v>
      </c>
      <c r="C31" t="s">
        <v>252</v>
      </c>
      <c r="D31" t="s">
        <v>36</v>
      </c>
      <c r="E31" t="s">
        <v>253</v>
      </c>
      <c r="F31" t="s">
        <v>167</v>
      </c>
      <c r="G31">
        <v>210</v>
      </c>
      <c r="H31">
        <v>500</v>
      </c>
      <c r="I31" s="5" t="s">
        <v>254</v>
      </c>
      <c r="J31" s="5" t="s">
        <v>255</v>
      </c>
      <c r="K31" s="5" t="str">
        <f t="shared" si="0"/>
        <v>https://www.google.com/maps?q=-11.303522, -41.867153</v>
      </c>
      <c r="L31" s="5" t="str">
        <f t="shared" si="1"/>
        <v>Abrir no Maps</v>
      </c>
      <c r="M31" t="s">
        <v>256</v>
      </c>
      <c r="N31" s="5"/>
      <c r="O31" t="str">
        <f>VLOOKUP(G31,'[1]CONFIG.'!$B:$C,2,0)</f>
        <v>SILAS</v>
      </c>
      <c r="P31" t="str">
        <f>VLOOKUP(O31,'[1]CONFIG.'!$C:$D,2,0)</f>
        <v>74 98041875</v>
      </c>
    </row>
    <row r="32" spans="1:16" x14ac:dyDescent="0.3">
      <c r="A32" t="s">
        <v>257</v>
      </c>
      <c r="B32" t="s">
        <v>258</v>
      </c>
      <c r="C32" t="s">
        <v>259</v>
      </c>
      <c r="D32" t="s">
        <v>260</v>
      </c>
      <c r="E32" t="s">
        <v>261</v>
      </c>
      <c r="F32" t="s">
        <v>137</v>
      </c>
      <c r="G32">
        <v>204</v>
      </c>
      <c r="H32">
        <v>500</v>
      </c>
      <c r="I32" s="5" t="s">
        <v>262</v>
      </c>
      <c r="J32" s="5" t="s">
        <v>263</v>
      </c>
      <c r="K32" s="5" t="str">
        <f t="shared" si="0"/>
        <v>https://www.google.com/maps?q=-11.547598, -41.978516</v>
      </c>
      <c r="L32" s="5" t="str">
        <f t="shared" si="1"/>
        <v>Abrir no Maps</v>
      </c>
      <c r="M32" t="s">
        <v>264</v>
      </c>
      <c r="N32" s="5"/>
      <c r="O32" t="str">
        <f>VLOOKUP(G32,'[1]CONFIG.'!$B:$C,2,0)</f>
        <v>EVA</v>
      </c>
      <c r="P32" t="str">
        <f>VLOOKUP(O32,'[1]CONFIG.'!$C:$D,2,0)</f>
        <v>74 98046078</v>
      </c>
    </row>
    <row r="33" spans="1:16" x14ac:dyDescent="0.3">
      <c r="A33" t="s">
        <v>265</v>
      </c>
      <c r="B33" t="s">
        <v>266</v>
      </c>
      <c r="C33" t="s">
        <v>267</v>
      </c>
      <c r="D33" t="s">
        <v>36</v>
      </c>
      <c r="E33" t="s">
        <v>268</v>
      </c>
      <c r="F33" t="s">
        <v>38</v>
      </c>
      <c r="G33">
        <v>212</v>
      </c>
      <c r="H33">
        <v>200</v>
      </c>
      <c r="I33" s="5" t="s">
        <v>269</v>
      </c>
      <c r="J33" s="5" t="s">
        <v>270</v>
      </c>
      <c r="K33" s="5" t="str">
        <f t="shared" si="0"/>
        <v>https://www.google.com/maps?q=-11.305210, -41.855797</v>
      </c>
      <c r="L33" s="5" t="str">
        <f t="shared" si="1"/>
        <v>Abrir no Maps</v>
      </c>
      <c r="M33" t="s">
        <v>271</v>
      </c>
      <c r="N33" s="5"/>
      <c r="O33" t="str">
        <f>VLOOKUP(G33,'[1]CONFIG.'!$B:$C,2,0)</f>
        <v>ANDRE</v>
      </c>
      <c r="P33" t="str">
        <f>VLOOKUP(O33,'[1]CONFIG.'!$C:$D,2,0)</f>
        <v>74 99916877</v>
      </c>
    </row>
    <row r="34" spans="1:16" x14ac:dyDescent="0.3">
      <c r="A34" t="s">
        <v>272</v>
      </c>
      <c r="B34" t="s">
        <v>273</v>
      </c>
      <c r="C34" t="s">
        <v>274</v>
      </c>
      <c r="D34" t="s">
        <v>36</v>
      </c>
      <c r="E34" t="s">
        <v>275</v>
      </c>
      <c r="F34" t="s">
        <v>167</v>
      </c>
      <c r="G34">
        <v>203</v>
      </c>
      <c r="H34">
        <v>200</v>
      </c>
      <c r="I34" s="5" t="s">
        <v>276</v>
      </c>
      <c r="J34" s="5" t="s">
        <v>277</v>
      </c>
      <c r="K34" s="5" t="str">
        <f t="shared" si="0"/>
        <v>https://www.google.com/maps?q=-11.301864, -41.869700</v>
      </c>
      <c r="L34" s="5" t="str">
        <f t="shared" si="1"/>
        <v>Abrir no Maps</v>
      </c>
      <c r="M34" t="s">
        <v>278</v>
      </c>
      <c r="N34" s="5"/>
      <c r="O34" t="str">
        <f>VLOOKUP(G34,'[1]CONFIG.'!$B:$C,2,0)</f>
        <v>ALEXANDRE</v>
      </c>
      <c r="P34" t="str">
        <f>VLOOKUP(O34,'[1]CONFIG.'!$C:$D,2,0)</f>
        <v>74 99653478</v>
      </c>
    </row>
    <row r="35" spans="1:16" x14ac:dyDescent="0.3">
      <c r="A35" t="s">
        <v>279</v>
      </c>
      <c r="B35" t="s">
        <v>280</v>
      </c>
      <c r="C35" t="s">
        <v>281</v>
      </c>
      <c r="D35" t="s">
        <v>36</v>
      </c>
      <c r="E35" t="s">
        <v>282</v>
      </c>
      <c r="F35" t="s">
        <v>167</v>
      </c>
      <c r="G35">
        <v>204</v>
      </c>
      <c r="H35">
        <v>500</v>
      </c>
      <c r="I35" s="5" t="s">
        <v>283</v>
      </c>
      <c r="J35" s="5" t="s">
        <v>284</v>
      </c>
      <c r="K35" s="5" t="str">
        <f t="shared" si="0"/>
        <v>https://www.google.com/maps?q=-11.302445, -41.863000</v>
      </c>
      <c r="L35" s="5" t="str">
        <f t="shared" si="1"/>
        <v>Abrir no Maps</v>
      </c>
      <c r="M35" t="s">
        <v>285</v>
      </c>
      <c r="N35" s="5"/>
      <c r="O35" t="str">
        <f>VLOOKUP(G35,'[1]CONFIG.'!$B:$C,2,0)</f>
        <v>EVA</v>
      </c>
      <c r="P35" t="str">
        <f>VLOOKUP(O35,'[1]CONFIG.'!$C:$D,2,0)</f>
        <v>74 98046078</v>
      </c>
    </row>
    <row r="36" spans="1:16" x14ac:dyDescent="0.3">
      <c r="A36" t="s">
        <v>286</v>
      </c>
      <c r="B36" t="s">
        <v>287</v>
      </c>
      <c r="C36" t="s">
        <v>288</v>
      </c>
      <c r="D36" t="s">
        <v>36</v>
      </c>
      <c r="E36" t="s">
        <v>289</v>
      </c>
      <c r="F36" t="s">
        <v>167</v>
      </c>
      <c r="G36">
        <v>210</v>
      </c>
      <c r="H36">
        <v>500</v>
      </c>
      <c r="I36" s="5" t="s">
        <v>290</v>
      </c>
      <c r="J36" s="5" t="s">
        <v>291</v>
      </c>
      <c r="K36" s="5" t="str">
        <f t="shared" si="0"/>
        <v>https://www.google.com/maps?q=-11.302267, -41.863120</v>
      </c>
      <c r="L36" s="5" t="str">
        <f t="shared" si="1"/>
        <v>Abrir no Maps</v>
      </c>
      <c r="M36" t="s">
        <v>292</v>
      </c>
      <c r="N36" s="5"/>
      <c r="O36" t="str">
        <f>VLOOKUP(G36,'[1]CONFIG.'!$B:$C,2,0)</f>
        <v>SILAS</v>
      </c>
      <c r="P36" t="str">
        <f>VLOOKUP(O36,'[1]CONFIG.'!$C:$D,2,0)</f>
        <v>74 98041875</v>
      </c>
    </row>
    <row r="37" spans="1:16" x14ac:dyDescent="0.3">
      <c r="A37" t="s">
        <v>293</v>
      </c>
      <c r="B37" t="s">
        <v>294</v>
      </c>
      <c r="C37" t="s">
        <v>295</v>
      </c>
      <c r="D37" t="s">
        <v>36</v>
      </c>
      <c r="E37" t="s">
        <v>296</v>
      </c>
      <c r="F37" t="s">
        <v>167</v>
      </c>
      <c r="G37">
        <v>210</v>
      </c>
      <c r="H37">
        <v>500</v>
      </c>
      <c r="I37" s="5" t="s">
        <v>297</v>
      </c>
      <c r="J37" s="5" t="s">
        <v>298</v>
      </c>
      <c r="K37" s="5" t="str">
        <f t="shared" si="0"/>
        <v>https://www.google.com/maps?q=-11.302243, -41.865180</v>
      </c>
      <c r="L37" s="5" t="str">
        <f t="shared" si="1"/>
        <v>Abrir no Maps</v>
      </c>
      <c r="M37" t="s">
        <v>299</v>
      </c>
      <c r="N37" s="5"/>
      <c r="O37" t="str">
        <f>VLOOKUP(G37,'[1]CONFIG.'!$B:$C,2,0)</f>
        <v>SILAS</v>
      </c>
      <c r="P37" t="str">
        <f>VLOOKUP(O37,'[1]CONFIG.'!$C:$D,2,0)</f>
        <v>74 98041875</v>
      </c>
    </row>
    <row r="38" spans="1:16" x14ac:dyDescent="0.3">
      <c r="A38" t="s">
        <v>300</v>
      </c>
      <c r="B38" t="s">
        <v>301</v>
      </c>
      <c r="C38" t="s">
        <v>302</v>
      </c>
      <c r="D38" t="s">
        <v>36</v>
      </c>
      <c r="E38" t="s">
        <v>303</v>
      </c>
      <c r="F38" t="s">
        <v>167</v>
      </c>
      <c r="G38">
        <v>210</v>
      </c>
      <c r="H38">
        <v>500</v>
      </c>
      <c r="I38" s="5" t="s">
        <v>304</v>
      </c>
      <c r="J38" s="5" t="s">
        <v>305</v>
      </c>
      <c r="K38" s="5" t="str">
        <f t="shared" si="0"/>
        <v>https://www.google.com/maps?q=-11.302132, -41.867523</v>
      </c>
      <c r="L38" s="5" t="str">
        <f t="shared" si="1"/>
        <v>Abrir no Maps</v>
      </c>
      <c r="M38" t="s">
        <v>306</v>
      </c>
      <c r="N38" s="5"/>
      <c r="O38" t="str">
        <f>VLOOKUP(G38,'[1]CONFIG.'!$B:$C,2,0)</f>
        <v>SILAS</v>
      </c>
      <c r="P38" t="str">
        <f>VLOOKUP(O38,'[1]CONFIG.'!$C:$D,2,0)</f>
        <v>74 98041875</v>
      </c>
    </row>
    <row r="39" spans="1:16" x14ac:dyDescent="0.3">
      <c r="A39" t="s">
        <v>307</v>
      </c>
      <c r="B39" t="s">
        <v>308</v>
      </c>
      <c r="C39" t="s">
        <v>309</v>
      </c>
      <c r="D39" t="s">
        <v>36</v>
      </c>
      <c r="E39" t="s">
        <v>310</v>
      </c>
      <c r="F39" t="s">
        <v>311</v>
      </c>
      <c r="G39">
        <v>207</v>
      </c>
      <c r="H39">
        <v>500</v>
      </c>
      <c r="I39" s="5" t="s">
        <v>312</v>
      </c>
      <c r="J39" s="5" t="s">
        <v>313</v>
      </c>
      <c r="K39" s="5" t="str">
        <f t="shared" si="0"/>
        <v>https://www.google.com/maps?q=-11.308333, -41.869720</v>
      </c>
      <c r="L39" s="5" t="str">
        <f t="shared" si="1"/>
        <v>Abrir no Maps</v>
      </c>
      <c r="M39" t="s">
        <v>314</v>
      </c>
      <c r="N39" s="5"/>
      <c r="O39" t="str">
        <f>VLOOKUP(G39,'[1]CONFIG.'!$B:$C,2,0)</f>
        <v>HIAGO</v>
      </c>
      <c r="P39" t="str">
        <f>VLOOKUP(O39,'[1]CONFIG.'!$C:$D,2,0)</f>
        <v>74 99872571</v>
      </c>
    </row>
    <row r="40" spans="1:16" x14ac:dyDescent="0.3">
      <c r="A40" t="s">
        <v>315</v>
      </c>
      <c r="B40" t="s">
        <v>316</v>
      </c>
      <c r="C40" t="s">
        <v>317</v>
      </c>
      <c r="D40" t="s">
        <v>36</v>
      </c>
      <c r="E40" t="s">
        <v>318</v>
      </c>
      <c r="F40" t="s">
        <v>319</v>
      </c>
      <c r="G40">
        <v>211</v>
      </c>
      <c r="H40">
        <v>500</v>
      </c>
      <c r="I40" s="5" t="s">
        <v>320</v>
      </c>
      <c r="J40" s="5" t="s">
        <v>321</v>
      </c>
      <c r="K40" s="5" t="str">
        <f t="shared" si="0"/>
        <v>https://www.google.com/maps?q=-11.309359, -41.872176</v>
      </c>
      <c r="L40" s="5" t="str">
        <f t="shared" si="1"/>
        <v>Abrir no Maps</v>
      </c>
      <c r="M40" t="s">
        <v>322</v>
      </c>
      <c r="N40" s="5"/>
      <c r="O40" t="str">
        <f>VLOOKUP(G40,'[1]CONFIG.'!$B:$C,2,0)</f>
        <v>DAIANE</v>
      </c>
      <c r="P40" t="str">
        <f>VLOOKUP(O40,'[1]CONFIG.'!$C:$D,2,0)</f>
        <v>74 99298866</v>
      </c>
    </row>
    <row r="41" spans="1:16" x14ac:dyDescent="0.3">
      <c r="A41" t="s">
        <v>323</v>
      </c>
      <c r="B41" t="s">
        <v>324</v>
      </c>
      <c r="C41" t="s">
        <v>325</v>
      </c>
      <c r="D41" t="s">
        <v>36</v>
      </c>
      <c r="E41" t="s">
        <v>326</v>
      </c>
      <c r="F41" t="s">
        <v>327</v>
      </c>
      <c r="G41">
        <v>209</v>
      </c>
      <c r="H41">
        <v>500</v>
      </c>
      <c r="I41" s="5" t="s">
        <v>328</v>
      </c>
      <c r="J41" s="5" t="s">
        <v>329</v>
      </c>
      <c r="K41" s="5" t="str">
        <f t="shared" si="0"/>
        <v>https://www.google.com/maps?q=-11.301942, -41.845100</v>
      </c>
      <c r="L41" s="5" t="str">
        <f t="shared" si="1"/>
        <v>Abrir no Maps</v>
      </c>
      <c r="M41" t="s">
        <v>330</v>
      </c>
      <c r="N41" s="5"/>
      <c r="O41" t="str">
        <f>VLOOKUP(G41,'[1]CONFIG.'!$B:$C,2,0)</f>
        <v>IGOR</v>
      </c>
      <c r="P41" t="str">
        <f>VLOOKUP(O41,'[1]CONFIG.'!$C:$D,2,0)</f>
        <v>74 99590346</v>
      </c>
    </row>
    <row r="42" spans="1:16" x14ac:dyDescent="0.3">
      <c r="A42" t="s">
        <v>331</v>
      </c>
      <c r="B42" t="s">
        <v>332</v>
      </c>
      <c r="C42" t="s">
        <v>333</v>
      </c>
      <c r="D42" t="s">
        <v>36</v>
      </c>
      <c r="E42" t="s">
        <v>334</v>
      </c>
      <c r="F42" t="s">
        <v>327</v>
      </c>
      <c r="G42">
        <v>203</v>
      </c>
      <c r="H42">
        <v>200</v>
      </c>
      <c r="I42" s="5" t="s">
        <v>335</v>
      </c>
      <c r="J42" s="5" t="s">
        <v>336</v>
      </c>
      <c r="K42" s="5" t="str">
        <f t="shared" si="0"/>
        <v>https://www.google.com/maps?q=-11.301949, -41.842957</v>
      </c>
      <c r="L42" s="5" t="str">
        <f t="shared" si="1"/>
        <v>Abrir no Maps</v>
      </c>
      <c r="M42" t="s">
        <v>337</v>
      </c>
      <c r="N42" s="5"/>
      <c r="O42" t="str">
        <f>VLOOKUP(G42,'[1]CONFIG.'!$B:$C,2,0)</f>
        <v>ALEXANDRE</v>
      </c>
      <c r="P42" t="str">
        <f>VLOOKUP(O42,'[1]CONFIG.'!$C:$D,2,0)</f>
        <v>74 99653478</v>
      </c>
    </row>
    <row r="43" spans="1:16" x14ac:dyDescent="0.3">
      <c r="A43" t="s">
        <v>338</v>
      </c>
      <c r="B43" t="s">
        <v>339</v>
      </c>
      <c r="C43" t="s">
        <v>340</v>
      </c>
      <c r="D43" t="s">
        <v>36</v>
      </c>
      <c r="E43" t="s">
        <v>341</v>
      </c>
      <c r="F43" t="s">
        <v>342</v>
      </c>
      <c r="G43">
        <v>209</v>
      </c>
      <c r="H43">
        <v>500</v>
      </c>
      <c r="I43" s="5" t="s">
        <v>343</v>
      </c>
      <c r="J43" s="5" t="s">
        <v>344</v>
      </c>
      <c r="K43" s="5" t="str">
        <f t="shared" si="0"/>
        <v>https://www.google.com/maps?q=-11.313771, -41.853670</v>
      </c>
      <c r="L43" s="5" t="str">
        <f t="shared" si="1"/>
        <v>Abrir no Maps</v>
      </c>
      <c r="M43" t="s">
        <v>345</v>
      </c>
      <c r="N43" s="5"/>
      <c r="O43" t="str">
        <f>VLOOKUP(G43,'[1]CONFIG.'!$B:$C,2,0)</f>
        <v>IGOR</v>
      </c>
      <c r="P43" t="str">
        <f>VLOOKUP(O43,'[1]CONFIG.'!$C:$D,2,0)</f>
        <v>74 99590346</v>
      </c>
    </row>
    <row r="44" spans="1:16" x14ac:dyDescent="0.3">
      <c r="A44" t="s">
        <v>346</v>
      </c>
      <c r="B44" t="s">
        <v>347</v>
      </c>
      <c r="C44" t="s">
        <v>348</v>
      </c>
      <c r="D44" t="s">
        <v>36</v>
      </c>
      <c r="E44" t="s">
        <v>349</v>
      </c>
      <c r="F44" t="s">
        <v>350</v>
      </c>
      <c r="G44">
        <v>210</v>
      </c>
      <c r="H44">
        <v>500</v>
      </c>
      <c r="I44" s="5" t="s">
        <v>351</v>
      </c>
      <c r="J44" s="5" t="s">
        <v>352</v>
      </c>
      <c r="K44" s="5" t="str">
        <f t="shared" si="0"/>
        <v>https://www.google.com/maps?q=-11.336389, -41.930557</v>
      </c>
      <c r="L44" s="5" t="str">
        <f t="shared" si="1"/>
        <v>Abrir no Maps</v>
      </c>
      <c r="M44" t="s">
        <v>353</v>
      </c>
      <c r="N44" s="5"/>
      <c r="O44" t="str">
        <f>VLOOKUP(G44,'[1]CONFIG.'!$B:$C,2,0)</f>
        <v>SILAS</v>
      </c>
      <c r="P44" t="str">
        <f>VLOOKUP(O44,'[1]CONFIG.'!$C:$D,2,0)</f>
        <v>74 98041875</v>
      </c>
    </row>
    <row r="45" spans="1:16" x14ac:dyDescent="0.3">
      <c r="A45" t="s">
        <v>354</v>
      </c>
      <c r="B45" t="s">
        <v>355</v>
      </c>
      <c r="C45" t="s">
        <v>356</v>
      </c>
      <c r="D45" t="s">
        <v>36</v>
      </c>
      <c r="E45" t="s">
        <v>357</v>
      </c>
      <c r="F45" t="s">
        <v>358</v>
      </c>
      <c r="G45">
        <v>211</v>
      </c>
      <c r="H45">
        <v>500</v>
      </c>
      <c r="I45" s="5" t="s">
        <v>359</v>
      </c>
      <c r="J45" s="5" t="s">
        <v>360</v>
      </c>
      <c r="K45" s="5" t="str">
        <f t="shared" si="0"/>
        <v>https://www.google.com/maps?q=-11.306111, -41.874170</v>
      </c>
      <c r="L45" s="5" t="str">
        <f t="shared" si="1"/>
        <v>Abrir no Maps</v>
      </c>
      <c r="M45" t="s">
        <v>361</v>
      </c>
      <c r="N45" s="5"/>
      <c r="O45" t="str">
        <f>VLOOKUP(G45,'[1]CONFIG.'!$B:$C,2,0)</f>
        <v>DAIANE</v>
      </c>
      <c r="P45" t="str">
        <f>VLOOKUP(O45,'[1]CONFIG.'!$C:$D,2,0)</f>
        <v>74 99298866</v>
      </c>
    </row>
    <row r="46" spans="1:16" x14ac:dyDescent="0.3">
      <c r="A46" t="s">
        <v>362</v>
      </c>
      <c r="B46" t="s">
        <v>363</v>
      </c>
      <c r="C46" t="s">
        <v>364</v>
      </c>
      <c r="D46" t="s">
        <v>36</v>
      </c>
      <c r="E46" t="s">
        <v>365</v>
      </c>
      <c r="F46" t="s">
        <v>366</v>
      </c>
      <c r="G46">
        <v>210</v>
      </c>
      <c r="H46">
        <v>500</v>
      </c>
      <c r="I46" s="5" t="s">
        <v>367</v>
      </c>
      <c r="J46" s="5" t="s">
        <v>368</v>
      </c>
      <c r="K46" s="5" t="str">
        <f t="shared" si="0"/>
        <v>https://www.google.com/maps?q=-11.300957, -41.861126</v>
      </c>
      <c r="L46" s="5" t="str">
        <f t="shared" si="1"/>
        <v>Abrir no Maps</v>
      </c>
      <c r="M46" t="s">
        <v>369</v>
      </c>
      <c r="N46" s="5"/>
      <c r="O46" t="str">
        <f>VLOOKUP(G46,'[1]CONFIG.'!$B:$C,2,0)</f>
        <v>SILAS</v>
      </c>
      <c r="P46" t="str">
        <f>VLOOKUP(O46,'[1]CONFIG.'!$C:$D,2,0)</f>
        <v>74 98041875</v>
      </c>
    </row>
    <row r="47" spans="1:16" x14ac:dyDescent="0.3">
      <c r="A47" t="s">
        <v>370</v>
      </c>
      <c r="B47" t="s">
        <v>371</v>
      </c>
      <c r="C47" t="s">
        <v>372</v>
      </c>
      <c r="D47" t="s">
        <v>36</v>
      </c>
      <c r="E47" t="s">
        <v>373</v>
      </c>
      <c r="F47" t="s">
        <v>374</v>
      </c>
      <c r="G47">
        <v>204</v>
      </c>
      <c r="H47">
        <v>500</v>
      </c>
      <c r="I47" s="5" t="s">
        <v>375</v>
      </c>
      <c r="J47" s="5" t="s">
        <v>376</v>
      </c>
      <c r="K47" s="5" t="str">
        <f t="shared" si="0"/>
        <v>https://www.google.com/maps?q=-11.300678, -41.856094</v>
      </c>
      <c r="L47" s="5" t="str">
        <f t="shared" si="1"/>
        <v>Abrir no Maps</v>
      </c>
      <c r="M47" t="s">
        <v>377</v>
      </c>
      <c r="N47" s="5"/>
      <c r="O47" t="str">
        <f>VLOOKUP(G47,'[1]CONFIG.'!$B:$C,2,0)</f>
        <v>EVA</v>
      </c>
      <c r="P47" t="str">
        <f>VLOOKUP(O47,'[1]CONFIG.'!$C:$D,2,0)</f>
        <v>74 98046078</v>
      </c>
    </row>
    <row r="48" spans="1:16" x14ac:dyDescent="0.3">
      <c r="A48" t="s">
        <v>378</v>
      </c>
      <c r="B48" t="s">
        <v>379</v>
      </c>
      <c r="C48" t="s">
        <v>380</v>
      </c>
      <c r="D48" t="s">
        <v>36</v>
      </c>
      <c r="E48" t="s">
        <v>381</v>
      </c>
      <c r="F48" t="s">
        <v>366</v>
      </c>
      <c r="G48">
        <v>203</v>
      </c>
      <c r="H48">
        <v>200</v>
      </c>
      <c r="I48" s="5" t="s">
        <v>382</v>
      </c>
      <c r="J48" s="5" t="s">
        <v>383</v>
      </c>
      <c r="K48" s="5" t="str">
        <f t="shared" si="0"/>
        <v>https://www.google.com/maps?q=-11.299807, -41.864513</v>
      </c>
      <c r="L48" s="5" t="str">
        <f t="shared" si="1"/>
        <v>Abrir no Maps</v>
      </c>
      <c r="M48" t="s">
        <v>384</v>
      </c>
      <c r="N48" s="5"/>
      <c r="O48" t="str">
        <f>VLOOKUP(G48,'[1]CONFIG.'!$B:$C,2,0)</f>
        <v>ALEXANDRE</v>
      </c>
      <c r="P48" t="str">
        <f>VLOOKUP(O48,'[1]CONFIG.'!$C:$D,2,0)</f>
        <v>74 99653478</v>
      </c>
    </row>
    <row r="49" spans="1:16" x14ac:dyDescent="0.3">
      <c r="A49" t="s">
        <v>385</v>
      </c>
      <c r="B49" t="s">
        <v>386</v>
      </c>
      <c r="C49" t="s">
        <v>387</v>
      </c>
      <c r="D49" t="s">
        <v>36</v>
      </c>
      <c r="E49" t="s">
        <v>388</v>
      </c>
      <c r="F49" t="s">
        <v>366</v>
      </c>
      <c r="G49">
        <v>210</v>
      </c>
      <c r="H49">
        <v>500</v>
      </c>
      <c r="I49" s="5" t="s">
        <v>389</v>
      </c>
      <c r="J49" s="5" t="s">
        <v>390</v>
      </c>
      <c r="K49" s="5" t="str">
        <f t="shared" si="0"/>
        <v>https://www.google.com/maps?q=-11.299033, -41.866310</v>
      </c>
      <c r="L49" s="5" t="str">
        <f t="shared" si="1"/>
        <v>Abrir no Maps</v>
      </c>
      <c r="M49">
        <v>0</v>
      </c>
      <c r="N49" s="5"/>
      <c r="O49" t="str">
        <f>VLOOKUP(G49,'[1]CONFIG.'!$B:$C,2,0)</f>
        <v>SILAS</v>
      </c>
      <c r="P49" t="str">
        <f>VLOOKUP(O49,'[1]CONFIG.'!$C:$D,2,0)</f>
        <v>74 98041875</v>
      </c>
    </row>
    <row r="50" spans="1:16" x14ac:dyDescent="0.3">
      <c r="A50" t="s">
        <v>391</v>
      </c>
      <c r="B50" t="s">
        <v>392</v>
      </c>
      <c r="C50" t="s">
        <v>393</v>
      </c>
      <c r="D50" t="s">
        <v>36</v>
      </c>
      <c r="E50" t="s">
        <v>394</v>
      </c>
      <c r="F50" t="s">
        <v>395</v>
      </c>
      <c r="G50">
        <v>211</v>
      </c>
      <c r="H50">
        <v>500</v>
      </c>
      <c r="I50" s="5" t="s">
        <v>396</v>
      </c>
      <c r="J50" s="5" t="s">
        <v>397</v>
      </c>
      <c r="K50" s="5" t="str">
        <f t="shared" si="0"/>
        <v>https://www.google.com/maps?q=-11.311047, -41.874380</v>
      </c>
      <c r="L50" s="5" t="str">
        <f t="shared" si="1"/>
        <v>Abrir no Maps</v>
      </c>
      <c r="M50">
        <v>0</v>
      </c>
      <c r="N50" s="5"/>
      <c r="O50" t="str">
        <f>VLOOKUP(G50,'[1]CONFIG.'!$B:$C,2,0)</f>
        <v>DAIANE</v>
      </c>
      <c r="P50" t="str">
        <f>VLOOKUP(O50,'[1]CONFIG.'!$C:$D,2,0)</f>
        <v>74 99298866</v>
      </c>
    </row>
    <row r="51" spans="1:16" x14ac:dyDescent="0.3">
      <c r="A51" t="s">
        <v>398</v>
      </c>
      <c r="B51" t="s">
        <v>399</v>
      </c>
      <c r="C51" t="s">
        <v>400</v>
      </c>
      <c r="D51" t="s">
        <v>36</v>
      </c>
      <c r="E51" t="s">
        <v>401</v>
      </c>
      <c r="F51" t="s">
        <v>217</v>
      </c>
      <c r="G51">
        <v>204</v>
      </c>
      <c r="H51">
        <v>500</v>
      </c>
      <c r="I51" s="5" t="s">
        <v>402</v>
      </c>
      <c r="J51" s="5" t="s">
        <v>403</v>
      </c>
      <c r="K51" s="5" t="str">
        <f t="shared" si="0"/>
        <v>https://www.google.com/maps?q=-11.303946, -41.846405</v>
      </c>
      <c r="L51" s="5" t="str">
        <f t="shared" si="1"/>
        <v>Abrir no Maps</v>
      </c>
      <c r="M51" t="s">
        <v>404</v>
      </c>
      <c r="N51" s="5"/>
      <c r="O51" t="str">
        <f>VLOOKUP(G51,'[1]CONFIG.'!$B:$C,2,0)</f>
        <v>EVA</v>
      </c>
      <c r="P51" t="str">
        <f>VLOOKUP(O51,'[1]CONFIG.'!$C:$D,2,0)</f>
        <v>74 98046078</v>
      </c>
    </row>
    <row r="52" spans="1:16" x14ac:dyDescent="0.3">
      <c r="A52" t="s">
        <v>405</v>
      </c>
      <c r="B52" t="s">
        <v>406</v>
      </c>
      <c r="C52" t="s">
        <v>407</v>
      </c>
      <c r="D52" t="s">
        <v>36</v>
      </c>
      <c r="E52" t="s">
        <v>408</v>
      </c>
      <c r="F52" t="s">
        <v>159</v>
      </c>
      <c r="G52">
        <v>212</v>
      </c>
      <c r="H52">
        <v>200</v>
      </c>
      <c r="I52" s="5" t="s">
        <v>409</v>
      </c>
      <c r="J52" s="5" t="s">
        <v>376</v>
      </c>
      <c r="K52" s="5" t="str">
        <f t="shared" si="0"/>
        <v>https://www.google.com/maps?q=-11.304233, -41.856094</v>
      </c>
      <c r="L52" s="5" t="str">
        <f t="shared" si="1"/>
        <v>Abrir no Maps</v>
      </c>
      <c r="M52" t="s">
        <v>410</v>
      </c>
      <c r="N52" s="5"/>
      <c r="O52" t="str">
        <f>VLOOKUP(G52,'[1]CONFIG.'!$B:$C,2,0)</f>
        <v>ANDRE</v>
      </c>
      <c r="P52" t="str">
        <f>VLOOKUP(O52,'[1]CONFIG.'!$C:$D,2,0)</f>
        <v>74 99916877</v>
      </c>
    </row>
    <row r="53" spans="1:16" x14ac:dyDescent="0.3">
      <c r="A53" t="s">
        <v>411</v>
      </c>
      <c r="B53" t="s">
        <v>412</v>
      </c>
      <c r="C53" t="s">
        <v>413</v>
      </c>
      <c r="D53" t="s">
        <v>36</v>
      </c>
      <c r="E53" t="s">
        <v>414</v>
      </c>
      <c r="F53" t="s">
        <v>217</v>
      </c>
      <c r="G53">
        <v>209</v>
      </c>
      <c r="H53">
        <v>500</v>
      </c>
      <c r="I53" s="5" t="s">
        <v>415</v>
      </c>
      <c r="J53" s="5" t="s">
        <v>416</v>
      </c>
      <c r="K53" s="5" t="str">
        <f t="shared" si="0"/>
        <v>https://www.google.com/maps?q=-11.304170, -41.844860</v>
      </c>
      <c r="L53" s="5" t="str">
        <f t="shared" si="1"/>
        <v>Abrir no Maps</v>
      </c>
      <c r="M53" t="s">
        <v>417</v>
      </c>
      <c r="N53" s="5"/>
      <c r="O53" t="str">
        <f>VLOOKUP(G53,'[1]CONFIG.'!$B:$C,2,0)</f>
        <v>IGOR</v>
      </c>
      <c r="P53" t="str">
        <f>VLOOKUP(O53,'[1]CONFIG.'!$C:$D,2,0)</f>
        <v>74 99590346</v>
      </c>
    </row>
    <row r="54" spans="1:16" x14ac:dyDescent="0.3">
      <c r="A54" t="s">
        <v>418</v>
      </c>
      <c r="B54" t="s">
        <v>419</v>
      </c>
      <c r="C54" t="s">
        <v>420</v>
      </c>
      <c r="D54" t="s">
        <v>36</v>
      </c>
      <c r="E54" t="s">
        <v>421</v>
      </c>
      <c r="F54" t="s">
        <v>422</v>
      </c>
      <c r="G54">
        <v>203</v>
      </c>
      <c r="H54">
        <v>200</v>
      </c>
      <c r="I54" s="5" t="s">
        <v>423</v>
      </c>
      <c r="J54" s="5" t="s">
        <v>424</v>
      </c>
      <c r="K54" s="5" t="str">
        <f t="shared" si="0"/>
        <v>https://www.google.com/maps?q=-11.293333, -41.851112</v>
      </c>
      <c r="L54" s="5" t="str">
        <f t="shared" si="1"/>
        <v>Abrir no Maps</v>
      </c>
      <c r="M54" t="s">
        <v>425</v>
      </c>
      <c r="N54" s="5"/>
      <c r="O54" t="str">
        <f>VLOOKUP(G54,'[1]CONFIG.'!$B:$C,2,0)</f>
        <v>ALEXANDRE</v>
      </c>
      <c r="P54" t="str">
        <f>VLOOKUP(O54,'[1]CONFIG.'!$C:$D,2,0)</f>
        <v>74 99653478</v>
      </c>
    </row>
    <row r="55" spans="1:16" x14ac:dyDescent="0.3">
      <c r="A55" t="s">
        <v>426</v>
      </c>
      <c r="B55" t="s">
        <v>427</v>
      </c>
      <c r="C55" t="s">
        <v>428</v>
      </c>
      <c r="D55" t="s">
        <v>429</v>
      </c>
      <c r="E55" t="s">
        <v>430</v>
      </c>
      <c r="F55" t="s">
        <v>431</v>
      </c>
      <c r="G55">
        <v>201</v>
      </c>
      <c r="H55">
        <v>300</v>
      </c>
      <c r="I55" s="5" t="s">
        <v>432</v>
      </c>
      <c r="J55" s="5" t="s">
        <v>433</v>
      </c>
      <c r="K55" s="5" t="str">
        <f t="shared" si="0"/>
        <v>https://www.google.com/maps?q=-11.547222, -41.155556</v>
      </c>
      <c r="L55" s="5" t="str">
        <f t="shared" si="1"/>
        <v>Abrir no Maps</v>
      </c>
      <c r="M55" t="s">
        <v>434</v>
      </c>
      <c r="N55" s="5"/>
      <c r="O55" t="str">
        <f>VLOOKUP(G55,'[1]CONFIG.'!$B:$C,2,0)</f>
        <v>EDSON</v>
      </c>
      <c r="P55" t="str">
        <f>VLOOKUP(O55,'[1]CONFIG.'!$C:$D,2,0)</f>
        <v>74 99403278</v>
      </c>
    </row>
    <row r="56" spans="1:16" x14ac:dyDescent="0.3">
      <c r="A56" t="s">
        <v>435</v>
      </c>
      <c r="B56" t="s">
        <v>436</v>
      </c>
      <c r="C56" t="s">
        <v>437</v>
      </c>
      <c r="D56" t="s">
        <v>36</v>
      </c>
      <c r="E56" t="s">
        <v>438</v>
      </c>
      <c r="F56" t="s">
        <v>167</v>
      </c>
      <c r="G56">
        <v>210</v>
      </c>
      <c r="H56">
        <v>500</v>
      </c>
      <c r="I56" s="5" t="s">
        <v>439</v>
      </c>
      <c r="J56" s="5" t="s">
        <v>440</v>
      </c>
      <c r="K56" s="5" t="str">
        <f t="shared" si="0"/>
        <v>https://www.google.com/maps?q=-11.304628, -41.863010</v>
      </c>
      <c r="L56" s="5" t="str">
        <f t="shared" si="1"/>
        <v>Abrir no Maps</v>
      </c>
      <c r="M56" t="s">
        <v>441</v>
      </c>
      <c r="N56" s="5"/>
      <c r="O56" t="str">
        <f>VLOOKUP(G56,'[1]CONFIG.'!$B:$C,2,0)</f>
        <v>SILAS</v>
      </c>
      <c r="P56" t="str">
        <f>VLOOKUP(O56,'[1]CONFIG.'!$C:$D,2,0)</f>
        <v>74 98041875</v>
      </c>
    </row>
    <row r="57" spans="1:16" x14ac:dyDescent="0.3">
      <c r="A57" t="s">
        <v>442</v>
      </c>
      <c r="B57" t="s">
        <v>443</v>
      </c>
      <c r="C57" t="s">
        <v>444</v>
      </c>
      <c r="D57" t="s">
        <v>36</v>
      </c>
      <c r="E57" t="s">
        <v>445</v>
      </c>
      <c r="F57" t="s">
        <v>167</v>
      </c>
      <c r="G57">
        <v>210</v>
      </c>
      <c r="H57">
        <v>500</v>
      </c>
      <c r="I57" s="5" t="s">
        <v>446</v>
      </c>
      <c r="J57" s="5" t="s">
        <v>447</v>
      </c>
      <c r="K57" s="5" t="str">
        <f t="shared" si="0"/>
        <v>https://www.google.com/maps?q=-11.305589, -41.866386</v>
      </c>
      <c r="L57" s="5" t="str">
        <f t="shared" si="1"/>
        <v>Abrir no Maps</v>
      </c>
      <c r="M57" t="s">
        <v>448</v>
      </c>
      <c r="N57" s="5"/>
      <c r="O57" t="str">
        <f>VLOOKUP(G57,'[1]CONFIG.'!$B:$C,2,0)</f>
        <v>SILAS</v>
      </c>
      <c r="P57" t="str">
        <f>VLOOKUP(O57,'[1]CONFIG.'!$C:$D,2,0)</f>
        <v>74 98041875</v>
      </c>
    </row>
    <row r="58" spans="1:16" x14ac:dyDescent="0.3">
      <c r="A58" t="s">
        <v>449</v>
      </c>
      <c r="B58" t="s">
        <v>450</v>
      </c>
      <c r="C58" t="s">
        <v>451</v>
      </c>
      <c r="D58" t="s">
        <v>36</v>
      </c>
      <c r="E58" t="s">
        <v>452</v>
      </c>
      <c r="F58" t="s">
        <v>137</v>
      </c>
      <c r="G58">
        <v>212</v>
      </c>
      <c r="H58">
        <v>200</v>
      </c>
      <c r="I58" s="5" t="s">
        <v>453</v>
      </c>
      <c r="J58" s="5" t="s">
        <v>454</v>
      </c>
      <c r="K58" s="5" t="str">
        <f t="shared" si="0"/>
        <v>https://www.google.com/maps?q=-11.292952, -41.850983</v>
      </c>
      <c r="L58" s="5" t="str">
        <f t="shared" si="1"/>
        <v>Abrir no Maps</v>
      </c>
      <c r="M58" t="s">
        <v>455</v>
      </c>
      <c r="N58" s="5"/>
      <c r="O58" t="str">
        <f>VLOOKUP(G58,'[1]CONFIG.'!$B:$C,2,0)</f>
        <v>ANDRE</v>
      </c>
      <c r="P58" t="str">
        <f>VLOOKUP(O58,'[1]CONFIG.'!$C:$D,2,0)</f>
        <v>74 99916877</v>
      </c>
    </row>
    <row r="59" spans="1:16" x14ac:dyDescent="0.3">
      <c r="A59" t="s">
        <v>456</v>
      </c>
      <c r="B59" t="s">
        <v>457</v>
      </c>
      <c r="C59" t="s">
        <v>458</v>
      </c>
      <c r="D59" t="s">
        <v>36</v>
      </c>
      <c r="E59" t="s">
        <v>459</v>
      </c>
      <c r="F59" t="s">
        <v>460</v>
      </c>
      <c r="G59">
        <v>203</v>
      </c>
      <c r="H59">
        <v>200</v>
      </c>
      <c r="I59" s="5" t="s">
        <v>461</v>
      </c>
      <c r="J59" s="5" t="s">
        <v>462</v>
      </c>
      <c r="K59" s="5" t="str">
        <f t="shared" si="0"/>
        <v>https://www.google.com/maps?q=-11.296293, -41.859300</v>
      </c>
      <c r="L59" s="5" t="str">
        <f t="shared" si="1"/>
        <v>Abrir no Maps</v>
      </c>
      <c r="M59" t="s">
        <v>463</v>
      </c>
      <c r="N59" s="5"/>
      <c r="O59" t="str">
        <f>VLOOKUP(G59,'[1]CONFIG.'!$B:$C,2,0)</f>
        <v>ALEXANDRE</v>
      </c>
      <c r="P59" t="str">
        <f>VLOOKUP(O59,'[1]CONFIG.'!$C:$D,2,0)</f>
        <v>74 99653478</v>
      </c>
    </row>
    <row r="60" spans="1:16" x14ac:dyDescent="0.3">
      <c r="A60" t="s">
        <v>464</v>
      </c>
      <c r="B60" t="s">
        <v>465</v>
      </c>
      <c r="C60" t="s">
        <v>466</v>
      </c>
      <c r="D60" t="s">
        <v>36</v>
      </c>
      <c r="E60" t="s">
        <v>467</v>
      </c>
      <c r="F60" t="s">
        <v>217</v>
      </c>
      <c r="G60">
        <v>212</v>
      </c>
      <c r="H60">
        <v>200</v>
      </c>
      <c r="I60" s="5" t="s">
        <v>468</v>
      </c>
      <c r="J60" s="5" t="s">
        <v>469</v>
      </c>
      <c r="K60" s="5" t="str">
        <f t="shared" si="0"/>
        <v>https://www.google.com/maps?q=-11.303841, -41.846844</v>
      </c>
      <c r="L60" s="5" t="str">
        <f t="shared" si="1"/>
        <v>Abrir no Maps</v>
      </c>
      <c r="M60" t="s">
        <v>470</v>
      </c>
      <c r="N60" s="5"/>
      <c r="O60" t="str">
        <f>VLOOKUP(G60,'[1]CONFIG.'!$B:$C,2,0)</f>
        <v>ANDRE</v>
      </c>
      <c r="P60" t="str">
        <f>VLOOKUP(O60,'[1]CONFIG.'!$C:$D,2,0)</f>
        <v>74 99916877</v>
      </c>
    </row>
    <row r="61" spans="1:16" x14ac:dyDescent="0.3">
      <c r="A61" t="s">
        <v>471</v>
      </c>
      <c r="B61" t="s">
        <v>472</v>
      </c>
      <c r="C61" t="s">
        <v>473</v>
      </c>
      <c r="D61" t="s">
        <v>36</v>
      </c>
      <c r="E61" t="s">
        <v>474</v>
      </c>
      <c r="F61" t="s">
        <v>366</v>
      </c>
      <c r="G61">
        <v>210</v>
      </c>
      <c r="H61">
        <v>500</v>
      </c>
      <c r="I61" s="5" t="s">
        <v>475</v>
      </c>
      <c r="J61" s="5" t="s">
        <v>476</v>
      </c>
      <c r="K61" s="5" t="str">
        <f t="shared" si="0"/>
        <v>https://www.google.com/maps?q=-11.300867, -41.861095</v>
      </c>
      <c r="L61" s="5" t="str">
        <f t="shared" si="1"/>
        <v>Abrir no Maps</v>
      </c>
      <c r="M61" t="s">
        <v>477</v>
      </c>
      <c r="N61" s="5"/>
      <c r="O61" t="str">
        <f>VLOOKUP(G61,'[1]CONFIG.'!$B:$C,2,0)</f>
        <v>SILAS</v>
      </c>
      <c r="P61" t="str">
        <f>VLOOKUP(O61,'[1]CONFIG.'!$C:$D,2,0)</f>
        <v>74 98041875</v>
      </c>
    </row>
    <row r="62" spans="1:16" x14ac:dyDescent="0.3">
      <c r="A62" t="s">
        <v>478</v>
      </c>
      <c r="B62" t="s">
        <v>479</v>
      </c>
      <c r="C62" t="s">
        <v>480</v>
      </c>
      <c r="D62" t="s">
        <v>36</v>
      </c>
      <c r="E62" t="s">
        <v>481</v>
      </c>
      <c r="F62" t="s">
        <v>366</v>
      </c>
      <c r="G62">
        <v>210</v>
      </c>
      <c r="H62">
        <v>500</v>
      </c>
      <c r="I62" s="5" t="s">
        <v>482</v>
      </c>
      <c r="J62" s="5" t="s">
        <v>483</v>
      </c>
      <c r="K62" s="5" t="str">
        <f t="shared" si="0"/>
        <v>https://www.google.com/maps?q=-11.299672, -41.866830</v>
      </c>
      <c r="L62" s="5" t="str">
        <f t="shared" si="1"/>
        <v>Abrir no Maps</v>
      </c>
      <c r="M62" t="s">
        <v>484</v>
      </c>
      <c r="N62" s="5"/>
      <c r="O62" t="str">
        <f>VLOOKUP(G62,'[1]CONFIG.'!$B:$C,2,0)</f>
        <v>SILAS</v>
      </c>
      <c r="P62" t="str">
        <f>VLOOKUP(O62,'[1]CONFIG.'!$C:$D,2,0)</f>
        <v>74 98041875</v>
      </c>
    </row>
    <row r="63" spans="1:16" x14ac:dyDescent="0.3">
      <c r="A63" t="s">
        <v>485</v>
      </c>
      <c r="B63" t="s">
        <v>486</v>
      </c>
      <c r="C63" t="s">
        <v>487</v>
      </c>
      <c r="D63" t="s">
        <v>488</v>
      </c>
      <c r="E63" t="s">
        <v>489</v>
      </c>
      <c r="F63" t="s">
        <v>137</v>
      </c>
      <c r="G63">
        <v>202</v>
      </c>
      <c r="H63">
        <v>500</v>
      </c>
      <c r="I63" s="5" t="s">
        <v>490</v>
      </c>
      <c r="J63" s="5" t="s">
        <v>491</v>
      </c>
      <c r="K63" s="5" t="str">
        <f t="shared" si="0"/>
        <v>https://www.google.com/maps?q=-12.246235, -41.615630</v>
      </c>
      <c r="L63" s="5" t="str">
        <f t="shared" si="1"/>
        <v>Abrir no Maps</v>
      </c>
      <c r="M63" t="s">
        <v>492</v>
      </c>
      <c r="N63" s="5"/>
      <c r="O63" t="str">
        <f>VLOOKUP(G63,'[1]CONFIG.'!$B:$C,2,0)</f>
        <v>ARISTON</v>
      </c>
      <c r="P63" t="str">
        <f>VLOOKUP(O63,'[1]CONFIG.'!$C:$D,2,0)</f>
        <v>74 99384078</v>
      </c>
    </row>
    <row r="64" spans="1:16" x14ac:dyDescent="0.3">
      <c r="A64" t="s">
        <v>493</v>
      </c>
      <c r="B64" t="s">
        <v>494</v>
      </c>
      <c r="C64" t="s">
        <v>495</v>
      </c>
      <c r="D64" t="s">
        <v>36</v>
      </c>
      <c r="E64" t="s">
        <v>496</v>
      </c>
      <c r="F64" t="s">
        <v>77</v>
      </c>
      <c r="G64">
        <v>204</v>
      </c>
      <c r="H64">
        <v>500</v>
      </c>
      <c r="I64" s="5" t="s">
        <v>497</v>
      </c>
      <c r="J64" s="5" t="s">
        <v>498</v>
      </c>
      <c r="K64" s="5" t="str">
        <f t="shared" si="0"/>
        <v>https://www.google.com/maps?q=-11.298515, -41.855000</v>
      </c>
      <c r="L64" s="5" t="str">
        <f t="shared" si="1"/>
        <v>Abrir no Maps</v>
      </c>
      <c r="M64" t="s">
        <v>499</v>
      </c>
      <c r="N64" s="5"/>
      <c r="O64" t="str">
        <f>VLOOKUP(G64,'[1]CONFIG.'!$B:$C,2,0)</f>
        <v>EVA</v>
      </c>
      <c r="P64" t="str">
        <f>VLOOKUP(O64,'[1]CONFIG.'!$C:$D,2,0)</f>
        <v>74 98046078</v>
      </c>
    </row>
    <row r="65" spans="1:16" x14ac:dyDescent="0.3">
      <c r="A65" t="s">
        <v>500</v>
      </c>
      <c r="B65" t="s">
        <v>501</v>
      </c>
      <c r="C65" t="s">
        <v>502</v>
      </c>
      <c r="D65" t="s">
        <v>36</v>
      </c>
      <c r="E65" t="s">
        <v>503</v>
      </c>
      <c r="F65" t="s">
        <v>93</v>
      </c>
      <c r="G65">
        <v>210</v>
      </c>
      <c r="H65">
        <v>500</v>
      </c>
      <c r="I65" s="5" t="s">
        <v>504</v>
      </c>
      <c r="J65" s="5" t="s">
        <v>505</v>
      </c>
      <c r="K65" s="5" t="str">
        <f t="shared" si="0"/>
        <v>https://www.google.com/maps?q=-11.303463, -41.856766</v>
      </c>
      <c r="L65" s="5" t="str">
        <f t="shared" si="1"/>
        <v>Abrir no Maps</v>
      </c>
      <c r="M65" t="s">
        <v>506</v>
      </c>
      <c r="N65" s="5"/>
      <c r="O65" t="str">
        <f>VLOOKUP(G65,'[1]CONFIG.'!$B:$C,2,0)</f>
        <v>SILAS</v>
      </c>
      <c r="P65" t="str">
        <f>VLOOKUP(O65,'[1]CONFIG.'!$C:$D,2,0)</f>
        <v>74 98041875</v>
      </c>
    </row>
    <row r="66" spans="1:16" x14ac:dyDescent="0.3">
      <c r="A66" t="s">
        <v>507</v>
      </c>
      <c r="B66" t="s">
        <v>508</v>
      </c>
      <c r="C66" t="s">
        <v>509</v>
      </c>
      <c r="D66" t="s">
        <v>36</v>
      </c>
      <c r="E66" t="s">
        <v>510</v>
      </c>
      <c r="F66" t="s">
        <v>511</v>
      </c>
      <c r="G66">
        <v>203</v>
      </c>
      <c r="H66">
        <v>200</v>
      </c>
      <c r="I66" s="5" t="s">
        <v>512</v>
      </c>
      <c r="J66" s="5" t="s">
        <v>513</v>
      </c>
      <c r="K66" s="5" t="str">
        <f t="shared" si="0"/>
        <v>https://www.google.com/maps?q=-11.324623, -41.862514</v>
      </c>
      <c r="L66" s="5" t="str">
        <f t="shared" si="1"/>
        <v>Abrir no Maps</v>
      </c>
      <c r="M66" t="s">
        <v>514</v>
      </c>
      <c r="N66" s="5"/>
      <c r="O66" t="str">
        <f>VLOOKUP(G66,'[1]CONFIG.'!$B:$C,2,0)</f>
        <v>ALEXANDRE</v>
      </c>
      <c r="P66" t="str">
        <f>VLOOKUP(O66,'[1]CONFIG.'!$C:$D,2,0)</f>
        <v>74 99653478</v>
      </c>
    </row>
    <row r="67" spans="1:16" x14ac:dyDescent="0.3">
      <c r="A67" t="s">
        <v>515</v>
      </c>
      <c r="B67" t="s">
        <v>516</v>
      </c>
      <c r="C67" t="s">
        <v>517</v>
      </c>
      <c r="D67" t="s">
        <v>36</v>
      </c>
      <c r="E67" t="s">
        <v>518</v>
      </c>
      <c r="F67" t="s">
        <v>108</v>
      </c>
      <c r="G67">
        <v>207</v>
      </c>
      <c r="H67">
        <v>500</v>
      </c>
      <c r="I67" s="5" t="s">
        <v>519</v>
      </c>
      <c r="J67" s="5" t="s">
        <v>520</v>
      </c>
      <c r="K67" s="5" t="str">
        <f t="shared" si="0"/>
        <v>https://www.google.com/maps?q=-11.309261, -41.861923</v>
      </c>
      <c r="L67" s="5" t="str">
        <f t="shared" si="1"/>
        <v>Abrir no Maps</v>
      </c>
      <c r="M67" t="s">
        <v>521</v>
      </c>
      <c r="N67" s="5"/>
      <c r="O67" t="str">
        <f>VLOOKUP(G67,'[1]CONFIG.'!$B:$C,2,0)</f>
        <v>HIAGO</v>
      </c>
      <c r="P67" t="str">
        <f>VLOOKUP(O67,'[1]CONFIG.'!$C:$D,2,0)</f>
        <v>74 99872571</v>
      </c>
    </row>
    <row r="68" spans="1:16" x14ac:dyDescent="0.3">
      <c r="A68" t="s">
        <v>522</v>
      </c>
      <c r="B68" t="s">
        <v>523</v>
      </c>
      <c r="C68" t="s">
        <v>524</v>
      </c>
      <c r="D68" t="s">
        <v>36</v>
      </c>
      <c r="E68" t="s">
        <v>525</v>
      </c>
      <c r="F68" t="s">
        <v>374</v>
      </c>
      <c r="G68">
        <v>204</v>
      </c>
      <c r="H68">
        <v>500</v>
      </c>
      <c r="I68" s="5" t="s">
        <v>526</v>
      </c>
      <c r="J68" s="5" t="s">
        <v>527</v>
      </c>
      <c r="K68" s="5" t="str">
        <f t="shared" ref="K68:K131" si="2">"https://www.google.com/maps?q="&amp;""&amp;LEFT(I68,3)&amp;"."&amp;RIGHT(I68,6)&amp;", "&amp;LEFT(J68,3)&amp;"."&amp;RIGHT(J68,6)</f>
        <v>https://www.google.com/maps?q=-11.299360, -41.855946</v>
      </c>
      <c r="L68" s="5" t="str">
        <f t="shared" ref="L68:L131" si="3">HYPERLINK(K68,"Abrir no Maps")</f>
        <v>Abrir no Maps</v>
      </c>
      <c r="M68" t="s">
        <v>528</v>
      </c>
      <c r="N68" s="5"/>
      <c r="O68" t="str">
        <f>VLOOKUP(G68,'[1]CONFIG.'!$B:$C,2,0)</f>
        <v>EVA</v>
      </c>
      <c r="P68" t="str">
        <f>VLOOKUP(O68,'[1]CONFIG.'!$C:$D,2,0)</f>
        <v>74 98046078</v>
      </c>
    </row>
    <row r="69" spans="1:16" x14ac:dyDescent="0.3">
      <c r="A69" t="s">
        <v>529</v>
      </c>
      <c r="B69" t="s">
        <v>530</v>
      </c>
      <c r="C69" t="s">
        <v>531</v>
      </c>
      <c r="D69" t="s">
        <v>36</v>
      </c>
      <c r="E69" t="s">
        <v>532</v>
      </c>
      <c r="F69" t="s">
        <v>38</v>
      </c>
      <c r="G69">
        <v>212</v>
      </c>
      <c r="H69">
        <v>200</v>
      </c>
      <c r="I69" s="5" t="s">
        <v>533</v>
      </c>
      <c r="J69" s="5" t="s">
        <v>534</v>
      </c>
      <c r="K69" s="5" t="str">
        <f t="shared" si="2"/>
        <v>https://www.google.com/maps?q=-11.304027, -41.853382</v>
      </c>
      <c r="L69" s="5" t="str">
        <f t="shared" si="3"/>
        <v>Abrir no Maps</v>
      </c>
      <c r="M69" t="s">
        <v>535</v>
      </c>
      <c r="N69" s="5"/>
      <c r="O69" t="str">
        <f>VLOOKUP(G69,'[1]CONFIG.'!$B:$C,2,0)</f>
        <v>ANDRE</v>
      </c>
      <c r="P69" t="str">
        <f>VLOOKUP(O69,'[1]CONFIG.'!$C:$D,2,0)</f>
        <v>74 99916877</v>
      </c>
    </row>
    <row r="70" spans="1:16" x14ac:dyDescent="0.3">
      <c r="A70" t="s">
        <v>536</v>
      </c>
      <c r="B70" t="s">
        <v>537</v>
      </c>
      <c r="C70" t="s">
        <v>538</v>
      </c>
      <c r="D70" t="s">
        <v>539</v>
      </c>
      <c r="E70" t="s">
        <v>540</v>
      </c>
      <c r="F70" t="s">
        <v>541</v>
      </c>
      <c r="G70">
        <v>204</v>
      </c>
      <c r="H70">
        <v>500</v>
      </c>
      <c r="I70" s="5" t="s">
        <v>542</v>
      </c>
      <c r="J70" s="5" t="s">
        <v>543</v>
      </c>
      <c r="K70" s="5" t="str">
        <f t="shared" si="2"/>
        <v>https://www.google.com/maps?q=-11.455618, -41.811115</v>
      </c>
      <c r="L70" s="5" t="str">
        <f t="shared" si="3"/>
        <v>Abrir no Maps</v>
      </c>
      <c r="M70" t="s">
        <v>544</v>
      </c>
      <c r="N70" s="5"/>
      <c r="O70" t="str">
        <f>VLOOKUP(G70,'[1]CONFIG.'!$B:$C,2,0)</f>
        <v>EVA</v>
      </c>
      <c r="P70" t="str">
        <f>VLOOKUP(O70,'[1]CONFIG.'!$C:$D,2,0)</f>
        <v>74 98046078</v>
      </c>
    </row>
    <row r="71" spans="1:16" x14ac:dyDescent="0.3">
      <c r="A71" t="s">
        <v>545</v>
      </c>
      <c r="B71" t="s">
        <v>546</v>
      </c>
      <c r="C71" t="s">
        <v>547</v>
      </c>
      <c r="D71" t="s">
        <v>36</v>
      </c>
      <c r="E71" t="s">
        <v>548</v>
      </c>
      <c r="F71" t="s">
        <v>350</v>
      </c>
      <c r="G71">
        <v>210</v>
      </c>
      <c r="H71">
        <v>500</v>
      </c>
      <c r="I71" s="5" t="s">
        <v>549</v>
      </c>
      <c r="J71" s="5" t="s">
        <v>550</v>
      </c>
      <c r="K71" s="5" t="str">
        <f t="shared" si="2"/>
        <v>https://www.google.com/maps?q=-11.335000, -41.931110</v>
      </c>
      <c r="L71" s="5" t="str">
        <f t="shared" si="3"/>
        <v>Abrir no Maps</v>
      </c>
      <c r="M71" t="s">
        <v>551</v>
      </c>
      <c r="N71" s="5"/>
      <c r="O71" t="str">
        <f>VLOOKUP(G71,'[1]CONFIG.'!$B:$C,2,0)</f>
        <v>SILAS</v>
      </c>
      <c r="P71" t="str">
        <f>VLOOKUP(O71,'[1]CONFIG.'!$C:$D,2,0)</f>
        <v>74 98041875</v>
      </c>
    </row>
    <row r="72" spans="1:16" x14ac:dyDescent="0.3">
      <c r="A72" t="s">
        <v>552</v>
      </c>
      <c r="B72" t="s">
        <v>553</v>
      </c>
      <c r="C72" t="s">
        <v>554</v>
      </c>
      <c r="D72" t="s">
        <v>36</v>
      </c>
      <c r="E72" t="s">
        <v>555</v>
      </c>
      <c r="F72" t="s">
        <v>159</v>
      </c>
      <c r="G72">
        <v>212</v>
      </c>
      <c r="H72">
        <v>200</v>
      </c>
      <c r="I72" s="5" t="s">
        <v>556</v>
      </c>
      <c r="J72" s="5" t="s">
        <v>557</v>
      </c>
      <c r="K72" s="5" t="str">
        <f t="shared" si="2"/>
        <v>https://www.google.com/maps?q=-11.295795, -41.853016</v>
      </c>
      <c r="L72" s="5" t="str">
        <f t="shared" si="3"/>
        <v>Abrir no Maps</v>
      </c>
      <c r="M72" t="s">
        <v>558</v>
      </c>
      <c r="N72" s="5"/>
      <c r="O72" t="str">
        <f>VLOOKUP(G72,'[1]CONFIG.'!$B:$C,2,0)</f>
        <v>ANDRE</v>
      </c>
      <c r="P72" t="str">
        <f>VLOOKUP(O72,'[1]CONFIG.'!$C:$D,2,0)</f>
        <v>74 99916877</v>
      </c>
    </row>
    <row r="73" spans="1:16" x14ac:dyDescent="0.3">
      <c r="A73" t="s">
        <v>559</v>
      </c>
      <c r="B73" t="s">
        <v>560</v>
      </c>
      <c r="C73" t="s">
        <v>561</v>
      </c>
      <c r="D73" t="s">
        <v>36</v>
      </c>
      <c r="E73" t="s">
        <v>562</v>
      </c>
      <c r="F73" t="s">
        <v>319</v>
      </c>
      <c r="G73">
        <v>211</v>
      </c>
      <c r="H73">
        <v>500</v>
      </c>
      <c r="I73" s="5" t="s">
        <v>563</v>
      </c>
      <c r="J73" s="5" t="s">
        <v>564</v>
      </c>
      <c r="K73" s="5" t="str">
        <f t="shared" si="2"/>
        <v>https://www.google.com/maps?q=-11.307777, -41.871387</v>
      </c>
      <c r="L73" s="5" t="str">
        <f t="shared" si="3"/>
        <v>Abrir no Maps</v>
      </c>
      <c r="M73" t="s">
        <v>565</v>
      </c>
      <c r="N73" s="5"/>
      <c r="O73" t="str">
        <f>VLOOKUP(G73,'[1]CONFIG.'!$B:$C,2,0)</f>
        <v>DAIANE</v>
      </c>
      <c r="P73" t="str">
        <f>VLOOKUP(O73,'[1]CONFIG.'!$C:$D,2,0)</f>
        <v>74 99298866</v>
      </c>
    </row>
    <row r="74" spans="1:16" x14ac:dyDescent="0.3">
      <c r="A74" t="s">
        <v>566</v>
      </c>
      <c r="B74" t="s">
        <v>567</v>
      </c>
      <c r="C74" t="s">
        <v>568</v>
      </c>
      <c r="D74" t="s">
        <v>36</v>
      </c>
      <c r="E74" t="s">
        <v>569</v>
      </c>
      <c r="F74" t="s">
        <v>570</v>
      </c>
      <c r="G74">
        <v>211</v>
      </c>
      <c r="H74">
        <v>500</v>
      </c>
      <c r="I74" s="5" t="s">
        <v>571</v>
      </c>
      <c r="J74" s="5" t="s">
        <v>572</v>
      </c>
      <c r="K74" s="5" t="str">
        <f t="shared" si="2"/>
        <v>https://www.google.com/maps?q=-11.290326, -41.840187</v>
      </c>
      <c r="L74" s="5" t="str">
        <f t="shared" si="3"/>
        <v>Abrir no Maps</v>
      </c>
      <c r="M74" t="s">
        <v>573</v>
      </c>
      <c r="N74" s="5"/>
      <c r="O74" t="str">
        <f>VLOOKUP(G74,'[1]CONFIG.'!$B:$C,2,0)</f>
        <v>DAIANE</v>
      </c>
      <c r="P74" t="str">
        <f>VLOOKUP(O74,'[1]CONFIG.'!$C:$D,2,0)</f>
        <v>74 99298866</v>
      </c>
    </row>
    <row r="75" spans="1:16" x14ac:dyDescent="0.3">
      <c r="A75" t="s">
        <v>574</v>
      </c>
      <c r="B75" t="s">
        <v>575</v>
      </c>
      <c r="C75" t="s">
        <v>576</v>
      </c>
      <c r="D75" t="s">
        <v>36</v>
      </c>
      <c r="E75" t="s">
        <v>577</v>
      </c>
      <c r="F75" t="s">
        <v>38</v>
      </c>
      <c r="G75">
        <v>212</v>
      </c>
      <c r="H75">
        <v>200</v>
      </c>
      <c r="I75" s="5" t="s">
        <v>578</v>
      </c>
      <c r="J75" s="5" t="s">
        <v>579</v>
      </c>
      <c r="K75" s="5" t="str">
        <f t="shared" si="2"/>
        <v>https://www.google.com/maps?q=-11.305466, -41.849780</v>
      </c>
      <c r="L75" s="5" t="str">
        <f t="shared" si="3"/>
        <v>Abrir no Maps</v>
      </c>
      <c r="M75" t="s">
        <v>580</v>
      </c>
      <c r="N75" s="5"/>
      <c r="O75" t="str">
        <f>VLOOKUP(G75,'[1]CONFIG.'!$B:$C,2,0)</f>
        <v>ANDRE</v>
      </c>
      <c r="P75" t="str">
        <f>VLOOKUP(O75,'[1]CONFIG.'!$C:$D,2,0)</f>
        <v>74 99916877</v>
      </c>
    </row>
    <row r="76" spans="1:16" x14ac:dyDescent="0.3">
      <c r="A76" t="s">
        <v>581</v>
      </c>
      <c r="B76" t="s">
        <v>582</v>
      </c>
      <c r="C76" t="s">
        <v>583</v>
      </c>
      <c r="D76" t="s">
        <v>36</v>
      </c>
      <c r="E76" t="s">
        <v>584</v>
      </c>
      <c r="F76" t="s">
        <v>585</v>
      </c>
      <c r="G76">
        <v>203</v>
      </c>
      <c r="H76">
        <v>200</v>
      </c>
      <c r="I76" s="5" t="s">
        <v>586</v>
      </c>
      <c r="J76" s="5" t="s">
        <v>587</v>
      </c>
      <c r="K76" s="5" t="str">
        <f t="shared" si="2"/>
        <v>https://www.google.com/maps?q=-11.298216, -41.875160</v>
      </c>
      <c r="L76" s="5" t="str">
        <f t="shared" si="3"/>
        <v>Abrir no Maps</v>
      </c>
      <c r="M76" t="s">
        <v>588</v>
      </c>
      <c r="N76" s="5"/>
      <c r="O76" t="str">
        <f>VLOOKUP(G76,'[1]CONFIG.'!$B:$C,2,0)</f>
        <v>ALEXANDRE</v>
      </c>
      <c r="P76" t="str">
        <f>VLOOKUP(O76,'[1]CONFIG.'!$C:$D,2,0)</f>
        <v>74 99653478</v>
      </c>
    </row>
    <row r="77" spans="1:16" x14ac:dyDescent="0.3">
      <c r="A77" t="s">
        <v>589</v>
      </c>
      <c r="B77" t="s">
        <v>590</v>
      </c>
      <c r="C77" t="s">
        <v>591</v>
      </c>
      <c r="D77" t="s">
        <v>36</v>
      </c>
      <c r="E77" t="s">
        <v>592</v>
      </c>
      <c r="F77" t="s">
        <v>62</v>
      </c>
      <c r="G77">
        <v>211</v>
      </c>
      <c r="H77">
        <v>500</v>
      </c>
      <c r="I77" s="5" t="s">
        <v>593</v>
      </c>
      <c r="J77" s="5" t="s">
        <v>594</v>
      </c>
      <c r="K77" s="5" t="str">
        <f t="shared" si="2"/>
        <v>https://www.google.com/maps?q=-11.291620, -41.853260</v>
      </c>
      <c r="L77" s="5" t="str">
        <f t="shared" si="3"/>
        <v>Abrir no Maps</v>
      </c>
      <c r="M77" t="s">
        <v>595</v>
      </c>
      <c r="N77" s="5"/>
      <c r="O77" t="str">
        <f>VLOOKUP(G77,'[1]CONFIG.'!$B:$C,2,0)</f>
        <v>DAIANE</v>
      </c>
      <c r="P77" t="str">
        <f>VLOOKUP(O77,'[1]CONFIG.'!$C:$D,2,0)</f>
        <v>74 99298866</v>
      </c>
    </row>
    <row r="78" spans="1:16" x14ac:dyDescent="0.3">
      <c r="A78" t="s">
        <v>596</v>
      </c>
      <c r="B78" t="s">
        <v>597</v>
      </c>
      <c r="C78" t="s">
        <v>598</v>
      </c>
      <c r="D78" t="s">
        <v>36</v>
      </c>
      <c r="E78" t="s">
        <v>599</v>
      </c>
      <c r="F78" t="s">
        <v>93</v>
      </c>
      <c r="G78">
        <v>210</v>
      </c>
      <c r="H78">
        <v>500</v>
      </c>
      <c r="I78" s="5" t="s">
        <v>600</v>
      </c>
      <c r="J78" s="5" t="s">
        <v>601</v>
      </c>
      <c r="K78" s="5" t="str">
        <f t="shared" si="2"/>
        <v>https://www.google.com/maps?q=-11.302433, -41.858940</v>
      </c>
      <c r="L78" s="5" t="str">
        <f t="shared" si="3"/>
        <v>Abrir no Maps</v>
      </c>
      <c r="M78">
        <v>0</v>
      </c>
      <c r="N78" s="5"/>
      <c r="O78" t="str">
        <f>VLOOKUP(G78,'[1]CONFIG.'!$B:$C,2,0)</f>
        <v>SILAS</v>
      </c>
      <c r="P78" t="str">
        <f>VLOOKUP(O78,'[1]CONFIG.'!$C:$D,2,0)</f>
        <v>74 98041875</v>
      </c>
    </row>
    <row r="79" spans="1:16" x14ac:dyDescent="0.3">
      <c r="A79" t="s">
        <v>602</v>
      </c>
      <c r="B79" t="s">
        <v>603</v>
      </c>
      <c r="C79" t="s">
        <v>604</v>
      </c>
      <c r="D79" t="s">
        <v>36</v>
      </c>
      <c r="E79" t="s">
        <v>605</v>
      </c>
      <c r="F79" t="s">
        <v>366</v>
      </c>
      <c r="G79">
        <v>210</v>
      </c>
      <c r="H79">
        <v>500</v>
      </c>
      <c r="I79" s="5" t="s">
        <v>606</v>
      </c>
      <c r="J79" s="5" t="s">
        <v>607</v>
      </c>
      <c r="K79" s="5" t="str">
        <f t="shared" si="2"/>
        <v>https://www.google.com/maps?q=-11.301168, -41.861485</v>
      </c>
      <c r="L79" s="5" t="str">
        <f t="shared" si="3"/>
        <v>Abrir no Maps</v>
      </c>
      <c r="M79" t="s">
        <v>608</v>
      </c>
      <c r="N79" s="5"/>
      <c r="O79" t="str">
        <f>VLOOKUP(G79,'[1]CONFIG.'!$B:$C,2,0)</f>
        <v>SILAS</v>
      </c>
      <c r="P79" t="str">
        <f>VLOOKUP(O79,'[1]CONFIG.'!$C:$D,2,0)</f>
        <v>74 98041875</v>
      </c>
    </row>
    <row r="80" spans="1:16" x14ac:dyDescent="0.3">
      <c r="A80" t="s">
        <v>609</v>
      </c>
      <c r="B80" t="s">
        <v>610</v>
      </c>
      <c r="C80" t="s">
        <v>611</v>
      </c>
      <c r="D80" t="s">
        <v>612</v>
      </c>
      <c r="E80" t="s">
        <v>613</v>
      </c>
      <c r="F80" t="s">
        <v>137</v>
      </c>
      <c r="G80">
        <v>210</v>
      </c>
      <c r="H80">
        <v>500</v>
      </c>
      <c r="I80" s="5" t="s">
        <v>614</v>
      </c>
      <c r="J80" s="5" t="s">
        <v>615</v>
      </c>
      <c r="K80" s="5" t="str">
        <f t="shared" si="2"/>
        <v>https://www.google.com/maps?q=-11.294059, -41.990448</v>
      </c>
      <c r="L80" s="5" t="str">
        <f t="shared" si="3"/>
        <v>Abrir no Maps</v>
      </c>
      <c r="M80" t="s">
        <v>616</v>
      </c>
      <c r="N80" s="5"/>
      <c r="O80" t="str">
        <f>VLOOKUP(G80,'[1]CONFIG.'!$B:$C,2,0)</f>
        <v>SILAS</v>
      </c>
      <c r="P80" t="str">
        <f>VLOOKUP(O80,'[1]CONFIG.'!$C:$D,2,0)</f>
        <v>74 98041875</v>
      </c>
    </row>
    <row r="81" spans="1:16" x14ac:dyDescent="0.3">
      <c r="A81" t="s">
        <v>617</v>
      </c>
      <c r="B81" t="s">
        <v>618</v>
      </c>
      <c r="C81" t="s">
        <v>619</v>
      </c>
      <c r="D81" t="s">
        <v>36</v>
      </c>
      <c r="E81" t="s">
        <v>620</v>
      </c>
      <c r="F81" t="s">
        <v>366</v>
      </c>
      <c r="G81">
        <v>210</v>
      </c>
      <c r="H81">
        <v>500</v>
      </c>
      <c r="I81" s="5" t="s">
        <v>621</v>
      </c>
      <c r="J81" s="5" t="s">
        <v>622</v>
      </c>
      <c r="K81" s="5" t="str">
        <f t="shared" si="2"/>
        <v>https://www.google.com/maps?q=-11.300899, -41.861090</v>
      </c>
      <c r="L81" s="5" t="str">
        <f t="shared" si="3"/>
        <v>Abrir no Maps</v>
      </c>
      <c r="M81">
        <v>0</v>
      </c>
      <c r="N81" s="5"/>
      <c r="O81" t="str">
        <f>VLOOKUP(G81,'[1]CONFIG.'!$B:$C,2,0)</f>
        <v>SILAS</v>
      </c>
      <c r="P81" t="str">
        <f>VLOOKUP(O81,'[1]CONFIG.'!$C:$D,2,0)</f>
        <v>74 98041875</v>
      </c>
    </row>
    <row r="82" spans="1:16" x14ac:dyDescent="0.3">
      <c r="A82" t="s">
        <v>623</v>
      </c>
      <c r="B82" t="s">
        <v>624</v>
      </c>
      <c r="C82" t="s">
        <v>625</v>
      </c>
      <c r="D82" t="s">
        <v>36</v>
      </c>
      <c r="E82" t="s">
        <v>626</v>
      </c>
      <c r="F82" t="s">
        <v>366</v>
      </c>
      <c r="G82">
        <v>210</v>
      </c>
      <c r="H82">
        <v>500</v>
      </c>
      <c r="I82" s="5" t="s">
        <v>627</v>
      </c>
      <c r="J82" s="5" t="s">
        <v>628</v>
      </c>
      <c r="K82" s="5" t="str">
        <f t="shared" si="2"/>
        <v>https://www.google.com/maps?q=-11.300972, -41.861088</v>
      </c>
      <c r="L82" s="5" t="str">
        <f t="shared" si="3"/>
        <v>Abrir no Maps</v>
      </c>
      <c r="M82">
        <v>0</v>
      </c>
      <c r="N82" s="5"/>
      <c r="O82" t="str">
        <f>VLOOKUP(G82,'[1]CONFIG.'!$B:$C,2,0)</f>
        <v>SILAS</v>
      </c>
      <c r="P82" t="str">
        <f>VLOOKUP(O82,'[1]CONFIG.'!$C:$D,2,0)</f>
        <v>74 98041875</v>
      </c>
    </row>
    <row r="83" spans="1:16" x14ac:dyDescent="0.3">
      <c r="A83" t="s">
        <v>629</v>
      </c>
      <c r="B83" t="s">
        <v>630</v>
      </c>
      <c r="C83" t="s">
        <v>631</v>
      </c>
      <c r="D83" t="s">
        <v>36</v>
      </c>
      <c r="E83" t="s">
        <v>632</v>
      </c>
      <c r="F83" t="s">
        <v>633</v>
      </c>
      <c r="G83">
        <v>212</v>
      </c>
      <c r="H83">
        <v>200</v>
      </c>
      <c r="I83" s="5" t="s">
        <v>634</v>
      </c>
      <c r="J83" s="5" t="s">
        <v>635</v>
      </c>
      <c r="K83" s="5" t="str">
        <f t="shared" si="2"/>
        <v>https://www.google.com/maps?q=-11.299697, -41.842865</v>
      </c>
      <c r="L83" s="5" t="str">
        <f t="shared" si="3"/>
        <v>Abrir no Maps</v>
      </c>
      <c r="M83" t="s">
        <v>636</v>
      </c>
      <c r="N83" s="5"/>
      <c r="O83" t="str">
        <f>VLOOKUP(G83,'[1]CONFIG.'!$B:$C,2,0)</f>
        <v>ANDRE</v>
      </c>
      <c r="P83" t="str">
        <f>VLOOKUP(O83,'[1]CONFIG.'!$C:$D,2,0)</f>
        <v>74 99916877</v>
      </c>
    </row>
    <row r="84" spans="1:16" x14ac:dyDescent="0.3">
      <c r="A84" t="s">
        <v>637</v>
      </c>
      <c r="B84" t="s">
        <v>638</v>
      </c>
      <c r="C84" t="s">
        <v>639</v>
      </c>
      <c r="D84" t="s">
        <v>36</v>
      </c>
      <c r="E84" t="s">
        <v>640</v>
      </c>
      <c r="F84" t="s">
        <v>460</v>
      </c>
      <c r="G84">
        <v>210</v>
      </c>
      <c r="H84">
        <v>500</v>
      </c>
      <c r="I84" s="5" t="s">
        <v>641</v>
      </c>
      <c r="J84" s="5" t="s">
        <v>642</v>
      </c>
      <c r="K84" s="5" t="str">
        <f t="shared" si="2"/>
        <v>https://www.google.com/maps?q=-11.295928, -41.859684</v>
      </c>
      <c r="L84" s="5" t="str">
        <f t="shared" si="3"/>
        <v>Abrir no Maps</v>
      </c>
      <c r="M84" t="s">
        <v>643</v>
      </c>
      <c r="N84" s="5"/>
      <c r="O84" t="str">
        <f>VLOOKUP(G84,'[1]CONFIG.'!$B:$C,2,0)</f>
        <v>SILAS</v>
      </c>
      <c r="P84" t="str">
        <f>VLOOKUP(O84,'[1]CONFIG.'!$C:$D,2,0)</f>
        <v>74 98041875</v>
      </c>
    </row>
    <row r="85" spans="1:16" x14ac:dyDescent="0.3">
      <c r="A85" t="s">
        <v>644</v>
      </c>
      <c r="B85" t="s">
        <v>645</v>
      </c>
      <c r="C85" t="s">
        <v>646</v>
      </c>
      <c r="D85" t="s">
        <v>36</v>
      </c>
      <c r="E85" t="s">
        <v>647</v>
      </c>
      <c r="F85" t="s">
        <v>159</v>
      </c>
      <c r="G85">
        <v>204</v>
      </c>
      <c r="H85">
        <v>500</v>
      </c>
      <c r="I85" s="5" t="s">
        <v>648</v>
      </c>
      <c r="J85" s="5" t="s">
        <v>649</v>
      </c>
      <c r="K85" s="5" t="str">
        <f t="shared" si="2"/>
        <v>https://www.google.com/maps?q=-11.301729, -41.854450</v>
      </c>
      <c r="L85" s="5" t="str">
        <f t="shared" si="3"/>
        <v>Abrir no Maps</v>
      </c>
      <c r="M85" t="s">
        <v>650</v>
      </c>
      <c r="N85" s="5"/>
      <c r="O85" t="str">
        <f>VLOOKUP(G85,'[1]CONFIG.'!$B:$C,2,0)</f>
        <v>EVA</v>
      </c>
      <c r="P85" t="str">
        <f>VLOOKUP(O85,'[1]CONFIG.'!$C:$D,2,0)</f>
        <v>74 98046078</v>
      </c>
    </row>
    <row r="86" spans="1:16" x14ac:dyDescent="0.3">
      <c r="A86" t="s">
        <v>651</v>
      </c>
      <c r="B86" t="s">
        <v>652</v>
      </c>
      <c r="C86" t="s">
        <v>653</v>
      </c>
      <c r="D86" t="s">
        <v>36</v>
      </c>
      <c r="E86" t="s">
        <v>654</v>
      </c>
      <c r="F86" t="s">
        <v>93</v>
      </c>
      <c r="G86">
        <v>209</v>
      </c>
      <c r="H86">
        <v>500</v>
      </c>
      <c r="I86" s="5" t="s">
        <v>655</v>
      </c>
      <c r="J86" s="5" t="s">
        <v>656</v>
      </c>
      <c r="K86" s="5" t="str">
        <f t="shared" si="2"/>
        <v>https://www.google.com/maps?q=-11.302155, -41.848816</v>
      </c>
      <c r="L86" s="5" t="str">
        <f t="shared" si="3"/>
        <v>Abrir no Maps</v>
      </c>
      <c r="M86">
        <v>0</v>
      </c>
      <c r="N86" s="5"/>
      <c r="O86" t="str">
        <f>VLOOKUP(G86,'[1]CONFIG.'!$B:$C,2,0)</f>
        <v>IGOR</v>
      </c>
      <c r="P86" t="str">
        <f>VLOOKUP(O86,'[1]CONFIG.'!$C:$D,2,0)</f>
        <v>74 99590346</v>
      </c>
    </row>
    <row r="87" spans="1:16" x14ac:dyDescent="0.3">
      <c r="A87" t="s">
        <v>657</v>
      </c>
      <c r="B87" t="s">
        <v>658</v>
      </c>
      <c r="C87" t="s">
        <v>659</v>
      </c>
      <c r="D87" t="s">
        <v>36</v>
      </c>
      <c r="E87" t="s">
        <v>660</v>
      </c>
      <c r="F87" t="s">
        <v>38</v>
      </c>
      <c r="G87">
        <v>212</v>
      </c>
      <c r="H87">
        <v>200</v>
      </c>
      <c r="I87" s="5" t="s">
        <v>661</v>
      </c>
      <c r="J87" s="5" t="s">
        <v>270</v>
      </c>
      <c r="K87" s="5" t="str">
        <f t="shared" si="2"/>
        <v>https://www.google.com/maps?q=-11.304332, -41.855797</v>
      </c>
      <c r="L87" s="5" t="str">
        <f t="shared" si="3"/>
        <v>Abrir no Maps</v>
      </c>
      <c r="M87" t="s">
        <v>662</v>
      </c>
      <c r="N87" s="5"/>
      <c r="O87" t="str">
        <f>VLOOKUP(G87,'[1]CONFIG.'!$B:$C,2,0)</f>
        <v>ANDRE</v>
      </c>
      <c r="P87" t="str">
        <f>VLOOKUP(O87,'[1]CONFIG.'!$C:$D,2,0)</f>
        <v>74 99916877</v>
      </c>
    </row>
    <row r="88" spans="1:16" x14ac:dyDescent="0.3">
      <c r="A88" t="s">
        <v>663</v>
      </c>
      <c r="B88" t="s">
        <v>664</v>
      </c>
      <c r="C88" t="s">
        <v>665</v>
      </c>
      <c r="D88" t="s">
        <v>36</v>
      </c>
      <c r="E88" t="s">
        <v>666</v>
      </c>
      <c r="F88" t="s">
        <v>167</v>
      </c>
      <c r="G88">
        <v>210</v>
      </c>
      <c r="H88">
        <v>500</v>
      </c>
      <c r="I88" s="5" t="s">
        <v>667</v>
      </c>
      <c r="J88" s="5" t="s">
        <v>668</v>
      </c>
      <c r="K88" s="5" t="str">
        <f t="shared" si="2"/>
        <v>https://www.google.com/maps?q=-11.303611, -41.865555</v>
      </c>
      <c r="L88" s="5" t="str">
        <f t="shared" si="3"/>
        <v>Abrir no Maps</v>
      </c>
      <c r="M88" t="s">
        <v>669</v>
      </c>
      <c r="N88" s="5"/>
      <c r="O88" t="str">
        <f>VLOOKUP(G88,'[1]CONFIG.'!$B:$C,2,0)</f>
        <v>SILAS</v>
      </c>
      <c r="P88" t="str">
        <f>VLOOKUP(O88,'[1]CONFIG.'!$C:$D,2,0)</f>
        <v>74 98041875</v>
      </c>
    </row>
    <row r="89" spans="1:16" x14ac:dyDescent="0.3">
      <c r="A89" t="s">
        <v>670</v>
      </c>
      <c r="B89" t="s">
        <v>671</v>
      </c>
      <c r="C89" t="s">
        <v>672</v>
      </c>
      <c r="D89" t="s">
        <v>36</v>
      </c>
      <c r="E89" t="s">
        <v>673</v>
      </c>
      <c r="F89" t="s">
        <v>674</v>
      </c>
      <c r="G89">
        <v>206</v>
      </c>
      <c r="H89">
        <v>200</v>
      </c>
      <c r="I89" s="5" t="s">
        <v>675</v>
      </c>
      <c r="J89" s="5" t="s">
        <v>676</v>
      </c>
      <c r="K89" s="5" t="str">
        <f t="shared" si="2"/>
        <v>https://www.google.com/maps?q=-11.340930, -41.745102</v>
      </c>
      <c r="L89" s="5" t="str">
        <f t="shared" si="3"/>
        <v>Abrir no Maps</v>
      </c>
      <c r="M89" t="s">
        <v>677</v>
      </c>
      <c r="N89" s="5"/>
      <c r="O89" t="str">
        <f>VLOOKUP(G89,'[1]CONFIG.'!$B:$C,2,0)</f>
        <v>ROBERTO</v>
      </c>
      <c r="P89" t="str">
        <f>VLOOKUP(O89,'[1]CONFIG.'!$C:$D,2,0)</f>
        <v>74 99551147</v>
      </c>
    </row>
    <row r="90" spans="1:16" x14ac:dyDescent="0.3">
      <c r="A90" t="s">
        <v>678</v>
      </c>
      <c r="B90" t="s">
        <v>679</v>
      </c>
      <c r="C90" t="s">
        <v>680</v>
      </c>
      <c r="D90" t="s">
        <v>36</v>
      </c>
      <c r="E90" t="s">
        <v>681</v>
      </c>
      <c r="F90" t="s">
        <v>93</v>
      </c>
      <c r="G90">
        <v>209</v>
      </c>
      <c r="H90">
        <v>500</v>
      </c>
      <c r="I90" s="5" t="s">
        <v>682</v>
      </c>
      <c r="J90" s="5" t="s">
        <v>683</v>
      </c>
      <c r="K90" s="5" t="str">
        <f t="shared" si="2"/>
        <v>https://www.google.com/maps?q=-11.303301, -41.854492</v>
      </c>
      <c r="L90" s="5" t="str">
        <f t="shared" si="3"/>
        <v>Abrir no Maps</v>
      </c>
      <c r="M90" t="s">
        <v>684</v>
      </c>
      <c r="N90" s="5"/>
      <c r="O90" t="str">
        <f>VLOOKUP(G90,'[1]CONFIG.'!$B:$C,2,0)</f>
        <v>IGOR</v>
      </c>
      <c r="P90" t="str">
        <f>VLOOKUP(O90,'[1]CONFIG.'!$C:$D,2,0)</f>
        <v>74 99590346</v>
      </c>
    </row>
    <row r="91" spans="1:16" x14ac:dyDescent="0.3">
      <c r="A91" t="s">
        <v>685</v>
      </c>
      <c r="B91" t="s">
        <v>686</v>
      </c>
      <c r="C91" t="s">
        <v>687</v>
      </c>
      <c r="D91" t="s">
        <v>688</v>
      </c>
      <c r="E91" t="s">
        <v>689</v>
      </c>
      <c r="F91" t="s">
        <v>137</v>
      </c>
      <c r="G91">
        <v>209</v>
      </c>
      <c r="H91">
        <v>500</v>
      </c>
      <c r="I91" s="5" t="s">
        <v>690</v>
      </c>
      <c r="J91" s="5" t="s">
        <v>691</v>
      </c>
      <c r="K91" s="5" t="str">
        <f t="shared" si="2"/>
        <v>https://www.google.com/maps?q=-11.133200, -42.096012</v>
      </c>
      <c r="L91" s="5" t="str">
        <f t="shared" si="3"/>
        <v>Abrir no Maps</v>
      </c>
      <c r="M91" t="s">
        <v>692</v>
      </c>
      <c r="N91" s="5"/>
      <c r="O91" t="str">
        <f>VLOOKUP(G91,'[1]CONFIG.'!$B:$C,2,0)</f>
        <v>IGOR</v>
      </c>
      <c r="P91" t="str">
        <f>VLOOKUP(O91,'[1]CONFIG.'!$C:$D,2,0)</f>
        <v>74 99590346</v>
      </c>
    </row>
    <row r="92" spans="1:16" x14ac:dyDescent="0.3">
      <c r="A92" t="s">
        <v>693</v>
      </c>
      <c r="B92" t="s">
        <v>694</v>
      </c>
      <c r="C92" t="s">
        <v>695</v>
      </c>
      <c r="D92" t="s">
        <v>36</v>
      </c>
      <c r="E92" t="s">
        <v>696</v>
      </c>
      <c r="F92" t="s">
        <v>319</v>
      </c>
      <c r="G92">
        <v>211</v>
      </c>
      <c r="H92">
        <v>500</v>
      </c>
      <c r="I92" s="5" t="s">
        <v>697</v>
      </c>
      <c r="J92" s="5" t="s">
        <v>698</v>
      </c>
      <c r="K92" s="5" t="str">
        <f t="shared" si="2"/>
        <v>https://www.google.com/maps?q=-11.308293, -41.871130</v>
      </c>
      <c r="L92" s="5" t="str">
        <f t="shared" si="3"/>
        <v>Abrir no Maps</v>
      </c>
      <c r="M92" t="s">
        <v>699</v>
      </c>
      <c r="N92" s="5"/>
      <c r="O92" t="str">
        <f>VLOOKUP(G92,'[1]CONFIG.'!$B:$C,2,0)</f>
        <v>DAIANE</v>
      </c>
      <c r="P92" t="str">
        <f>VLOOKUP(O92,'[1]CONFIG.'!$C:$D,2,0)</f>
        <v>74 99298866</v>
      </c>
    </row>
    <row r="93" spans="1:16" x14ac:dyDescent="0.3">
      <c r="A93" t="s">
        <v>700</v>
      </c>
      <c r="B93" t="s">
        <v>701</v>
      </c>
      <c r="C93" t="s">
        <v>702</v>
      </c>
      <c r="D93" t="s">
        <v>36</v>
      </c>
      <c r="E93" t="s">
        <v>703</v>
      </c>
      <c r="F93" t="s">
        <v>217</v>
      </c>
      <c r="G93">
        <v>212</v>
      </c>
      <c r="H93">
        <v>200</v>
      </c>
      <c r="I93" s="5" t="s">
        <v>704</v>
      </c>
      <c r="J93" s="5" t="s">
        <v>705</v>
      </c>
      <c r="K93" s="5" t="str">
        <f t="shared" si="2"/>
        <v>https://www.google.com/maps?q=-11.305818, -41.845940</v>
      </c>
      <c r="L93" s="5" t="str">
        <f t="shared" si="3"/>
        <v>Abrir no Maps</v>
      </c>
      <c r="M93" t="s">
        <v>706</v>
      </c>
      <c r="N93" s="5"/>
      <c r="O93" t="str">
        <f>VLOOKUP(G93,'[1]CONFIG.'!$B:$C,2,0)</f>
        <v>ANDRE</v>
      </c>
      <c r="P93" t="str">
        <f>VLOOKUP(O93,'[1]CONFIG.'!$C:$D,2,0)</f>
        <v>74 99916877</v>
      </c>
    </row>
    <row r="94" spans="1:16" x14ac:dyDescent="0.3">
      <c r="A94" t="s">
        <v>707</v>
      </c>
      <c r="B94" t="s">
        <v>708</v>
      </c>
      <c r="C94" t="s">
        <v>709</v>
      </c>
      <c r="D94" t="s">
        <v>36</v>
      </c>
      <c r="E94" t="s">
        <v>710</v>
      </c>
      <c r="F94" t="s">
        <v>38</v>
      </c>
      <c r="G94">
        <v>210</v>
      </c>
      <c r="H94">
        <v>500</v>
      </c>
      <c r="I94" s="5" t="s">
        <v>711</v>
      </c>
      <c r="J94" s="5" t="s">
        <v>712</v>
      </c>
      <c r="K94" s="5" t="str">
        <f t="shared" si="2"/>
        <v>https://www.google.com/maps?q=-11.303139, -41.865807</v>
      </c>
      <c r="L94" s="5" t="str">
        <f t="shared" si="3"/>
        <v>Abrir no Maps</v>
      </c>
      <c r="M94">
        <v>0</v>
      </c>
      <c r="N94" s="5"/>
      <c r="O94" t="str">
        <f>VLOOKUP(G94,'[1]CONFIG.'!$B:$C,2,0)</f>
        <v>SILAS</v>
      </c>
      <c r="P94" t="str">
        <f>VLOOKUP(O94,'[1]CONFIG.'!$C:$D,2,0)</f>
        <v>74 98041875</v>
      </c>
    </row>
    <row r="95" spans="1:16" x14ac:dyDescent="0.3">
      <c r="A95" t="s">
        <v>713</v>
      </c>
      <c r="B95" t="s">
        <v>714</v>
      </c>
      <c r="C95" t="s">
        <v>715</v>
      </c>
      <c r="D95" t="s">
        <v>36</v>
      </c>
      <c r="E95" t="s">
        <v>716</v>
      </c>
      <c r="F95" t="s">
        <v>366</v>
      </c>
      <c r="G95">
        <v>210</v>
      </c>
      <c r="H95">
        <v>500</v>
      </c>
      <c r="I95" s="5" t="s">
        <v>717</v>
      </c>
      <c r="J95" s="5" t="s">
        <v>718</v>
      </c>
      <c r="K95" s="5" t="str">
        <f t="shared" si="2"/>
        <v>https://www.google.com/maps?q=-11.301568, -41.861065</v>
      </c>
      <c r="L95" s="5" t="str">
        <f t="shared" si="3"/>
        <v>Abrir no Maps</v>
      </c>
      <c r="M95" t="s">
        <v>719</v>
      </c>
      <c r="N95" s="5"/>
      <c r="O95" t="str">
        <f>VLOOKUP(G95,'[1]CONFIG.'!$B:$C,2,0)</f>
        <v>SILAS</v>
      </c>
      <c r="P95" t="str">
        <f>VLOOKUP(O95,'[1]CONFIG.'!$C:$D,2,0)</f>
        <v>74 98041875</v>
      </c>
    </row>
    <row r="96" spans="1:16" x14ac:dyDescent="0.3">
      <c r="A96" t="s">
        <v>720</v>
      </c>
      <c r="B96" t="s">
        <v>721</v>
      </c>
      <c r="C96" t="s">
        <v>722</v>
      </c>
      <c r="D96" t="s">
        <v>36</v>
      </c>
      <c r="E96" t="s">
        <v>723</v>
      </c>
      <c r="F96" t="s">
        <v>724</v>
      </c>
      <c r="G96">
        <v>203</v>
      </c>
      <c r="H96">
        <v>200</v>
      </c>
      <c r="I96" s="5" t="s">
        <v>725</v>
      </c>
      <c r="J96" s="5" t="s">
        <v>726</v>
      </c>
      <c r="K96" s="5" t="str">
        <f t="shared" si="2"/>
        <v>https://www.google.com/maps?q=-11.304310, -41.865770</v>
      </c>
      <c r="L96" s="5" t="str">
        <f t="shared" si="3"/>
        <v>Abrir no Maps</v>
      </c>
      <c r="M96" t="s">
        <v>727</v>
      </c>
      <c r="N96" s="5"/>
      <c r="O96" t="str">
        <f>VLOOKUP(G96,'[1]CONFIG.'!$B:$C,2,0)</f>
        <v>ALEXANDRE</v>
      </c>
      <c r="P96" t="str">
        <f>VLOOKUP(O96,'[1]CONFIG.'!$C:$D,2,0)</f>
        <v>74 99653478</v>
      </c>
    </row>
    <row r="97" spans="1:16" x14ac:dyDescent="0.3">
      <c r="A97" t="s">
        <v>728</v>
      </c>
      <c r="B97" t="s">
        <v>729</v>
      </c>
      <c r="C97" t="s">
        <v>730</v>
      </c>
      <c r="D97" t="s">
        <v>36</v>
      </c>
      <c r="E97" t="s">
        <v>731</v>
      </c>
      <c r="F97" t="s">
        <v>46</v>
      </c>
      <c r="G97">
        <v>211</v>
      </c>
      <c r="H97">
        <v>500</v>
      </c>
      <c r="I97" s="5" t="s">
        <v>732</v>
      </c>
      <c r="J97" s="5" t="s">
        <v>733</v>
      </c>
      <c r="K97" s="5" t="str">
        <f t="shared" si="2"/>
        <v>https://www.google.com/maps?q=-11.240111, -41.755154</v>
      </c>
      <c r="L97" s="5" t="str">
        <f t="shared" si="3"/>
        <v>Abrir no Maps</v>
      </c>
      <c r="M97" t="s">
        <v>734</v>
      </c>
      <c r="N97" s="5"/>
      <c r="O97" t="str">
        <f>VLOOKUP(G97,'[1]CONFIG.'!$B:$C,2,0)</f>
        <v>DAIANE</v>
      </c>
      <c r="P97" t="str">
        <f>VLOOKUP(O97,'[1]CONFIG.'!$C:$D,2,0)</f>
        <v>74 99298866</v>
      </c>
    </row>
    <row r="98" spans="1:16" x14ac:dyDescent="0.3">
      <c r="A98" t="s">
        <v>735</v>
      </c>
      <c r="B98" t="s">
        <v>736</v>
      </c>
      <c r="C98" t="s">
        <v>737</v>
      </c>
      <c r="D98" t="s">
        <v>36</v>
      </c>
      <c r="E98" t="s">
        <v>738</v>
      </c>
      <c r="F98" t="s">
        <v>167</v>
      </c>
      <c r="G98">
        <v>210</v>
      </c>
      <c r="H98">
        <v>500</v>
      </c>
      <c r="I98" s="5" t="s">
        <v>739</v>
      </c>
      <c r="J98" s="5" t="s">
        <v>740</v>
      </c>
      <c r="K98" s="5" t="str">
        <f t="shared" si="2"/>
        <v>https://www.google.com/maps?q=-11.303224, -41.857340</v>
      </c>
      <c r="L98" s="5" t="str">
        <f t="shared" si="3"/>
        <v>Abrir no Maps</v>
      </c>
      <c r="M98" t="s">
        <v>741</v>
      </c>
      <c r="N98" s="5"/>
      <c r="O98" t="str">
        <f>VLOOKUP(G98,'[1]CONFIG.'!$B:$C,2,0)</f>
        <v>SILAS</v>
      </c>
      <c r="P98" t="str">
        <f>VLOOKUP(O98,'[1]CONFIG.'!$C:$D,2,0)</f>
        <v>74 98041875</v>
      </c>
    </row>
    <row r="99" spans="1:16" x14ac:dyDescent="0.3">
      <c r="A99" t="s">
        <v>742</v>
      </c>
      <c r="B99" t="s">
        <v>743</v>
      </c>
      <c r="C99" t="s">
        <v>744</v>
      </c>
      <c r="D99" t="s">
        <v>36</v>
      </c>
      <c r="E99" t="s">
        <v>745</v>
      </c>
      <c r="F99" t="s">
        <v>108</v>
      </c>
      <c r="G99">
        <v>207</v>
      </c>
      <c r="H99">
        <v>500</v>
      </c>
      <c r="I99" s="5" t="s">
        <v>746</v>
      </c>
      <c r="J99" s="5" t="s">
        <v>747</v>
      </c>
      <c r="K99" s="5" t="str">
        <f t="shared" si="2"/>
        <v>https://www.google.com/maps?q=-11.313052, -41.857136</v>
      </c>
      <c r="L99" s="5" t="str">
        <f t="shared" si="3"/>
        <v>Abrir no Maps</v>
      </c>
      <c r="M99" t="s">
        <v>748</v>
      </c>
      <c r="N99" s="5"/>
      <c r="O99" t="str">
        <f>VLOOKUP(G99,'[1]CONFIG.'!$B:$C,2,0)</f>
        <v>HIAGO</v>
      </c>
      <c r="P99" t="str">
        <f>VLOOKUP(O99,'[1]CONFIG.'!$C:$D,2,0)</f>
        <v>74 99872571</v>
      </c>
    </row>
    <row r="100" spans="1:16" x14ac:dyDescent="0.3">
      <c r="A100" t="s">
        <v>749</v>
      </c>
      <c r="B100" t="s">
        <v>750</v>
      </c>
      <c r="C100" t="s">
        <v>751</v>
      </c>
      <c r="D100" t="s">
        <v>36</v>
      </c>
      <c r="E100" t="s">
        <v>752</v>
      </c>
      <c r="F100" t="s">
        <v>217</v>
      </c>
      <c r="G100">
        <v>212</v>
      </c>
      <c r="H100">
        <v>200</v>
      </c>
      <c r="I100" s="5" t="s">
        <v>753</v>
      </c>
      <c r="J100" s="5" t="s">
        <v>754</v>
      </c>
      <c r="K100" s="5" t="str">
        <f t="shared" si="2"/>
        <v>https://www.google.com/maps?q=-11.304562, -41.843500</v>
      </c>
      <c r="L100" s="5" t="str">
        <f t="shared" si="3"/>
        <v>Abrir no Maps</v>
      </c>
      <c r="M100" t="s">
        <v>755</v>
      </c>
      <c r="N100" s="5"/>
      <c r="O100" t="str">
        <f>VLOOKUP(G100,'[1]CONFIG.'!$B:$C,2,0)</f>
        <v>ANDRE</v>
      </c>
      <c r="P100" t="str">
        <f>VLOOKUP(O100,'[1]CONFIG.'!$C:$D,2,0)</f>
        <v>74 99916877</v>
      </c>
    </row>
    <row r="101" spans="1:16" x14ac:dyDescent="0.3">
      <c r="A101" t="s">
        <v>756</v>
      </c>
      <c r="B101" t="s">
        <v>757</v>
      </c>
      <c r="C101" t="s">
        <v>758</v>
      </c>
      <c r="D101" t="s">
        <v>36</v>
      </c>
      <c r="E101" t="s">
        <v>759</v>
      </c>
      <c r="F101" t="s">
        <v>108</v>
      </c>
      <c r="G101">
        <v>212</v>
      </c>
      <c r="H101">
        <v>200</v>
      </c>
      <c r="I101" s="5" t="s">
        <v>760</v>
      </c>
      <c r="J101" s="5" t="s">
        <v>761</v>
      </c>
      <c r="K101" s="5" t="str">
        <f t="shared" si="2"/>
        <v>https://www.google.com/maps?q=-11.315493, -41.862547</v>
      </c>
      <c r="L101" s="5" t="str">
        <f t="shared" si="3"/>
        <v>Abrir no Maps</v>
      </c>
      <c r="M101" t="s">
        <v>762</v>
      </c>
      <c r="N101" s="5"/>
      <c r="O101" t="str">
        <f>VLOOKUP(G101,'[1]CONFIG.'!$B:$C,2,0)</f>
        <v>ANDRE</v>
      </c>
      <c r="P101" t="str">
        <f>VLOOKUP(O101,'[1]CONFIG.'!$C:$D,2,0)</f>
        <v>74 99916877</v>
      </c>
    </row>
    <row r="102" spans="1:16" x14ac:dyDescent="0.3">
      <c r="A102" t="s">
        <v>763</v>
      </c>
      <c r="B102" t="s">
        <v>764</v>
      </c>
      <c r="C102" t="s">
        <v>765</v>
      </c>
      <c r="D102" t="s">
        <v>36</v>
      </c>
      <c r="E102" t="s">
        <v>766</v>
      </c>
      <c r="F102" t="s">
        <v>38</v>
      </c>
      <c r="G102">
        <v>212</v>
      </c>
      <c r="H102">
        <v>200</v>
      </c>
      <c r="I102" s="5" t="s">
        <v>767</v>
      </c>
      <c r="J102" s="5" t="s">
        <v>768</v>
      </c>
      <c r="K102" s="5" t="str">
        <f t="shared" si="2"/>
        <v>https://www.google.com/maps?q=-11.304577, -41.856583</v>
      </c>
      <c r="L102" s="5" t="str">
        <f t="shared" si="3"/>
        <v>Abrir no Maps</v>
      </c>
      <c r="M102" t="s">
        <v>769</v>
      </c>
      <c r="N102" s="5"/>
      <c r="O102" t="str">
        <f>VLOOKUP(G102,'[1]CONFIG.'!$B:$C,2,0)</f>
        <v>ANDRE</v>
      </c>
      <c r="P102" t="str">
        <f>VLOOKUP(O102,'[1]CONFIG.'!$C:$D,2,0)</f>
        <v>74 99916877</v>
      </c>
    </row>
    <row r="103" spans="1:16" x14ac:dyDescent="0.3">
      <c r="A103" t="s">
        <v>770</v>
      </c>
      <c r="B103" t="s">
        <v>771</v>
      </c>
      <c r="C103" t="s">
        <v>772</v>
      </c>
      <c r="D103" t="s">
        <v>36</v>
      </c>
      <c r="E103" t="s">
        <v>773</v>
      </c>
      <c r="F103" t="s">
        <v>774</v>
      </c>
      <c r="G103">
        <v>207</v>
      </c>
      <c r="H103">
        <v>500</v>
      </c>
      <c r="I103" s="5" t="s">
        <v>775</v>
      </c>
      <c r="J103" s="5" t="s">
        <v>776</v>
      </c>
      <c r="K103" s="5" t="str">
        <f t="shared" si="2"/>
        <v>https://www.google.com/maps?q=-11.310145, -41.860313</v>
      </c>
      <c r="L103" s="5" t="str">
        <f t="shared" si="3"/>
        <v>Abrir no Maps</v>
      </c>
      <c r="M103" t="s">
        <v>777</v>
      </c>
      <c r="N103" s="5"/>
      <c r="O103" t="str">
        <f>VLOOKUP(G103,'[1]CONFIG.'!$B:$C,2,0)</f>
        <v>HIAGO</v>
      </c>
      <c r="P103" t="str">
        <f>VLOOKUP(O103,'[1]CONFIG.'!$C:$D,2,0)</f>
        <v>74 99872571</v>
      </c>
    </row>
    <row r="104" spans="1:16" x14ac:dyDescent="0.3">
      <c r="A104" t="s">
        <v>778</v>
      </c>
      <c r="B104" t="s">
        <v>779</v>
      </c>
      <c r="C104" t="s">
        <v>780</v>
      </c>
      <c r="D104" t="s">
        <v>36</v>
      </c>
      <c r="E104" t="s">
        <v>781</v>
      </c>
      <c r="F104" t="s">
        <v>38</v>
      </c>
      <c r="G104">
        <v>212</v>
      </c>
      <c r="H104">
        <v>200</v>
      </c>
      <c r="I104" s="5" t="s">
        <v>782</v>
      </c>
      <c r="J104" s="5" t="s">
        <v>783</v>
      </c>
      <c r="K104" s="5" t="str">
        <f t="shared" si="2"/>
        <v>https://www.google.com/maps?q=-11.305546, -41.850178</v>
      </c>
      <c r="L104" s="5" t="str">
        <f t="shared" si="3"/>
        <v>Abrir no Maps</v>
      </c>
      <c r="M104" t="s">
        <v>784</v>
      </c>
      <c r="N104" s="5"/>
      <c r="O104" t="str">
        <f>VLOOKUP(G104,'[1]CONFIG.'!$B:$C,2,0)</f>
        <v>ANDRE</v>
      </c>
      <c r="P104" t="str">
        <f>VLOOKUP(O104,'[1]CONFIG.'!$C:$D,2,0)</f>
        <v>74 99916877</v>
      </c>
    </row>
    <row r="105" spans="1:16" x14ac:dyDescent="0.3">
      <c r="A105" t="s">
        <v>785</v>
      </c>
      <c r="B105" t="s">
        <v>786</v>
      </c>
      <c r="C105" t="s">
        <v>787</v>
      </c>
      <c r="D105" t="s">
        <v>36</v>
      </c>
      <c r="E105" t="s">
        <v>788</v>
      </c>
      <c r="F105" t="s">
        <v>633</v>
      </c>
      <c r="G105">
        <v>203</v>
      </c>
      <c r="H105">
        <v>200</v>
      </c>
      <c r="I105" s="5" t="s">
        <v>789</v>
      </c>
      <c r="J105" s="5" t="s">
        <v>790</v>
      </c>
      <c r="K105" s="5" t="str">
        <f t="shared" si="2"/>
        <v>https://www.google.com/maps?q=-11.301300, -41.845802</v>
      </c>
      <c r="L105" s="5" t="str">
        <f t="shared" si="3"/>
        <v>Abrir no Maps</v>
      </c>
      <c r="M105" t="s">
        <v>791</v>
      </c>
      <c r="N105" s="5"/>
      <c r="O105" t="str">
        <f>VLOOKUP(G105,'[1]CONFIG.'!$B:$C,2,0)</f>
        <v>ALEXANDRE</v>
      </c>
      <c r="P105" t="str">
        <f>VLOOKUP(O105,'[1]CONFIG.'!$C:$D,2,0)</f>
        <v>74 99653478</v>
      </c>
    </row>
    <row r="106" spans="1:16" x14ac:dyDescent="0.3">
      <c r="A106" t="s">
        <v>792</v>
      </c>
      <c r="B106" t="s">
        <v>793</v>
      </c>
      <c r="C106" t="s">
        <v>794</v>
      </c>
      <c r="D106" t="s">
        <v>36</v>
      </c>
      <c r="E106" t="s">
        <v>795</v>
      </c>
      <c r="F106" t="s">
        <v>319</v>
      </c>
      <c r="G106">
        <v>211</v>
      </c>
      <c r="H106">
        <v>500</v>
      </c>
      <c r="I106" s="5" t="s">
        <v>796</v>
      </c>
      <c r="J106" s="5" t="s">
        <v>797</v>
      </c>
      <c r="K106" s="5" t="str">
        <f t="shared" si="2"/>
        <v>https://www.google.com/maps?q=-11.306907, -41.870853</v>
      </c>
      <c r="L106" s="5" t="str">
        <f t="shared" si="3"/>
        <v>Abrir no Maps</v>
      </c>
      <c r="M106" t="s">
        <v>798</v>
      </c>
      <c r="N106" s="5"/>
      <c r="O106" t="str">
        <f>VLOOKUP(G106,'[1]CONFIG.'!$B:$C,2,0)</f>
        <v>DAIANE</v>
      </c>
      <c r="P106" t="str">
        <f>VLOOKUP(O106,'[1]CONFIG.'!$C:$D,2,0)</f>
        <v>74 99298866</v>
      </c>
    </row>
    <row r="107" spans="1:16" x14ac:dyDescent="0.3">
      <c r="A107" t="s">
        <v>799</v>
      </c>
      <c r="B107" t="s">
        <v>800</v>
      </c>
      <c r="C107" t="s">
        <v>801</v>
      </c>
      <c r="D107" t="s">
        <v>36</v>
      </c>
      <c r="E107" t="s">
        <v>802</v>
      </c>
      <c r="F107" t="s">
        <v>38</v>
      </c>
      <c r="G107">
        <v>212</v>
      </c>
      <c r="H107">
        <v>200</v>
      </c>
      <c r="I107" s="5" t="s">
        <v>803</v>
      </c>
      <c r="J107" s="5" t="s">
        <v>804</v>
      </c>
      <c r="K107" s="5" t="str">
        <f t="shared" si="2"/>
        <v>https://www.google.com/maps?q=-11.304686, -41.849186</v>
      </c>
      <c r="L107" s="5" t="str">
        <f t="shared" si="3"/>
        <v>Abrir no Maps</v>
      </c>
      <c r="M107" t="s">
        <v>805</v>
      </c>
      <c r="N107" s="5"/>
      <c r="O107" t="str">
        <f>VLOOKUP(G107,'[1]CONFIG.'!$B:$C,2,0)</f>
        <v>ANDRE</v>
      </c>
      <c r="P107" t="str">
        <f>VLOOKUP(O107,'[1]CONFIG.'!$C:$D,2,0)</f>
        <v>74 99916877</v>
      </c>
    </row>
    <row r="108" spans="1:16" x14ac:dyDescent="0.3">
      <c r="A108" t="s">
        <v>806</v>
      </c>
      <c r="B108" t="s">
        <v>807</v>
      </c>
      <c r="C108" t="s">
        <v>808</v>
      </c>
      <c r="D108" t="s">
        <v>36</v>
      </c>
      <c r="E108" t="s">
        <v>809</v>
      </c>
      <c r="F108" t="s">
        <v>327</v>
      </c>
      <c r="G108">
        <v>203</v>
      </c>
      <c r="H108">
        <v>200</v>
      </c>
      <c r="I108" s="5" t="s">
        <v>810</v>
      </c>
      <c r="J108" s="5" t="s">
        <v>811</v>
      </c>
      <c r="K108" s="5" t="str">
        <f t="shared" si="2"/>
        <v>https://www.google.com/maps?q=-11.301786, -41.844997</v>
      </c>
      <c r="L108" s="5" t="str">
        <f t="shared" si="3"/>
        <v>Abrir no Maps</v>
      </c>
      <c r="M108">
        <v>0</v>
      </c>
      <c r="N108" s="5"/>
      <c r="O108" t="str">
        <f>VLOOKUP(G108,'[1]CONFIG.'!$B:$C,2,0)</f>
        <v>ALEXANDRE</v>
      </c>
      <c r="P108" t="str">
        <f>VLOOKUP(O108,'[1]CONFIG.'!$C:$D,2,0)</f>
        <v>74 99653478</v>
      </c>
    </row>
    <row r="109" spans="1:16" x14ac:dyDescent="0.3">
      <c r="A109" t="s">
        <v>812</v>
      </c>
      <c r="B109" t="s">
        <v>813</v>
      </c>
      <c r="C109" t="s">
        <v>814</v>
      </c>
      <c r="D109" t="s">
        <v>36</v>
      </c>
      <c r="E109" t="s">
        <v>815</v>
      </c>
      <c r="F109" t="s">
        <v>217</v>
      </c>
      <c r="G109">
        <v>209</v>
      </c>
      <c r="H109">
        <v>500</v>
      </c>
      <c r="I109" s="5" t="s">
        <v>816</v>
      </c>
      <c r="J109" s="5" t="s">
        <v>817</v>
      </c>
      <c r="K109" s="5" t="str">
        <f t="shared" si="2"/>
        <v>https://www.google.com/maps?q=-11.306764, -41.845910</v>
      </c>
      <c r="L109" s="5" t="str">
        <f t="shared" si="3"/>
        <v>Abrir no Maps</v>
      </c>
      <c r="M109" t="s">
        <v>818</v>
      </c>
      <c r="N109" s="5"/>
      <c r="O109" t="str">
        <f>VLOOKUP(G109,'[1]CONFIG.'!$B:$C,2,0)</f>
        <v>IGOR</v>
      </c>
      <c r="P109" t="str">
        <f>VLOOKUP(O109,'[1]CONFIG.'!$C:$D,2,0)</f>
        <v>74 99590346</v>
      </c>
    </row>
    <row r="110" spans="1:16" x14ac:dyDescent="0.3">
      <c r="A110" t="s">
        <v>819</v>
      </c>
      <c r="B110" t="s">
        <v>820</v>
      </c>
      <c r="C110" t="s">
        <v>821</v>
      </c>
      <c r="D110" t="s">
        <v>36</v>
      </c>
      <c r="E110" t="s">
        <v>822</v>
      </c>
      <c r="F110" t="s">
        <v>77</v>
      </c>
      <c r="G110">
        <v>204</v>
      </c>
      <c r="H110">
        <v>500</v>
      </c>
      <c r="I110" s="5" t="s">
        <v>823</v>
      </c>
      <c r="J110" s="5" t="s">
        <v>824</v>
      </c>
      <c r="K110" s="5" t="str">
        <f t="shared" si="2"/>
        <v>https://www.google.com/maps?q=-11.298590, -41.854090</v>
      </c>
      <c r="L110" s="5" t="str">
        <f t="shared" si="3"/>
        <v>Abrir no Maps</v>
      </c>
      <c r="M110" t="s">
        <v>825</v>
      </c>
      <c r="N110" s="5"/>
      <c r="O110" t="str">
        <f>VLOOKUP(G110,'[1]CONFIG.'!$B:$C,2,0)</f>
        <v>EVA</v>
      </c>
      <c r="P110" t="str">
        <f>VLOOKUP(O110,'[1]CONFIG.'!$C:$D,2,0)</f>
        <v>74 98046078</v>
      </c>
    </row>
    <row r="111" spans="1:16" x14ac:dyDescent="0.3">
      <c r="A111" t="s">
        <v>826</v>
      </c>
      <c r="B111" t="s">
        <v>827</v>
      </c>
      <c r="C111" t="s">
        <v>828</v>
      </c>
      <c r="D111" t="s">
        <v>36</v>
      </c>
      <c r="E111" t="s">
        <v>829</v>
      </c>
      <c r="F111" t="s">
        <v>830</v>
      </c>
      <c r="G111">
        <v>210</v>
      </c>
      <c r="H111">
        <v>500</v>
      </c>
      <c r="I111" s="5" t="s">
        <v>831</v>
      </c>
      <c r="J111" s="5" t="s">
        <v>832</v>
      </c>
      <c r="K111" s="5" t="str">
        <f t="shared" si="2"/>
        <v>https://www.google.com/maps?q=-11.298126, -41.864380</v>
      </c>
      <c r="L111" s="5" t="str">
        <f t="shared" si="3"/>
        <v>Abrir no Maps</v>
      </c>
      <c r="M111" t="s">
        <v>833</v>
      </c>
      <c r="N111" s="5"/>
      <c r="O111" t="str">
        <f>VLOOKUP(G111,'[1]CONFIG.'!$B:$C,2,0)</f>
        <v>SILAS</v>
      </c>
      <c r="P111" t="str">
        <f>VLOOKUP(O111,'[1]CONFIG.'!$C:$D,2,0)</f>
        <v>74 98041875</v>
      </c>
    </row>
    <row r="112" spans="1:16" x14ac:dyDescent="0.3">
      <c r="A112" t="s">
        <v>834</v>
      </c>
      <c r="B112" t="s">
        <v>835</v>
      </c>
      <c r="C112" t="s">
        <v>836</v>
      </c>
      <c r="D112" t="s">
        <v>36</v>
      </c>
      <c r="E112" t="s">
        <v>837</v>
      </c>
      <c r="F112" t="s">
        <v>838</v>
      </c>
      <c r="G112">
        <v>210</v>
      </c>
      <c r="H112">
        <v>500</v>
      </c>
      <c r="I112" s="5" t="s">
        <v>839</v>
      </c>
      <c r="J112" s="5" t="s">
        <v>840</v>
      </c>
      <c r="K112" s="5" t="str">
        <f t="shared" si="2"/>
        <v>https://www.google.com/maps?q=-11.320000, -41.921390</v>
      </c>
      <c r="L112" s="5" t="str">
        <f t="shared" si="3"/>
        <v>Abrir no Maps</v>
      </c>
      <c r="M112" t="s">
        <v>841</v>
      </c>
      <c r="N112" s="5"/>
      <c r="O112" t="str">
        <f>VLOOKUP(G112,'[1]CONFIG.'!$B:$C,2,0)</f>
        <v>SILAS</v>
      </c>
      <c r="P112" t="str">
        <f>VLOOKUP(O112,'[1]CONFIG.'!$C:$D,2,0)</f>
        <v>74 98041875</v>
      </c>
    </row>
    <row r="113" spans="1:16" x14ac:dyDescent="0.3">
      <c r="A113" t="s">
        <v>842</v>
      </c>
      <c r="B113" t="s">
        <v>843</v>
      </c>
      <c r="C113" t="s">
        <v>844</v>
      </c>
      <c r="D113" t="s">
        <v>612</v>
      </c>
      <c r="E113" t="s">
        <v>845</v>
      </c>
      <c r="F113" t="s">
        <v>137</v>
      </c>
      <c r="G113">
        <v>210</v>
      </c>
      <c r="H113">
        <v>500</v>
      </c>
      <c r="I113" s="5" t="s">
        <v>846</v>
      </c>
      <c r="J113" s="5" t="s">
        <v>847</v>
      </c>
      <c r="K113" s="5" t="str">
        <f t="shared" si="2"/>
        <v>https://www.google.com/maps?q=-11.295930, -41.987087</v>
      </c>
      <c r="L113" s="5" t="str">
        <f t="shared" si="3"/>
        <v>Abrir no Maps</v>
      </c>
      <c r="M113" t="s">
        <v>848</v>
      </c>
      <c r="N113" s="5"/>
      <c r="O113" t="str">
        <f>VLOOKUP(G113,'[1]CONFIG.'!$B:$C,2,0)</f>
        <v>SILAS</v>
      </c>
      <c r="P113" t="str">
        <f>VLOOKUP(O113,'[1]CONFIG.'!$C:$D,2,0)</f>
        <v>74 98041875</v>
      </c>
    </row>
    <row r="114" spans="1:16" x14ac:dyDescent="0.3">
      <c r="A114" t="s">
        <v>849</v>
      </c>
      <c r="B114" t="s">
        <v>850</v>
      </c>
      <c r="C114" t="s">
        <v>851</v>
      </c>
      <c r="D114" t="s">
        <v>36</v>
      </c>
      <c r="E114" t="s">
        <v>852</v>
      </c>
      <c r="F114" t="s">
        <v>853</v>
      </c>
      <c r="G114">
        <v>203</v>
      </c>
      <c r="H114">
        <v>200</v>
      </c>
      <c r="I114" s="5" t="s">
        <v>854</v>
      </c>
      <c r="J114" s="5" t="s">
        <v>855</v>
      </c>
      <c r="K114" s="5" t="str">
        <f t="shared" si="2"/>
        <v>https://www.google.com/maps?q=-11.307995, -41.848392</v>
      </c>
      <c r="L114" s="5" t="str">
        <f t="shared" si="3"/>
        <v>Abrir no Maps</v>
      </c>
      <c r="M114" t="s">
        <v>856</v>
      </c>
      <c r="N114" s="5"/>
      <c r="O114" t="str">
        <f>VLOOKUP(G114,'[1]CONFIG.'!$B:$C,2,0)</f>
        <v>ALEXANDRE</v>
      </c>
      <c r="P114" t="str">
        <f>VLOOKUP(O114,'[1]CONFIG.'!$C:$D,2,0)</f>
        <v>74 99653478</v>
      </c>
    </row>
    <row r="115" spans="1:16" x14ac:dyDescent="0.3">
      <c r="A115" t="s">
        <v>857</v>
      </c>
      <c r="B115" t="s">
        <v>858</v>
      </c>
      <c r="C115" t="s">
        <v>859</v>
      </c>
      <c r="D115" t="s">
        <v>36</v>
      </c>
      <c r="E115" t="s">
        <v>860</v>
      </c>
      <c r="F115" t="s">
        <v>137</v>
      </c>
      <c r="G115">
        <v>210</v>
      </c>
      <c r="H115">
        <v>500</v>
      </c>
      <c r="I115" s="5" t="s">
        <v>861</v>
      </c>
      <c r="J115" s="5" t="s">
        <v>862</v>
      </c>
      <c r="K115" s="5" t="str">
        <f t="shared" si="2"/>
        <v>https://www.google.com/maps?q=-11.303335, -41.851585</v>
      </c>
      <c r="L115" s="5" t="str">
        <f t="shared" si="3"/>
        <v>Abrir no Maps</v>
      </c>
      <c r="M115" t="s">
        <v>863</v>
      </c>
      <c r="N115" s="5"/>
      <c r="O115" t="str">
        <f>VLOOKUP(G115,'[1]CONFIG.'!$B:$C,2,0)</f>
        <v>SILAS</v>
      </c>
      <c r="P115" t="str">
        <f>VLOOKUP(O115,'[1]CONFIG.'!$C:$D,2,0)</f>
        <v>74 98041875</v>
      </c>
    </row>
    <row r="116" spans="1:16" x14ac:dyDescent="0.3">
      <c r="A116" t="s">
        <v>864</v>
      </c>
      <c r="B116" t="s">
        <v>865</v>
      </c>
      <c r="C116" t="s">
        <v>866</v>
      </c>
      <c r="D116" t="s">
        <v>36</v>
      </c>
      <c r="E116" t="s">
        <v>867</v>
      </c>
      <c r="F116" t="s">
        <v>217</v>
      </c>
      <c r="G116">
        <v>203</v>
      </c>
      <c r="H116">
        <v>200</v>
      </c>
      <c r="I116" s="5" t="s">
        <v>868</v>
      </c>
      <c r="J116" s="5" t="s">
        <v>869</v>
      </c>
      <c r="K116" s="5" t="str">
        <f t="shared" si="2"/>
        <v>https://www.google.com/maps?q=-11.306858, -41.846466</v>
      </c>
      <c r="L116" s="5" t="str">
        <f t="shared" si="3"/>
        <v>Abrir no Maps</v>
      </c>
      <c r="M116" t="s">
        <v>870</v>
      </c>
      <c r="N116" s="5"/>
      <c r="O116" t="str">
        <f>VLOOKUP(G116,'[1]CONFIG.'!$B:$C,2,0)</f>
        <v>ALEXANDRE</v>
      </c>
      <c r="P116" t="str">
        <f>VLOOKUP(O116,'[1]CONFIG.'!$C:$D,2,0)</f>
        <v>74 99653478</v>
      </c>
    </row>
    <row r="117" spans="1:16" x14ac:dyDescent="0.3">
      <c r="A117" t="s">
        <v>871</v>
      </c>
      <c r="B117" t="s">
        <v>872</v>
      </c>
      <c r="C117" t="s">
        <v>873</v>
      </c>
      <c r="D117" t="s">
        <v>36</v>
      </c>
      <c r="E117" t="s">
        <v>874</v>
      </c>
      <c r="F117" t="s">
        <v>137</v>
      </c>
      <c r="G117">
        <v>203</v>
      </c>
      <c r="H117">
        <v>200</v>
      </c>
      <c r="I117" s="5" t="s">
        <v>875</v>
      </c>
      <c r="J117" s="5" t="s">
        <v>876</v>
      </c>
      <c r="K117" s="5" t="str">
        <f t="shared" si="2"/>
        <v>https://www.google.com/maps?q=-11.300649, -41.860977</v>
      </c>
      <c r="L117" s="5" t="str">
        <f t="shared" si="3"/>
        <v>Abrir no Maps</v>
      </c>
      <c r="M117" t="s">
        <v>877</v>
      </c>
      <c r="N117" s="5"/>
      <c r="O117" t="str">
        <f>VLOOKUP(G117,'[1]CONFIG.'!$B:$C,2,0)</f>
        <v>ALEXANDRE</v>
      </c>
      <c r="P117" t="str">
        <f>VLOOKUP(O117,'[1]CONFIG.'!$C:$D,2,0)</f>
        <v>74 99653478</v>
      </c>
    </row>
    <row r="118" spans="1:16" x14ac:dyDescent="0.3">
      <c r="A118" t="s">
        <v>878</v>
      </c>
      <c r="B118" t="s">
        <v>879</v>
      </c>
      <c r="C118" t="s">
        <v>880</v>
      </c>
      <c r="D118" t="s">
        <v>36</v>
      </c>
      <c r="E118" t="s">
        <v>881</v>
      </c>
      <c r="F118" t="s">
        <v>38</v>
      </c>
      <c r="G118">
        <v>209</v>
      </c>
      <c r="H118">
        <v>500</v>
      </c>
      <c r="I118" s="5" t="s">
        <v>882</v>
      </c>
      <c r="J118" s="5" t="s">
        <v>883</v>
      </c>
      <c r="K118" s="5" t="str">
        <f t="shared" si="2"/>
        <v>https://www.google.com/maps?q=-11.302490, -41.854120</v>
      </c>
      <c r="L118" s="5" t="str">
        <f t="shared" si="3"/>
        <v>Abrir no Maps</v>
      </c>
      <c r="M118" t="s">
        <v>884</v>
      </c>
      <c r="N118" s="5"/>
      <c r="O118" t="str">
        <f>VLOOKUP(G118,'[1]CONFIG.'!$B:$C,2,0)</f>
        <v>IGOR</v>
      </c>
      <c r="P118" t="str">
        <f>VLOOKUP(O118,'[1]CONFIG.'!$C:$D,2,0)</f>
        <v>74 99590346</v>
      </c>
    </row>
    <row r="119" spans="1:16" x14ac:dyDescent="0.3">
      <c r="A119" t="s">
        <v>885</v>
      </c>
      <c r="B119" t="s">
        <v>886</v>
      </c>
      <c r="C119" t="s">
        <v>887</v>
      </c>
      <c r="D119" t="s">
        <v>36</v>
      </c>
      <c r="E119" t="s">
        <v>888</v>
      </c>
      <c r="F119" t="s">
        <v>889</v>
      </c>
      <c r="G119">
        <v>210</v>
      </c>
      <c r="H119">
        <v>500</v>
      </c>
      <c r="I119" s="5" t="s">
        <v>890</v>
      </c>
      <c r="J119" s="5" t="s">
        <v>891</v>
      </c>
      <c r="K119" s="5" t="str">
        <f t="shared" si="2"/>
        <v>https://www.google.com/maps?q=-11.296603, -41.865025</v>
      </c>
      <c r="L119" s="5" t="str">
        <f t="shared" si="3"/>
        <v>Abrir no Maps</v>
      </c>
      <c r="M119" t="s">
        <v>892</v>
      </c>
      <c r="N119" s="5"/>
      <c r="O119" t="str">
        <f>VLOOKUP(G119,'[1]CONFIG.'!$B:$C,2,0)</f>
        <v>SILAS</v>
      </c>
      <c r="P119" t="str">
        <f>VLOOKUP(O119,'[1]CONFIG.'!$C:$D,2,0)</f>
        <v>74 98041875</v>
      </c>
    </row>
    <row r="120" spans="1:16" x14ac:dyDescent="0.3">
      <c r="A120" t="s">
        <v>893</v>
      </c>
      <c r="B120" t="s">
        <v>894</v>
      </c>
      <c r="C120" t="s">
        <v>895</v>
      </c>
      <c r="D120" t="s">
        <v>36</v>
      </c>
      <c r="E120" t="s">
        <v>896</v>
      </c>
      <c r="F120" t="s">
        <v>46</v>
      </c>
      <c r="G120">
        <v>203</v>
      </c>
      <c r="H120">
        <v>200</v>
      </c>
      <c r="I120" s="5" t="s">
        <v>897</v>
      </c>
      <c r="J120" s="5" t="s">
        <v>898</v>
      </c>
      <c r="K120" s="5" t="str">
        <f t="shared" si="2"/>
        <v>https://www.google.com/maps?q=-11.237532, -41.754154</v>
      </c>
      <c r="L120" s="5" t="str">
        <f t="shared" si="3"/>
        <v>Abrir no Maps</v>
      </c>
      <c r="M120" t="s">
        <v>899</v>
      </c>
      <c r="N120" s="5"/>
      <c r="O120" t="str">
        <f>VLOOKUP(G120,'[1]CONFIG.'!$B:$C,2,0)</f>
        <v>ALEXANDRE</v>
      </c>
      <c r="P120" t="str">
        <f>VLOOKUP(O120,'[1]CONFIG.'!$C:$D,2,0)</f>
        <v>74 99653478</v>
      </c>
    </row>
    <row r="121" spans="1:16" x14ac:dyDescent="0.3">
      <c r="A121" t="s">
        <v>900</v>
      </c>
      <c r="B121" t="s">
        <v>820</v>
      </c>
      <c r="C121" t="s">
        <v>901</v>
      </c>
      <c r="D121" t="s">
        <v>36</v>
      </c>
      <c r="E121" t="s">
        <v>902</v>
      </c>
      <c r="F121" t="s">
        <v>93</v>
      </c>
      <c r="G121">
        <v>209</v>
      </c>
      <c r="H121">
        <v>500</v>
      </c>
      <c r="I121" s="5" t="s">
        <v>903</v>
      </c>
      <c r="J121" s="5" t="s">
        <v>904</v>
      </c>
      <c r="K121" s="5" t="str">
        <f t="shared" si="2"/>
        <v>https://www.google.com/maps?q=-11.303114, -41.857445</v>
      </c>
      <c r="L121" s="5" t="str">
        <f t="shared" si="3"/>
        <v>Abrir no Maps</v>
      </c>
      <c r="M121" t="s">
        <v>905</v>
      </c>
      <c r="N121" s="5"/>
      <c r="O121" t="str">
        <f>VLOOKUP(G121,'[1]CONFIG.'!$B:$C,2,0)</f>
        <v>IGOR</v>
      </c>
      <c r="P121" t="str">
        <f>VLOOKUP(O121,'[1]CONFIG.'!$C:$D,2,0)</f>
        <v>74 99590346</v>
      </c>
    </row>
    <row r="122" spans="1:16" x14ac:dyDescent="0.3">
      <c r="A122" t="s">
        <v>906</v>
      </c>
      <c r="B122" t="s">
        <v>907</v>
      </c>
      <c r="C122" t="s">
        <v>908</v>
      </c>
      <c r="D122" t="s">
        <v>36</v>
      </c>
      <c r="E122" t="s">
        <v>909</v>
      </c>
      <c r="F122" t="s">
        <v>137</v>
      </c>
      <c r="G122">
        <v>210</v>
      </c>
      <c r="H122">
        <v>500</v>
      </c>
      <c r="I122" s="5" t="s">
        <v>910</v>
      </c>
      <c r="J122" s="5" t="s">
        <v>911</v>
      </c>
      <c r="K122" s="5" t="str">
        <f t="shared" si="2"/>
        <v>https://www.google.com/maps?q=-11.302989, -41.865211</v>
      </c>
      <c r="L122" s="5" t="str">
        <f t="shared" si="3"/>
        <v>Abrir no Maps</v>
      </c>
      <c r="M122" t="s">
        <v>912</v>
      </c>
      <c r="N122" s="5"/>
      <c r="O122" t="str">
        <f>VLOOKUP(G122,'[1]CONFIG.'!$B:$C,2,0)</f>
        <v>SILAS</v>
      </c>
      <c r="P122" t="str">
        <f>VLOOKUP(O122,'[1]CONFIG.'!$C:$D,2,0)</f>
        <v>74 98041875</v>
      </c>
    </row>
    <row r="123" spans="1:16" x14ac:dyDescent="0.3">
      <c r="A123" t="s">
        <v>913</v>
      </c>
      <c r="B123" t="s">
        <v>914</v>
      </c>
      <c r="C123" t="s">
        <v>915</v>
      </c>
      <c r="D123" t="s">
        <v>36</v>
      </c>
      <c r="E123" t="s">
        <v>916</v>
      </c>
      <c r="F123" t="s">
        <v>853</v>
      </c>
      <c r="G123">
        <v>212</v>
      </c>
      <c r="H123">
        <v>200</v>
      </c>
      <c r="I123" s="5" t="s">
        <v>917</v>
      </c>
      <c r="J123" s="5" t="s">
        <v>918</v>
      </c>
      <c r="K123" s="5" t="str">
        <f t="shared" si="2"/>
        <v>https://www.google.com/maps?q=-11.305993, -41.848778</v>
      </c>
      <c r="L123" s="5" t="str">
        <f t="shared" si="3"/>
        <v>Abrir no Maps</v>
      </c>
      <c r="M123" t="s">
        <v>919</v>
      </c>
      <c r="N123" s="5"/>
      <c r="O123" t="str">
        <f>VLOOKUP(G123,'[1]CONFIG.'!$B:$C,2,0)</f>
        <v>ANDRE</v>
      </c>
      <c r="P123" t="str">
        <f>VLOOKUP(O123,'[1]CONFIG.'!$C:$D,2,0)</f>
        <v>74 99916877</v>
      </c>
    </row>
    <row r="124" spans="1:16" x14ac:dyDescent="0.3">
      <c r="A124" t="s">
        <v>920</v>
      </c>
      <c r="B124" t="s">
        <v>921</v>
      </c>
      <c r="C124" t="s">
        <v>922</v>
      </c>
      <c r="D124" t="s">
        <v>36</v>
      </c>
      <c r="E124" t="s">
        <v>923</v>
      </c>
      <c r="F124" t="s">
        <v>38</v>
      </c>
      <c r="G124">
        <v>212</v>
      </c>
      <c r="H124">
        <v>200</v>
      </c>
      <c r="I124" s="5" t="s">
        <v>924</v>
      </c>
      <c r="J124" s="5" t="s">
        <v>925</v>
      </c>
      <c r="K124" s="5" t="str">
        <f t="shared" si="2"/>
        <v>https://www.google.com/maps?q=-11.308276, -41.853233</v>
      </c>
      <c r="L124" s="5" t="str">
        <f t="shared" si="3"/>
        <v>Abrir no Maps</v>
      </c>
      <c r="M124" t="s">
        <v>926</v>
      </c>
      <c r="N124" s="5"/>
      <c r="O124" t="str">
        <f>VLOOKUP(G124,'[1]CONFIG.'!$B:$C,2,0)</f>
        <v>ANDRE</v>
      </c>
      <c r="P124" t="str">
        <f>VLOOKUP(O124,'[1]CONFIG.'!$C:$D,2,0)</f>
        <v>74 99916877</v>
      </c>
    </row>
    <row r="125" spans="1:16" x14ac:dyDescent="0.3">
      <c r="A125" t="s">
        <v>927</v>
      </c>
      <c r="B125" t="s">
        <v>928</v>
      </c>
      <c r="C125" t="s">
        <v>929</v>
      </c>
      <c r="D125" t="s">
        <v>36</v>
      </c>
      <c r="E125" t="s">
        <v>930</v>
      </c>
      <c r="F125" t="s">
        <v>167</v>
      </c>
      <c r="G125">
        <v>210</v>
      </c>
      <c r="H125">
        <v>500</v>
      </c>
      <c r="I125" s="5" t="s">
        <v>931</v>
      </c>
      <c r="J125" s="5" t="s">
        <v>932</v>
      </c>
      <c r="K125" s="5" t="str">
        <f t="shared" si="2"/>
        <v>https://www.google.com/maps?q=-11.303578, -41.860634</v>
      </c>
      <c r="L125" s="5" t="str">
        <f t="shared" si="3"/>
        <v>Abrir no Maps</v>
      </c>
      <c r="M125" t="s">
        <v>933</v>
      </c>
      <c r="N125" s="5"/>
      <c r="O125" t="str">
        <f>VLOOKUP(G125,'[1]CONFIG.'!$B:$C,2,0)</f>
        <v>SILAS</v>
      </c>
      <c r="P125" t="str">
        <f>VLOOKUP(O125,'[1]CONFIG.'!$C:$D,2,0)</f>
        <v>74 98041875</v>
      </c>
    </row>
    <row r="126" spans="1:16" x14ac:dyDescent="0.3">
      <c r="A126" t="s">
        <v>934</v>
      </c>
      <c r="B126" t="s">
        <v>935</v>
      </c>
      <c r="C126" t="s">
        <v>936</v>
      </c>
      <c r="D126" t="s">
        <v>36</v>
      </c>
      <c r="E126" t="s">
        <v>937</v>
      </c>
      <c r="F126" t="s">
        <v>93</v>
      </c>
      <c r="G126">
        <v>209</v>
      </c>
      <c r="H126">
        <v>500</v>
      </c>
      <c r="I126" s="5" t="s">
        <v>938</v>
      </c>
      <c r="J126" s="5" t="s">
        <v>939</v>
      </c>
      <c r="K126" s="5" t="str">
        <f t="shared" si="2"/>
        <v>https://www.google.com/maps?q=-11.303201, -41.853523</v>
      </c>
      <c r="L126" s="5" t="str">
        <f t="shared" si="3"/>
        <v>Abrir no Maps</v>
      </c>
      <c r="M126" t="s">
        <v>940</v>
      </c>
      <c r="N126" s="5"/>
      <c r="O126" t="str">
        <f>VLOOKUP(G126,'[1]CONFIG.'!$B:$C,2,0)</f>
        <v>IGOR</v>
      </c>
      <c r="P126" t="str">
        <f>VLOOKUP(O126,'[1]CONFIG.'!$C:$D,2,0)</f>
        <v>74 99590346</v>
      </c>
    </row>
    <row r="127" spans="1:16" x14ac:dyDescent="0.3">
      <c r="A127" t="s">
        <v>941</v>
      </c>
      <c r="B127" t="s">
        <v>942</v>
      </c>
      <c r="C127" t="s">
        <v>943</v>
      </c>
      <c r="D127" t="s">
        <v>36</v>
      </c>
      <c r="E127" t="s">
        <v>944</v>
      </c>
      <c r="F127" t="s">
        <v>93</v>
      </c>
      <c r="G127">
        <v>210</v>
      </c>
      <c r="H127">
        <v>500</v>
      </c>
      <c r="I127" s="5" t="s">
        <v>945</v>
      </c>
      <c r="J127" s="5" t="s">
        <v>946</v>
      </c>
      <c r="K127" s="5" t="str">
        <f t="shared" si="2"/>
        <v>https://www.google.com/maps?q=-11.303326, -41.853660</v>
      </c>
      <c r="L127" s="5" t="str">
        <f t="shared" si="3"/>
        <v>Abrir no Maps</v>
      </c>
      <c r="M127" t="s">
        <v>947</v>
      </c>
      <c r="N127" s="5"/>
      <c r="O127" t="str">
        <f>VLOOKUP(G127,'[1]CONFIG.'!$B:$C,2,0)</f>
        <v>SILAS</v>
      </c>
      <c r="P127" t="str">
        <f>VLOOKUP(O127,'[1]CONFIG.'!$C:$D,2,0)</f>
        <v>74 98041875</v>
      </c>
    </row>
    <row r="128" spans="1:16" x14ac:dyDescent="0.3">
      <c r="A128" t="s">
        <v>948</v>
      </c>
      <c r="B128" t="s">
        <v>949</v>
      </c>
      <c r="C128" t="s">
        <v>950</v>
      </c>
      <c r="D128" t="s">
        <v>36</v>
      </c>
      <c r="E128" t="s">
        <v>951</v>
      </c>
      <c r="F128" t="s">
        <v>366</v>
      </c>
      <c r="G128">
        <v>210</v>
      </c>
      <c r="H128">
        <v>500</v>
      </c>
      <c r="I128" s="5" t="s">
        <v>952</v>
      </c>
      <c r="J128" s="5" t="s">
        <v>953</v>
      </c>
      <c r="K128" s="5" t="str">
        <f t="shared" si="2"/>
        <v>https://www.google.com/maps?q=-11.300278, -41.864720</v>
      </c>
      <c r="L128" s="5" t="str">
        <f t="shared" si="3"/>
        <v>Abrir no Maps</v>
      </c>
      <c r="M128" t="s">
        <v>954</v>
      </c>
      <c r="N128" s="5"/>
      <c r="O128" t="str">
        <f>VLOOKUP(G128,'[1]CONFIG.'!$B:$C,2,0)</f>
        <v>SILAS</v>
      </c>
      <c r="P128" t="str">
        <f>VLOOKUP(O128,'[1]CONFIG.'!$C:$D,2,0)</f>
        <v>74 98041875</v>
      </c>
    </row>
    <row r="129" spans="1:16" x14ac:dyDescent="0.3">
      <c r="A129" t="s">
        <v>955</v>
      </c>
      <c r="B129" t="s">
        <v>956</v>
      </c>
      <c r="C129" t="s">
        <v>957</v>
      </c>
      <c r="D129" t="s">
        <v>36</v>
      </c>
      <c r="E129" t="s">
        <v>958</v>
      </c>
      <c r="F129" t="s">
        <v>959</v>
      </c>
      <c r="G129">
        <v>212</v>
      </c>
      <c r="H129">
        <v>200</v>
      </c>
      <c r="I129" s="5" t="s">
        <v>960</v>
      </c>
      <c r="J129" s="5" t="s">
        <v>961</v>
      </c>
      <c r="K129" s="5" t="str">
        <f t="shared" si="2"/>
        <v>https://www.google.com/maps?q=-11.295834, -41.852500</v>
      </c>
      <c r="L129" s="5" t="str">
        <f t="shared" si="3"/>
        <v>Abrir no Maps</v>
      </c>
      <c r="M129" t="s">
        <v>962</v>
      </c>
      <c r="N129" s="5"/>
      <c r="O129" t="str">
        <f>VLOOKUP(G129,'[1]CONFIG.'!$B:$C,2,0)</f>
        <v>ANDRE</v>
      </c>
      <c r="P129" t="str">
        <f>VLOOKUP(O129,'[1]CONFIG.'!$C:$D,2,0)</f>
        <v>74 99916877</v>
      </c>
    </row>
    <row r="130" spans="1:16" x14ac:dyDescent="0.3">
      <c r="A130" t="s">
        <v>963</v>
      </c>
      <c r="B130" t="s">
        <v>964</v>
      </c>
      <c r="C130" t="s">
        <v>965</v>
      </c>
      <c r="D130" t="s">
        <v>36</v>
      </c>
      <c r="E130" t="s">
        <v>966</v>
      </c>
      <c r="F130" t="s">
        <v>422</v>
      </c>
      <c r="G130">
        <v>210</v>
      </c>
      <c r="H130">
        <v>500</v>
      </c>
      <c r="I130" s="5" t="s">
        <v>967</v>
      </c>
      <c r="J130" s="5" t="s">
        <v>968</v>
      </c>
      <c r="K130" s="5" t="str">
        <f t="shared" si="2"/>
        <v>https://www.google.com/maps?q=-11.297735, -41.851597</v>
      </c>
      <c r="L130" s="5" t="str">
        <f t="shared" si="3"/>
        <v>Abrir no Maps</v>
      </c>
      <c r="M130" t="s">
        <v>969</v>
      </c>
      <c r="N130" s="5"/>
      <c r="O130" t="str">
        <f>VLOOKUP(G130,'[1]CONFIG.'!$B:$C,2,0)</f>
        <v>SILAS</v>
      </c>
      <c r="P130" t="str">
        <f>VLOOKUP(O130,'[1]CONFIG.'!$C:$D,2,0)</f>
        <v>74 98041875</v>
      </c>
    </row>
    <row r="131" spans="1:16" x14ac:dyDescent="0.3">
      <c r="A131" t="s">
        <v>970</v>
      </c>
      <c r="B131" t="s">
        <v>971</v>
      </c>
      <c r="C131" t="s">
        <v>972</v>
      </c>
      <c r="D131" t="s">
        <v>36</v>
      </c>
      <c r="E131" t="s">
        <v>973</v>
      </c>
      <c r="F131" t="s">
        <v>137</v>
      </c>
      <c r="G131">
        <v>209</v>
      </c>
      <c r="H131">
        <v>500</v>
      </c>
      <c r="I131" s="5" t="s">
        <v>974</v>
      </c>
      <c r="J131" s="5" t="s">
        <v>975</v>
      </c>
      <c r="K131" s="5" t="str">
        <f t="shared" si="2"/>
        <v>https://www.google.com/maps?q=-11.305453, -41.856243</v>
      </c>
      <c r="L131" s="5" t="str">
        <f t="shared" si="3"/>
        <v>Abrir no Maps</v>
      </c>
      <c r="M131" t="s">
        <v>976</v>
      </c>
      <c r="N131" s="5"/>
      <c r="O131" t="str">
        <f>VLOOKUP(G131,'[1]CONFIG.'!$B:$C,2,0)</f>
        <v>IGOR</v>
      </c>
      <c r="P131" t="str">
        <f>VLOOKUP(O131,'[1]CONFIG.'!$C:$D,2,0)</f>
        <v>74 99590346</v>
      </c>
    </row>
    <row r="132" spans="1:16" x14ac:dyDescent="0.3">
      <c r="A132" t="s">
        <v>977</v>
      </c>
      <c r="B132" t="s">
        <v>978</v>
      </c>
      <c r="C132" t="s">
        <v>979</v>
      </c>
      <c r="D132" t="s">
        <v>36</v>
      </c>
      <c r="E132" t="s">
        <v>980</v>
      </c>
      <c r="F132" t="s">
        <v>366</v>
      </c>
      <c r="G132">
        <v>210</v>
      </c>
      <c r="H132">
        <v>500</v>
      </c>
      <c r="I132" s="5" t="s">
        <v>981</v>
      </c>
      <c r="J132" s="5" t="s">
        <v>982</v>
      </c>
      <c r="K132" s="5" t="str">
        <f t="shared" ref="K132:K195" si="4">"https://www.google.com/maps?q="&amp;""&amp;LEFT(I132,3)&amp;"."&amp;RIGHT(I132,6)&amp;", "&amp;LEFT(J132,3)&amp;"."&amp;RIGHT(J132,6)</f>
        <v>https://www.google.com/maps?q=-11.300647, -41.860905</v>
      </c>
      <c r="L132" s="5" t="str">
        <f t="shared" ref="L132:L195" si="5">HYPERLINK(K132,"Abrir no Maps")</f>
        <v>Abrir no Maps</v>
      </c>
      <c r="M132" t="s">
        <v>983</v>
      </c>
      <c r="N132" s="5"/>
      <c r="O132" t="str">
        <f>VLOOKUP(G132,'[1]CONFIG.'!$B:$C,2,0)</f>
        <v>SILAS</v>
      </c>
      <c r="P132" t="str">
        <f>VLOOKUP(O132,'[1]CONFIG.'!$C:$D,2,0)</f>
        <v>74 98041875</v>
      </c>
    </row>
    <row r="133" spans="1:16" x14ac:dyDescent="0.3">
      <c r="A133" t="s">
        <v>984</v>
      </c>
      <c r="B133" t="s">
        <v>985</v>
      </c>
      <c r="C133" t="s">
        <v>986</v>
      </c>
      <c r="D133" t="s">
        <v>36</v>
      </c>
      <c r="E133" t="s">
        <v>987</v>
      </c>
      <c r="F133" t="s">
        <v>988</v>
      </c>
      <c r="G133">
        <v>209</v>
      </c>
      <c r="H133">
        <v>500</v>
      </c>
      <c r="I133" s="5" t="s">
        <v>989</v>
      </c>
      <c r="J133" s="5" t="s">
        <v>990</v>
      </c>
      <c r="K133" s="5" t="str">
        <f t="shared" si="4"/>
        <v>https://www.google.com/maps?q=-11.305094, -41.836163</v>
      </c>
      <c r="L133" s="5" t="str">
        <f t="shared" si="5"/>
        <v>Abrir no Maps</v>
      </c>
      <c r="M133" t="s">
        <v>991</v>
      </c>
      <c r="N133" s="5"/>
      <c r="O133" t="str">
        <f>VLOOKUP(G133,'[1]CONFIG.'!$B:$C,2,0)</f>
        <v>IGOR</v>
      </c>
      <c r="P133" t="str">
        <f>VLOOKUP(O133,'[1]CONFIG.'!$C:$D,2,0)</f>
        <v>74 99590346</v>
      </c>
    </row>
    <row r="134" spans="1:16" x14ac:dyDescent="0.3">
      <c r="A134" t="s">
        <v>992</v>
      </c>
      <c r="B134" t="s">
        <v>993</v>
      </c>
      <c r="C134" t="s">
        <v>994</v>
      </c>
      <c r="D134" t="s">
        <v>36</v>
      </c>
      <c r="E134" t="s">
        <v>995</v>
      </c>
      <c r="F134" t="s">
        <v>54</v>
      </c>
      <c r="G134">
        <v>211</v>
      </c>
      <c r="H134">
        <v>500</v>
      </c>
      <c r="I134" s="5" t="s">
        <v>996</v>
      </c>
      <c r="J134" s="5" t="s">
        <v>997</v>
      </c>
      <c r="K134" s="5" t="str">
        <f t="shared" si="4"/>
        <v>https://www.google.com/maps?q=-11.287911, -41.845905</v>
      </c>
      <c r="L134" s="5" t="str">
        <f t="shared" si="5"/>
        <v>Abrir no Maps</v>
      </c>
      <c r="M134" t="s">
        <v>998</v>
      </c>
      <c r="N134" s="5"/>
      <c r="O134" t="str">
        <f>VLOOKUP(G134,'[1]CONFIG.'!$B:$C,2,0)</f>
        <v>DAIANE</v>
      </c>
      <c r="P134" t="str">
        <f>VLOOKUP(O134,'[1]CONFIG.'!$C:$D,2,0)</f>
        <v>74 99298866</v>
      </c>
    </row>
    <row r="135" spans="1:16" x14ac:dyDescent="0.3">
      <c r="A135" t="s">
        <v>999</v>
      </c>
      <c r="B135" t="s">
        <v>1000</v>
      </c>
      <c r="C135" t="s">
        <v>1001</v>
      </c>
      <c r="D135" t="s">
        <v>36</v>
      </c>
      <c r="E135" t="s">
        <v>1002</v>
      </c>
      <c r="F135" t="s">
        <v>217</v>
      </c>
      <c r="G135">
        <v>212</v>
      </c>
      <c r="H135">
        <v>200</v>
      </c>
      <c r="I135" s="5" t="s">
        <v>739</v>
      </c>
      <c r="J135" s="5" t="s">
        <v>1003</v>
      </c>
      <c r="K135" s="5" t="str">
        <f t="shared" si="4"/>
        <v>https://www.google.com/maps?q=-11.303224, -41.845207</v>
      </c>
      <c r="L135" s="5" t="str">
        <f t="shared" si="5"/>
        <v>Abrir no Maps</v>
      </c>
      <c r="M135" t="s">
        <v>1004</v>
      </c>
      <c r="N135" s="5"/>
      <c r="O135" t="str">
        <f>VLOOKUP(G135,'[1]CONFIG.'!$B:$C,2,0)</f>
        <v>ANDRE</v>
      </c>
      <c r="P135" t="str">
        <f>VLOOKUP(O135,'[1]CONFIG.'!$C:$D,2,0)</f>
        <v>74 99916877</v>
      </c>
    </row>
    <row r="136" spans="1:16" x14ac:dyDescent="0.3">
      <c r="A136" t="s">
        <v>1005</v>
      </c>
      <c r="B136" t="s">
        <v>1006</v>
      </c>
      <c r="C136" t="s">
        <v>1007</v>
      </c>
      <c r="D136" t="s">
        <v>36</v>
      </c>
      <c r="E136" t="s">
        <v>1008</v>
      </c>
      <c r="F136" t="s">
        <v>159</v>
      </c>
      <c r="G136">
        <v>209</v>
      </c>
      <c r="H136">
        <v>500</v>
      </c>
      <c r="I136" s="5" t="s">
        <v>1009</v>
      </c>
      <c r="J136" s="5" t="s">
        <v>1010</v>
      </c>
      <c r="K136" s="5" t="str">
        <f t="shared" si="4"/>
        <v>https://www.google.com/maps?q=-11.302549, -41.849453</v>
      </c>
      <c r="L136" s="5" t="str">
        <f t="shared" si="5"/>
        <v>Abrir no Maps</v>
      </c>
      <c r="M136" t="s">
        <v>1011</v>
      </c>
      <c r="N136" s="5"/>
      <c r="O136" t="str">
        <f>VLOOKUP(G136,'[1]CONFIG.'!$B:$C,2,0)</f>
        <v>IGOR</v>
      </c>
      <c r="P136" t="str">
        <f>VLOOKUP(O136,'[1]CONFIG.'!$C:$D,2,0)</f>
        <v>74 99590346</v>
      </c>
    </row>
    <row r="137" spans="1:16" x14ac:dyDescent="0.3">
      <c r="A137" t="s">
        <v>1012</v>
      </c>
      <c r="B137" t="s">
        <v>1013</v>
      </c>
      <c r="C137" t="s">
        <v>1014</v>
      </c>
      <c r="D137" t="s">
        <v>36</v>
      </c>
      <c r="E137" t="s">
        <v>1015</v>
      </c>
      <c r="F137" t="s">
        <v>167</v>
      </c>
      <c r="G137">
        <v>210</v>
      </c>
      <c r="H137">
        <v>500</v>
      </c>
      <c r="I137" s="5" t="s">
        <v>1016</v>
      </c>
      <c r="J137" s="5" t="s">
        <v>1017</v>
      </c>
      <c r="K137" s="5" t="str">
        <f t="shared" si="4"/>
        <v>https://www.google.com/maps?q=-11.304081, -41.866280</v>
      </c>
      <c r="L137" s="5" t="str">
        <f t="shared" si="5"/>
        <v>Abrir no Maps</v>
      </c>
      <c r="M137" t="s">
        <v>1018</v>
      </c>
      <c r="N137" s="5"/>
      <c r="O137" t="str">
        <f>VLOOKUP(G137,'[1]CONFIG.'!$B:$C,2,0)</f>
        <v>SILAS</v>
      </c>
      <c r="P137" t="str">
        <f>VLOOKUP(O137,'[1]CONFIG.'!$C:$D,2,0)</f>
        <v>74 98041875</v>
      </c>
    </row>
    <row r="138" spans="1:16" x14ac:dyDescent="0.3">
      <c r="A138" t="s">
        <v>1019</v>
      </c>
      <c r="B138" t="s">
        <v>1020</v>
      </c>
      <c r="C138" t="s">
        <v>1021</v>
      </c>
      <c r="D138" t="s">
        <v>36</v>
      </c>
      <c r="E138" t="s">
        <v>1022</v>
      </c>
      <c r="F138" t="s">
        <v>395</v>
      </c>
      <c r="G138">
        <v>211</v>
      </c>
      <c r="H138">
        <v>500</v>
      </c>
      <c r="I138" s="5" t="s">
        <v>1023</v>
      </c>
      <c r="J138" s="5" t="s">
        <v>1024</v>
      </c>
      <c r="K138" s="5" t="str">
        <f t="shared" si="4"/>
        <v>https://www.google.com/maps?q=-11.309393, -41.873447</v>
      </c>
      <c r="L138" s="5" t="str">
        <f t="shared" si="5"/>
        <v>Abrir no Maps</v>
      </c>
      <c r="M138" t="s">
        <v>1025</v>
      </c>
      <c r="N138" s="5"/>
      <c r="O138" t="str">
        <f>VLOOKUP(G138,'[1]CONFIG.'!$B:$C,2,0)</f>
        <v>DAIANE</v>
      </c>
      <c r="P138" t="str">
        <f>VLOOKUP(O138,'[1]CONFIG.'!$C:$D,2,0)</f>
        <v>74 99298866</v>
      </c>
    </row>
    <row r="139" spans="1:16" x14ac:dyDescent="0.3">
      <c r="A139" t="s">
        <v>1026</v>
      </c>
      <c r="B139" t="s">
        <v>1027</v>
      </c>
      <c r="C139" t="s">
        <v>1028</v>
      </c>
      <c r="D139" t="s">
        <v>36</v>
      </c>
      <c r="E139" t="s">
        <v>1029</v>
      </c>
      <c r="F139" t="s">
        <v>217</v>
      </c>
      <c r="G139">
        <v>212</v>
      </c>
      <c r="H139">
        <v>200</v>
      </c>
      <c r="I139" s="5" t="s">
        <v>1030</v>
      </c>
      <c r="J139" s="5" t="s">
        <v>1031</v>
      </c>
      <c r="K139" s="5" t="str">
        <f t="shared" si="4"/>
        <v>https://www.google.com/maps?q=-11.302747, -41.844592</v>
      </c>
      <c r="L139" s="5" t="str">
        <f t="shared" si="5"/>
        <v>Abrir no Maps</v>
      </c>
      <c r="M139">
        <v>0</v>
      </c>
      <c r="N139" s="5"/>
      <c r="O139" t="str">
        <f>VLOOKUP(G139,'[1]CONFIG.'!$B:$C,2,0)</f>
        <v>ANDRE</v>
      </c>
      <c r="P139" t="str">
        <f>VLOOKUP(O139,'[1]CONFIG.'!$C:$D,2,0)</f>
        <v>74 99916877</v>
      </c>
    </row>
    <row r="140" spans="1:16" x14ac:dyDescent="0.3">
      <c r="A140" t="s">
        <v>1032</v>
      </c>
      <c r="B140" t="s">
        <v>1033</v>
      </c>
      <c r="C140" t="s">
        <v>1034</v>
      </c>
      <c r="D140" t="s">
        <v>36</v>
      </c>
      <c r="E140" t="s">
        <v>1035</v>
      </c>
      <c r="F140" t="s">
        <v>36</v>
      </c>
      <c r="G140">
        <v>203</v>
      </c>
      <c r="H140">
        <v>200</v>
      </c>
      <c r="I140" s="5" t="s">
        <v>1036</v>
      </c>
      <c r="J140" s="5" t="s">
        <v>1037</v>
      </c>
      <c r="K140" s="5" t="str">
        <f t="shared" si="4"/>
        <v>https://www.google.com/maps?q=-11.325697, -41.870377</v>
      </c>
      <c r="L140" s="5" t="str">
        <f t="shared" si="5"/>
        <v>Abrir no Maps</v>
      </c>
      <c r="M140" t="s">
        <v>1038</v>
      </c>
      <c r="N140" s="5"/>
      <c r="O140" t="str">
        <f>VLOOKUP(G140,'[1]CONFIG.'!$B:$C,2,0)</f>
        <v>ALEXANDRE</v>
      </c>
      <c r="P140" t="str">
        <f>VLOOKUP(O140,'[1]CONFIG.'!$C:$D,2,0)</f>
        <v>74 99653478</v>
      </c>
    </row>
    <row r="141" spans="1:16" x14ac:dyDescent="0.3">
      <c r="A141" t="s">
        <v>1039</v>
      </c>
      <c r="B141" t="s">
        <v>1040</v>
      </c>
      <c r="C141" t="s">
        <v>1041</v>
      </c>
      <c r="D141" t="s">
        <v>36</v>
      </c>
      <c r="E141" t="s">
        <v>1042</v>
      </c>
      <c r="F141" t="s">
        <v>633</v>
      </c>
      <c r="G141">
        <v>212</v>
      </c>
      <c r="H141">
        <v>200</v>
      </c>
      <c r="I141" s="5" t="s">
        <v>1043</v>
      </c>
      <c r="J141" s="5" t="s">
        <v>1044</v>
      </c>
      <c r="K141" s="5" t="str">
        <f t="shared" si="4"/>
        <v>https://www.google.com/maps?q=-11.299091, -41.842620</v>
      </c>
      <c r="L141" s="5" t="str">
        <f t="shared" si="5"/>
        <v>Abrir no Maps</v>
      </c>
      <c r="M141" t="s">
        <v>1045</v>
      </c>
      <c r="N141" s="5"/>
      <c r="O141" t="str">
        <f>VLOOKUP(G141,'[1]CONFIG.'!$B:$C,2,0)</f>
        <v>ANDRE</v>
      </c>
      <c r="P141" t="str">
        <f>VLOOKUP(O141,'[1]CONFIG.'!$C:$D,2,0)</f>
        <v>74 99916877</v>
      </c>
    </row>
    <row r="142" spans="1:16" x14ac:dyDescent="0.3">
      <c r="A142" t="s">
        <v>1046</v>
      </c>
      <c r="B142" t="s">
        <v>1047</v>
      </c>
      <c r="C142" t="s">
        <v>1048</v>
      </c>
      <c r="D142" t="s">
        <v>36</v>
      </c>
      <c r="E142" t="s">
        <v>1049</v>
      </c>
      <c r="F142" t="s">
        <v>93</v>
      </c>
      <c r="G142">
        <v>209</v>
      </c>
      <c r="H142">
        <v>500</v>
      </c>
      <c r="I142" s="5" t="s">
        <v>1050</v>
      </c>
      <c r="J142" s="5" t="s">
        <v>1051</v>
      </c>
      <c r="K142" s="5" t="str">
        <f t="shared" si="4"/>
        <v>https://www.google.com/maps?q=-11.302667, -41.850082</v>
      </c>
      <c r="L142" s="5" t="str">
        <f t="shared" si="5"/>
        <v>Abrir no Maps</v>
      </c>
      <c r="M142" t="s">
        <v>1052</v>
      </c>
      <c r="N142" s="5"/>
      <c r="O142" t="str">
        <f>VLOOKUP(G142,'[1]CONFIG.'!$B:$C,2,0)</f>
        <v>IGOR</v>
      </c>
      <c r="P142" t="str">
        <f>VLOOKUP(O142,'[1]CONFIG.'!$C:$D,2,0)</f>
        <v>74 99590346</v>
      </c>
    </row>
    <row r="143" spans="1:16" x14ac:dyDescent="0.3">
      <c r="A143" t="s">
        <v>1053</v>
      </c>
      <c r="B143" t="s">
        <v>1054</v>
      </c>
      <c r="C143" t="s">
        <v>1055</v>
      </c>
      <c r="D143" t="s">
        <v>36</v>
      </c>
      <c r="E143" t="s">
        <v>1056</v>
      </c>
      <c r="F143" t="s">
        <v>395</v>
      </c>
      <c r="G143">
        <v>203</v>
      </c>
      <c r="H143">
        <v>200</v>
      </c>
      <c r="I143" s="5" t="s">
        <v>1057</v>
      </c>
      <c r="J143" s="5" t="s">
        <v>1058</v>
      </c>
      <c r="K143" s="5" t="str">
        <f t="shared" si="4"/>
        <v>https://www.google.com/maps?q=-11.312925, -41.876083</v>
      </c>
      <c r="L143" s="5" t="str">
        <f t="shared" si="5"/>
        <v>Abrir no Maps</v>
      </c>
      <c r="M143" t="s">
        <v>1059</v>
      </c>
      <c r="N143" s="5"/>
      <c r="O143" t="str">
        <f>VLOOKUP(G143,'[1]CONFIG.'!$B:$C,2,0)</f>
        <v>ALEXANDRE</v>
      </c>
      <c r="P143" t="str">
        <f>VLOOKUP(O143,'[1]CONFIG.'!$C:$D,2,0)</f>
        <v>74 99653478</v>
      </c>
    </row>
    <row r="144" spans="1:16" x14ac:dyDescent="0.3">
      <c r="A144" t="s">
        <v>1060</v>
      </c>
      <c r="B144" t="s">
        <v>1061</v>
      </c>
      <c r="C144" t="s">
        <v>1062</v>
      </c>
      <c r="D144" t="s">
        <v>36</v>
      </c>
      <c r="E144" t="s">
        <v>1063</v>
      </c>
      <c r="F144" t="s">
        <v>167</v>
      </c>
      <c r="G144">
        <v>203</v>
      </c>
      <c r="H144">
        <v>200</v>
      </c>
      <c r="I144" s="5" t="s">
        <v>1064</v>
      </c>
      <c r="J144" s="5" t="s">
        <v>1065</v>
      </c>
      <c r="K144" s="5" t="str">
        <f t="shared" si="4"/>
        <v>https://www.google.com/maps?q=-11.304350, -41.865834</v>
      </c>
      <c r="L144" s="5" t="str">
        <f t="shared" si="5"/>
        <v>Abrir no Maps</v>
      </c>
      <c r="M144" t="s">
        <v>1066</v>
      </c>
      <c r="N144" s="5"/>
      <c r="O144" t="str">
        <f>VLOOKUP(G144,'[1]CONFIG.'!$B:$C,2,0)</f>
        <v>ALEXANDRE</v>
      </c>
      <c r="P144" t="str">
        <f>VLOOKUP(O144,'[1]CONFIG.'!$C:$D,2,0)</f>
        <v>74 99653478</v>
      </c>
    </row>
    <row r="145" spans="1:16" x14ac:dyDescent="0.3">
      <c r="A145" t="s">
        <v>1067</v>
      </c>
      <c r="B145" t="s">
        <v>1068</v>
      </c>
      <c r="C145" t="s">
        <v>1069</v>
      </c>
      <c r="D145" t="s">
        <v>36</v>
      </c>
      <c r="E145" t="s">
        <v>1070</v>
      </c>
      <c r="F145" t="s">
        <v>93</v>
      </c>
      <c r="G145">
        <v>210</v>
      </c>
      <c r="H145">
        <v>500</v>
      </c>
      <c r="I145" s="5" t="s">
        <v>1071</v>
      </c>
      <c r="J145" s="5" t="s">
        <v>1072</v>
      </c>
      <c r="K145" s="5" t="str">
        <f t="shared" si="4"/>
        <v>https://www.google.com/maps?q=-11.303490, -41.853626</v>
      </c>
      <c r="L145" s="5" t="str">
        <f t="shared" si="5"/>
        <v>Abrir no Maps</v>
      </c>
      <c r="M145" t="s">
        <v>1073</v>
      </c>
      <c r="N145" s="5"/>
      <c r="O145" t="str">
        <f>VLOOKUP(G145,'[1]CONFIG.'!$B:$C,2,0)</f>
        <v>SILAS</v>
      </c>
      <c r="P145" t="str">
        <f>VLOOKUP(O145,'[1]CONFIG.'!$C:$D,2,0)</f>
        <v>74 98041875</v>
      </c>
    </row>
    <row r="146" spans="1:16" x14ac:dyDescent="0.3">
      <c r="A146" t="s">
        <v>1074</v>
      </c>
      <c r="B146" t="s">
        <v>1075</v>
      </c>
      <c r="C146" t="s">
        <v>1076</v>
      </c>
      <c r="D146" t="s">
        <v>36</v>
      </c>
      <c r="E146" t="s">
        <v>1077</v>
      </c>
      <c r="F146" t="s">
        <v>137</v>
      </c>
      <c r="G146">
        <v>204</v>
      </c>
      <c r="H146">
        <v>500</v>
      </c>
      <c r="I146" s="5" t="s">
        <v>1078</v>
      </c>
      <c r="J146" s="5" t="s">
        <v>1079</v>
      </c>
      <c r="K146" s="5" t="str">
        <f t="shared" si="4"/>
        <v>https://www.google.com/maps?q=-11.304930, -41.858566</v>
      </c>
      <c r="L146" s="5" t="str">
        <f t="shared" si="5"/>
        <v>Abrir no Maps</v>
      </c>
      <c r="M146" t="s">
        <v>1080</v>
      </c>
      <c r="N146" s="5"/>
      <c r="O146" t="str">
        <f>VLOOKUP(G146,'[1]CONFIG.'!$B:$C,2,0)</f>
        <v>EVA</v>
      </c>
      <c r="P146" t="str">
        <f>VLOOKUP(O146,'[1]CONFIG.'!$C:$D,2,0)</f>
        <v>74 98046078</v>
      </c>
    </row>
    <row r="147" spans="1:16" x14ac:dyDescent="0.3">
      <c r="A147" t="s">
        <v>1081</v>
      </c>
      <c r="B147" t="s">
        <v>1082</v>
      </c>
      <c r="C147" t="s">
        <v>1083</v>
      </c>
      <c r="D147" t="s">
        <v>36</v>
      </c>
      <c r="E147" t="s">
        <v>1084</v>
      </c>
      <c r="F147" t="s">
        <v>159</v>
      </c>
      <c r="G147">
        <v>210</v>
      </c>
      <c r="H147">
        <v>500</v>
      </c>
      <c r="I147" s="5" t="s">
        <v>1085</v>
      </c>
      <c r="J147" s="5" t="s">
        <v>1086</v>
      </c>
      <c r="K147" s="5" t="str">
        <f t="shared" si="4"/>
        <v>https://www.google.com/maps?q=-11.303005, -41.857480</v>
      </c>
      <c r="L147" s="5" t="str">
        <f t="shared" si="5"/>
        <v>Abrir no Maps</v>
      </c>
      <c r="M147" t="s">
        <v>1087</v>
      </c>
      <c r="N147" s="5"/>
      <c r="O147" t="str">
        <f>VLOOKUP(G147,'[1]CONFIG.'!$B:$C,2,0)</f>
        <v>SILAS</v>
      </c>
      <c r="P147" t="str">
        <f>VLOOKUP(O147,'[1]CONFIG.'!$C:$D,2,0)</f>
        <v>74 98041875</v>
      </c>
    </row>
    <row r="148" spans="1:16" x14ac:dyDescent="0.3">
      <c r="A148" t="s">
        <v>1088</v>
      </c>
      <c r="B148" t="s">
        <v>1089</v>
      </c>
      <c r="C148" t="s">
        <v>1090</v>
      </c>
      <c r="D148" t="s">
        <v>36</v>
      </c>
      <c r="E148" t="s">
        <v>1091</v>
      </c>
      <c r="F148" t="s">
        <v>1092</v>
      </c>
      <c r="G148">
        <v>211</v>
      </c>
      <c r="H148">
        <v>500</v>
      </c>
      <c r="I148" s="5" t="s">
        <v>1093</v>
      </c>
      <c r="J148" s="5" t="s">
        <v>1094</v>
      </c>
      <c r="K148" s="5" t="str">
        <f t="shared" si="4"/>
        <v>https://www.google.com/maps?q=-11.266464, -41.789024</v>
      </c>
      <c r="L148" s="5" t="str">
        <f t="shared" si="5"/>
        <v>Abrir no Maps</v>
      </c>
      <c r="M148" t="s">
        <v>1095</v>
      </c>
      <c r="N148" s="5"/>
      <c r="O148" t="str">
        <f>VLOOKUP(G148,'[1]CONFIG.'!$B:$C,2,0)</f>
        <v>DAIANE</v>
      </c>
      <c r="P148" t="str">
        <f>VLOOKUP(O148,'[1]CONFIG.'!$C:$D,2,0)</f>
        <v>74 99298866</v>
      </c>
    </row>
    <row r="149" spans="1:16" x14ac:dyDescent="0.3">
      <c r="A149" t="s">
        <v>1096</v>
      </c>
      <c r="B149" t="s">
        <v>1097</v>
      </c>
      <c r="C149" t="s">
        <v>1098</v>
      </c>
      <c r="D149" t="s">
        <v>36</v>
      </c>
      <c r="E149" t="s">
        <v>1099</v>
      </c>
      <c r="F149" t="s">
        <v>232</v>
      </c>
      <c r="G149">
        <v>211</v>
      </c>
      <c r="H149">
        <v>500</v>
      </c>
      <c r="I149" s="5" t="s">
        <v>1100</v>
      </c>
      <c r="J149" s="5" t="s">
        <v>1101</v>
      </c>
      <c r="K149" s="5" t="str">
        <f t="shared" si="4"/>
        <v>https://www.google.com/maps?q=-11.294766, -41.819805</v>
      </c>
      <c r="L149" s="5" t="str">
        <f t="shared" si="5"/>
        <v>Abrir no Maps</v>
      </c>
      <c r="M149" t="s">
        <v>1102</v>
      </c>
      <c r="N149" s="5"/>
      <c r="O149" t="str">
        <f>VLOOKUP(G149,'[1]CONFIG.'!$B:$C,2,0)</f>
        <v>DAIANE</v>
      </c>
      <c r="P149" t="str">
        <f>VLOOKUP(O149,'[1]CONFIG.'!$C:$D,2,0)</f>
        <v>74 99298866</v>
      </c>
    </row>
    <row r="150" spans="1:16" x14ac:dyDescent="0.3">
      <c r="A150" t="s">
        <v>1103</v>
      </c>
      <c r="B150" t="s">
        <v>1104</v>
      </c>
      <c r="C150" t="s">
        <v>1105</v>
      </c>
      <c r="D150" t="s">
        <v>36</v>
      </c>
      <c r="E150" t="s">
        <v>1106</v>
      </c>
      <c r="F150" t="s">
        <v>38</v>
      </c>
      <c r="G150">
        <v>212</v>
      </c>
      <c r="H150">
        <v>200</v>
      </c>
      <c r="I150" s="5" t="s">
        <v>1107</v>
      </c>
      <c r="J150" s="5" t="s">
        <v>1108</v>
      </c>
      <c r="K150" s="5" t="str">
        <f t="shared" si="4"/>
        <v>https://www.google.com/maps?q=-11.297634, -41.845116</v>
      </c>
      <c r="L150" s="5" t="str">
        <f t="shared" si="5"/>
        <v>Abrir no Maps</v>
      </c>
      <c r="M150" t="s">
        <v>1109</v>
      </c>
      <c r="N150" s="5"/>
      <c r="O150" t="str">
        <f>VLOOKUP(G150,'[1]CONFIG.'!$B:$C,2,0)</f>
        <v>ANDRE</v>
      </c>
      <c r="P150" t="str">
        <f>VLOOKUP(O150,'[1]CONFIG.'!$C:$D,2,0)</f>
        <v>74 99916877</v>
      </c>
    </row>
    <row r="151" spans="1:16" x14ac:dyDescent="0.3">
      <c r="A151" t="s">
        <v>1110</v>
      </c>
      <c r="B151" t="s">
        <v>1111</v>
      </c>
      <c r="C151" t="s">
        <v>1112</v>
      </c>
      <c r="D151" t="s">
        <v>36</v>
      </c>
      <c r="E151" t="s">
        <v>1113</v>
      </c>
      <c r="F151" t="s">
        <v>342</v>
      </c>
      <c r="G151">
        <v>209</v>
      </c>
      <c r="H151">
        <v>500</v>
      </c>
      <c r="I151" s="5" t="s">
        <v>1114</v>
      </c>
      <c r="J151" s="5" t="s">
        <v>1115</v>
      </c>
      <c r="K151" s="5" t="str">
        <f t="shared" si="4"/>
        <v>https://www.google.com/maps?q=-11.313781, -41.853577</v>
      </c>
      <c r="L151" s="5" t="str">
        <f t="shared" si="5"/>
        <v>Abrir no Maps</v>
      </c>
      <c r="M151" t="s">
        <v>1116</v>
      </c>
      <c r="N151" s="5"/>
      <c r="O151" t="str">
        <f>VLOOKUP(G151,'[1]CONFIG.'!$B:$C,2,0)</f>
        <v>IGOR</v>
      </c>
      <c r="P151" t="str">
        <f>VLOOKUP(O151,'[1]CONFIG.'!$C:$D,2,0)</f>
        <v>74 99590346</v>
      </c>
    </row>
    <row r="152" spans="1:16" x14ac:dyDescent="0.3">
      <c r="A152" t="s">
        <v>1117</v>
      </c>
      <c r="B152" t="s">
        <v>1118</v>
      </c>
      <c r="C152" t="s">
        <v>1119</v>
      </c>
      <c r="D152" t="s">
        <v>36</v>
      </c>
      <c r="E152" t="s">
        <v>1120</v>
      </c>
      <c r="F152" t="s">
        <v>633</v>
      </c>
      <c r="G152">
        <v>212</v>
      </c>
      <c r="H152">
        <v>200</v>
      </c>
      <c r="I152" s="5" t="s">
        <v>1121</v>
      </c>
      <c r="J152" s="5" t="s">
        <v>1122</v>
      </c>
      <c r="K152" s="5" t="str">
        <f t="shared" si="4"/>
        <v>https://www.google.com/maps?q=-11.299000, -41.842655</v>
      </c>
      <c r="L152" s="5" t="str">
        <f t="shared" si="5"/>
        <v>Abrir no Maps</v>
      </c>
      <c r="M152" t="s">
        <v>1123</v>
      </c>
      <c r="N152" s="5"/>
      <c r="O152" t="str">
        <f>VLOOKUP(G152,'[1]CONFIG.'!$B:$C,2,0)</f>
        <v>ANDRE</v>
      </c>
      <c r="P152" t="str">
        <f>VLOOKUP(O152,'[1]CONFIG.'!$C:$D,2,0)</f>
        <v>74 99916877</v>
      </c>
    </row>
    <row r="153" spans="1:16" x14ac:dyDescent="0.3">
      <c r="A153" t="s">
        <v>1124</v>
      </c>
      <c r="B153" t="s">
        <v>1125</v>
      </c>
      <c r="C153" t="s">
        <v>1126</v>
      </c>
      <c r="D153" t="s">
        <v>36</v>
      </c>
      <c r="E153" t="s">
        <v>1127</v>
      </c>
      <c r="F153" t="s">
        <v>319</v>
      </c>
      <c r="G153">
        <v>211</v>
      </c>
      <c r="H153">
        <v>500</v>
      </c>
      <c r="I153" s="5" t="s">
        <v>1128</v>
      </c>
      <c r="J153" s="5" t="s">
        <v>1129</v>
      </c>
      <c r="K153" s="5" t="str">
        <f t="shared" si="4"/>
        <v>https://www.google.com/maps?q=-11.306022, -41.870472</v>
      </c>
      <c r="L153" s="5" t="str">
        <f t="shared" si="5"/>
        <v>Abrir no Maps</v>
      </c>
      <c r="M153" t="s">
        <v>1130</v>
      </c>
      <c r="N153" s="5"/>
      <c r="O153" t="str">
        <f>VLOOKUP(G153,'[1]CONFIG.'!$B:$C,2,0)</f>
        <v>DAIANE</v>
      </c>
      <c r="P153" t="str">
        <f>VLOOKUP(O153,'[1]CONFIG.'!$C:$D,2,0)</f>
        <v>74 99298866</v>
      </c>
    </row>
    <row r="154" spans="1:16" x14ac:dyDescent="0.3">
      <c r="A154" t="s">
        <v>1131</v>
      </c>
      <c r="B154" t="s">
        <v>1132</v>
      </c>
      <c r="C154" t="s">
        <v>1133</v>
      </c>
      <c r="D154" t="s">
        <v>36</v>
      </c>
      <c r="E154" t="s">
        <v>1134</v>
      </c>
      <c r="F154" t="s">
        <v>36</v>
      </c>
      <c r="G154">
        <v>207</v>
      </c>
      <c r="H154">
        <v>500</v>
      </c>
      <c r="I154" s="5" t="s">
        <v>1135</v>
      </c>
      <c r="J154" s="5" t="s">
        <v>1136</v>
      </c>
      <c r="K154" s="5" t="str">
        <f t="shared" si="4"/>
        <v>https://www.google.com/maps?q=-11.326045, -41.868713</v>
      </c>
      <c r="L154" s="5" t="str">
        <f t="shared" si="5"/>
        <v>Abrir no Maps</v>
      </c>
      <c r="M154" t="s">
        <v>1137</v>
      </c>
      <c r="N154" s="5"/>
      <c r="O154" t="str">
        <f>VLOOKUP(G154,'[1]CONFIG.'!$B:$C,2,0)</f>
        <v>HIAGO</v>
      </c>
      <c r="P154" t="str">
        <f>VLOOKUP(O154,'[1]CONFIG.'!$C:$D,2,0)</f>
        <v>74 99872571</v>
      </c>
    </row>
    <row r="155" spans="1:16" x14ac:dyDescent="0.3">
      <c r="A155" t="s">
        <v>1138</v>
      </c>
      <c r="B155" t="s">
        <v>1139</v>
      </c>
      <c r="C155" t="s">
        <v>1140</v>
      </c>
      <c r="D155" t="s">
        <v>36</v>
      </c>
      <c r="E155" t="s">
        <v>1141</v>
      </c>
      <c r="F155" t="s">
        <v>167</v>
      </c>
      <c r="G155">
        <v>203</v>
      </c>
      <c r="H155">
        <v>200</v>
      </c>
      <c r="I155" s="5" t="s">
        <v>1142</v>
      </c>
      <c r="J155" s="5" t="s">
        <v>1143</v>
      </c>
      <c r="K155" s="5" t="str">
        <f t="shared" si="4"/>
        <v>https://www.google.com/maps?q=-11.302665, -41.860146</v>
      </c>
      <c r="L155" s="5" t="str">
        <f t="shared" si="5"/>
        <v>Abrir no Maps</v>
      </c>
      <c r="M155" t="s">
        <v>1144</v>
      </c>
      <c r="N155" s="5"/>
      <c r="O155" t="str">
        <f>VLOOKUP(G155,'[1]CONFIG.'!$B:$C,2,0)</f>
        <v>ALEXANDRE</v>
      </c>
      <c r="P155" t="str">
        <f>VLOOKUP(O155,'[1]CONFIG.'!$C:$D,2,0)</f>
        <v>74 99653478</v>
      </c>
    </row>
    <row r="156" spans="1:16" x14ac:dyDescent="0.3">
      <c r="A156" t="s">
        <v>1145</v>
      </c>
      <c r="B156" t="s">
        <v>1146</v>
      </c>
      <c r="C156" t="s">
        <v>1147</v>
      </c>
      <c r="D156" t="s">
        <v>36</v>
      </c>
      <c r="E156" t="s">
        <v>1148</v>
      </c>
      <c r="F156" t="s">
        <v>159</v>
      </c>
      <c r="G156">
        <v>210</v>
      </c>
      <c r="H156">
        <v>500</v>
      </c>
      <c r="I156" s="5" t="s">
        <v>1149</v>
      </c>
      <c r="J156" s="5" t="s">
        <v>1150</v>
      </c>
      <c r="K156" s="5" t="str">
        <f t="shared" si="4"/>
        <v>https://www.google.com/maps?q=-11.302672, -41.850840</v>
      </c>
      <c r="L156" s="5" t="str">
        <f t="shared" si="5"/>
        <v>Abrir no Maps</v>
      </c>
      <c r="M156" t="s">
        <v>1151</v>
      </c>
      <c r="N156" s="5"/>
      <c r="O156" t="str">
        <f>VLOOKUP(G156,'[1]CONFIG.'!$B:$C,2,0)</f>
        <v>SILAS</v>
      </c>
      <c r="P156" t="str">
        <f>VLOOKUP(O156,'[1]CONFIG.'!$C:$D,2,0)</f>
        <v>74 98041875</v>
      </c>
    </row>
    <row r="157" spans="1:16" x14ac:dyDescent="0.3">
      <c r="A157" t="s">
        <v>1152</v>
      </c>
      <c r="B157" t="s">
        <v>1153</v>
      </c>
      <c r="C157" t="s">
        <v>1154</v>
      </c>
      <c r="D157" t="s">
        <v>36</v>
      </c>
      <c r="E157" t="s">
        <v>1155</v>
      </c>
      <c r="F157" t="s">
        <v>93</v>
      </c>
      <c r="G157">
        <v>210</v>
      </c>
      <c r="H157">
        <v>500</v>
      </c>
      <c r="I157" s="5" t="s">
        <v>1156</v>
      </c>
      <c r="J157" s="5" t="s">
        <v>1157</v>
      </c>
      <c r="K157" s="5" t="str">
        <f t="shared" si="4"/>
        <v>https://www.google.com/maps?q=-11.295859, -41.852943</v>
      </c>
      <c r="L157" s="5" t="str">
        <f t="shared" si="5"/>
        <v>Abrir no Maps</v>
      </c>
      <c r="M157" t="s">
        <v>1158</v>
      </c>
      <c r="N157" s="5"/>
      <c r="O157" t="str">
        <f>VLOOKUP(G157,'[1]CONFIG.'!$B:$C,2,0)</f>
        <v>SILAS</v>
      </c>
      <c r="P157" t="str">
        <f>VLOOKUP(O157,'[1]CONFIG.'!$C:$D,2,0)</f>
        <v>74 98041875</v>
      </c>
    </row>
    <row r="158" spans="1:16" x14ac:dyDescent="0.3">
      <c r="A158" t="s">
        <v>1159</v>
      </c>
      <c r="B158" t="s">
        <v>1160</v>
      </c>
      <c r="C158" t="s">
        <v>1161</v>
      </c>
      <c r="D158" t="s">
        <v>36</v>
      </c>
      <c r="E158" t="s">
        <v>1162</v>
      </c>
      <c r="F158" t="s">
        <v>46</v>
      </c>
      <c r="G158">
        <v>203</v>
      </c>
      <c r="H158">
        <v>200</v>
      </c>
      <c r="I158" s="5" t="s">
        <v>1163</v>
      </c>
      <c r="J158" s="5" t="s">
        <v>1164</v>
      </c>
      <c r="K158" s="5" t="str">
        <f t="shared" si="4"/>
        <v>https://www.google.com/maps?q=-11.237268, -41.754135</v>
      </c>
      <c r="L158" s="5" t="str">
        <f t="shared" si="5"/>
        <v>Abrir no Maps</v>
      </c>
      <c r="M158" t="s">
        <v>1165</v>
      </c>
      <c r="N158" s="5"/>
      <c r="O158" t="str">
        <f>VLOOKUP(G158,'[1]CONFIG.'!$B:$C,2,0)</f>
        <v>ALEXANDRE</v>
      </c>
      <c r="P158" t="str">
        <f>VLOOKUP(O158,'[1]CONFIG.'!$C:$D,2,0)</f>
        <v>74 99653478</v>
      </c>
    </row>
    <row r="159" spans="1:16" x14ac:dyDescent="0.3">
      <c r="A159" t="s">
        <v>1166</v>
      </c>
      <c r="B159" t="s">
        <v>1167</v>
      </c>
      <c r="C159" t="s">
        <v>1168</v>
      </c>
      <c r="D159" t="s">
        <v>36</v>
      </c>
      <c r="E159" t="s">
        <v>1169</v>
      </c>
      <c r="F159" t="s">
        <v>137</v>
      </c>
      <c r="G159">
        <v>210</v>
      </c>
      <c r="H159">
        <v>500</v>
      </c>
      <c r="I159" s="5" t="s">
        <v>1170</v>
      </c>
      <c r="J159" s="5" t="s">
        <v>1171</v>
      </c>
      <c r="K159" s="5" t="str">
        <f t="shared" si="4"/>
        <v>https://www.google.com/maps?q=-11.300384, -41.861040</v>
      </c>
      <c r="L159" s="5" t="str">
        <f t="shared" si="5"/>
        <v>Abrir no Maps</v>
      </c>
      <c r="M159" t="s">
        <v>1172</v>
      </c>
      <c r="N159" s="5"/>
      <c r="O159" t="str">
        <f>VLOOKUP(G159,'[1]CONFIG.'!$B:$C,2,0)</f>
        <v>SILAS</v>
      </c>
      <c r="P159" t="str">
        <f>VLOOKUP(O159,'[1]CONFIG.'!$C:$D,2,0)</f>
        <v>74 98041875</v>
      </c>
    </row>
    <row r="160" spans="1:16" x14ac:dyDescent="0.3">
      <c r="A160" t="s">
        <v>1173</v>
      </c>
      <c r="B160" t="s">
        <v>1174</v>
      </c>
      <c r="C160" t="s">
        <v>1175</v>
      </c>
      <c r="D160" t="s">
        <v>36</v>
      </c>
      <c r="E160" t="s">
        <v>1176</v>
      </c>
      <c r="F160" t="s">
        <v>167</v>
      </c>
      <c r="G160">
        <v>210</v>
      </c>
      <c r="H160">
        <v>500</v>
      </c>
      <c r="I160" s="5" t="s">
        <v>1177</v>
      </c>
      <c r="J160" s="5" t="s">
        <v>1178</v>
      </c>
      <c r="K160" s="5" t="str">
        <f t="shared" si="4"/>
        <v>https://www.google.com/maps?q=-11.300928, -41.861855</v>
      </c>
      <c r="L160" s="5" t="str">
        <f t="shared" si="5"/>
        <v>Abrir no Maps</v>
      </c>
      <c r="M160" t="s">
        <v>1179</v>
      </c>
      <c r="N160" s="5"/>
      <c r="O160" t="str">
        <f>VLOOKUP(G160,'[1]CONFIG.'!$B:$C,2,0)</f>
        <v>SILAS</v>
      </c>
      <c r="P160" t="str">
        <f>VLOOKUP(O160,'[1]CONFIG.'!$C:$D,2,0)</f>
        <v>74 98041875</v>
      </c>
    </row>
    <row r="161" spans="1:16" x14ac:dyDescent="0.3">
      <c r="A161" t="s">
        <v>1180</v>
      </c>
      <c r="B161" t="s">
        <v>1181</v>
      </c>
      <c r="C161" t="s">
        <v>1182</v>
      </c>
      <c r="D161" t="s">
        <v>36</v>
      </c>
      <c r="E161" t="s">
        <v>1183</v>
      </c>
      <c r="F161" t="s">
        <v>853</v>
      </c>
      <c r="G161">
        <v>212</v>
      </c>
      <c r="H161">
        <v>200</v>
      </c>
      <c r="I161" s="5" t="s">
        <v>1184</v>
      </c>
      <c r="J161" s="5" t="s">
        <v>1185</v>
      </c>
      <c r="K161" s="5" t="str">
        <f t="shared" si="4"/>
        <v>https://www.google.com/maps?q=-11.311426, -41.851257</v>
      </c>
      <c r="L161" s="5" t="str">
        <f t="shared" si="5"/>
        <v>Abrir no Maps</v>
      </c>
      <c r="M161" t="s">
        <v>1186</v>
      </c>
      <c r="N161" s="5"/>
      <c r="O161" t="str">
        <f>VLOOKUP(G161,'[1]CONFIG.'!$B:$C,2,0)</f>
        <v>ANDRE</v>
      </c>
      <c r="P161" t="str">
        <f>VLOOKUP(O161,'[1]CONFIG.'!$C:$D,2,0)</f>
        <v>74 99916877</v>
      </c>
    </row>
    <row r="162" spans="1:16" x14ac:dyDescent="0.3">
      <c r="A162" t="s">
        <v>1187</v>
      </c>
      <c r="B162" t="s">
        <v>1188</v>
      </c>
      <c r="C162" t="s">
        <v>1189</v>
      </c>
      <c r="D162" t="s">
        <v>36</v>
      </c>
      <c r="E162" t="s">
        <v>1190</v>
      </c>
      <c r="F162" t="s">
        <v>137</v>
      </c>
      <c r="G162">
        <v>204</v>
      </c>
      <c r="H162">
        <v>500</v>
      </c>
      <c r="I162" s="5" t="s">
        <v>1191</v>
      </c>
      <c r="J162" s="5" t="s">
        <v>1192</v>
      </c>
      <c r="K162" s="5" t="str">
        <f t="shared" si="4"/>
        <v>https://www.google.com/maps?q=-11.301723, -41.854187</v>
      </c>
      <c r="L162" s="5" t="str">
        <f t="shared" si="5"/>
        <v>Abrir no Maps</v>
      </c>
      <c r="M162" t="s">
        <v>1193</v>
      </c>
      <c r="N162" s="5"/>
      <c r="O162" t="str">
        <f>VLOOKUP(G162,'[1]CONFIG.'!$B:$C,2,0)</f>
        <v>EVA</v>
      </c>
      <c r="P162" t="str">
        <f>VLOOKUP(O162,'[1]CONFIG.'!$C:$D,2,0)</f>
        <v>74 98046078</v>
      </c>
    </row>
    <row r="163" spans="1:16" x14ac:dyDescent="0.3">
      <c r="A163" t="s">
        <v>1194</v>
      </c>
      <c r="B163" t="s">
        <v>1195</v>
      </c>
      <c r="C163" t="s">
        <v>1196</v>
      </c>
      <c r="D163" t="s">
        <v>36</v>
      </c>
      <c r="E163" t="s">
        <v>1197</v>
      </c>
      <c r="F163" t="s">
        <v>137</v>
      </c>
      <c r="G163">
        <v>212</v>
      </c>
      <c r="H163">
        <v>200</v>
      </c>
      <c r="I163" s="5" t="s">
        <v>1198</v>
      </c>
      <c r="J163" s="5" t="s">
        <v>1199</v>
      </c>
      <c r="K163" s="5" t="str">
        <f t="shared" si="4"/>
        <v>https://www.google.com/maps?q=-11.305427, -41.858074</v>
      </c>
      <c r="L163" s="5" t="str">
        <f t="shared" si="5"/>
        <v>Abrir no Maps</v>
      </c>
      <c r="M163" t="s">
        <v>1200</v>
      </c>
      <c r="N163" s="5"/>
      <c r="O163" t="str">
        <f>VLOOKUP(G163,'[1]CONFIG.'!$B:$C,2,0)</f>
        <v>ANDRE</v>
      </c>
      <c r="P163" t="str">
        <f>VLOOKUP(O163,'[1]CONFIG.'!$C:$D,2,0)</f>
        <v>74 99916877</v>
      </c>
    </row>
    <row r="164" spans="1:16" x14ac:dyDescent="0.3">
      <c r="A164" t="s">
        <v>1201</v>
      </c>
      <c r="B164" t="s">
        <v>1202</v>
      </c>
      <c r="C164" t="s">
        <v>1203</v>
      </c>
      <c r="D164" t="s">
        <v>36</v>
      </c>
      <c r="E164" t="s">
        <v>1204</v>
      </c>
      <c r="F164" t="s">
        <v>137</v>
      </c>
      <c r="G164">
        <v>212</v>
      </c>
      <c r="H164">
        <v>200</v>
      </c>
      <c r="I164" s="5" t="s">
        <v>1205</v>
      </c>
      <c r="J164" s="5" t="s">
        <v>1206</v>
      </c>
      <c r="K164" s="5" t="str">
        <f t="shared" si="4"/>
        <v>https://www.google.com/maps?q=-11.303869, -41.850002</v>
      </c>
      <c r="L164" s="5" t="str">
        <f t="shared" si="5"/>
        <v>Abrir no Maps</v>
      </c>
      <c r="M164" t="s">
        <v>1207</v>
      </c>
      <c r="N164" s="5"/>
      <c r="O164" t="str">
        <f>VLOOKUP(G164,'[1]CONFIG.'!$B:$C,2,0)</f>
        <v>ANDRE</v>
      </c>
      <c r="P164" t="str">
        <f>VLOOKUP(O164,'[1]CONFIG.'!$C:$D,2,0)</f>
        <v>74 99916877</v>
      </c>
    </row>
    <row r="165" spans="1:16" x14ac:dyDescent="0.3">
      <c r="A165" t="s">
        <v>1208</v>
      </c>
      <c r="B165" t="s">
        <v>1209</v>
      </c>
      <c r="C165" t="s">
        <v>1210</v>
      </c>
      <c r="D165" t="s">
        <v>36</v>
      </c>
      <c r="E165" t="s">
        <v>1211</v>
      </c>
      <c r="F165" t="s">
        <v>1212</v>
      </c>
      <c r="G165">
        <v>203</v>
      </c>
      <c r="H165">
        <v>200</v>
      </c>
      <c r="I165" s="5" t="s">
        <v>1213</v>
      </c>
      <c r="J165" s="5" t="s">
        <v>1214</v>
      </c>
      <c r="K165" s="5" t="str">
        <f t="shared" si="4"/>
        <v>https://www.google.com/maps?q=-11.299362, -41.847473</v>
      </c>
      <c r="L165" s="5" t="str">
        <f t="shared" si="5"/>
        <v>Abrir no Maps</v>
      </c>
      <c r="M165" t="s">
        <v>1215</v>
      </c>
      <c r="N165" s="5"/>
      <c r="O165" t="str">
        <f>VLOOKUP(G165,'[1]CONFIG.'!$B:$C,2,0)</f>
        <v>ALEXANDRE</v>
      </c>
      <c r="P165" t="str">
        <f>VLOOKUP(O165,'[1]CONFIG.'!$C:$D,2,0)</f>
        <v>74 99653478</v>
      </c>
    </row>
    <row r="166" spans="1:16" x14ac:dyDescent="0.3">
      <c r="A166" t="s">
        <v>1216</v>
      </c>
      <c r="B166" t="s">
        <v>1217</v>
      </c>
      <c r="C166" t="s">
        <v>1218</v>
      </c>
      <c r="D166" t="s">
        <v>36</v>
      </c>
      <c r="E166" t="s">
        <v>1219</v>
      </c>
      <c r="F166" t="s">
        <v>137</v>
      </c>
      <c r="G166">
        <v>210</v>
      </c>
      <c r="H166">
        <v>500</v>
      </c>
      <c r="I166" s="5" t="s">
        <v>1220</v>
      </c>
      <c r="J166" s="5" t="s">
        <v>601</v>
      </c>
      <c r="K166" s="5" t="str">
        <f t="shared" si="4"/>
        <v>https://www.google.com/maps?q=-11.302530, -41.858940</v>
      </c>
      <c r="L166" s="5" t="str">
        <f t="shared" si="5"/>
        <v>Abrir no Maps</v>
      </c>
      <c r="M166" t="s">
        <v>1221</v>
      </c>
      <c r="N166" s="5"/>
      <c r="O166" t="str">
        <f>VLOOKUP(G166,'[1]CONFIG.'!$B:$C,2,0)</f>
        <v>SILAS</v>
      </c>
      <c r="P166" t="str">
        <f>VLOOKUP(O166,'[1]CONFIG.'!$C:$D,2,0)</f>
        <v>74 98041875</v>
      </c>
    </row>
    <row r="167" spans="1:16" x14ac:dyDescent="0.3">
      <c r="A167" t="s">
        <v>1222</v>
      </c>
      <c r="B167" t="s">
        <v>1223</v>
      </c>
      <c r="C167" t="s">
        <v>1224</v>
      </c>
      <c r="D167" t="s">
        <v>36</v>
      </c>
      <c r="E167" t="s">
        <v>1225</v>
      </c>
      <c r="F167" t="s">
        <v>62</v>
      </c>
      <c r="G167">
        <v>211</v>
      </c>
      <c r="H167">
        <v>500</v>
      </c>
      <c r="I167" s="5" t="s">
        <v>1226</v>
      </c>
      <c r="J167" s="5" t="s">
        <v>1227</v>
      </c>
      <c r="K167" s="5" t="str">
        <f t="shared" si="4"/>
        <v>https://www.google.com/maps?q=-11.291882, -41.852860</v>
      </c>
      <c r="L167" s="5" t="str">
        <f t="shared" si="5"/>
        <v>Abrir no Maps</v>
      </c>
      <c r="M167" t="s">
        <v>1228</v>
      </c>
      <c r="N167" s="5"/>
      <c r="O167" t="str">
        <f>VLOOKUP(G167,'[1]CONFIG.'!$B:$C,2,0)</f>
        <v>DAIANE</v>
      </c>
      <c r="P167" t="str">
        <f>VLOOKUP(O167,'[1]CONFIG.'!$C:$D,2,0)</f>
        <v>74 99298866</v>
      </c>
    </row>
    <row r="168" spans="1:16" x14ac:dyDescent="0.3">
      <c r="A168" t="s">
        <v>1229</v>
      </c>
      <c r="B168" t="s">
        <v>1230</v>
      </c>
      <c r="C168" t="s">
        <v>1231</v>
      </c>
      <c r="D168" t="s">
        <v>36</v>
      </c>
      <c r="E168" t="s">
        <v>1232</v>
      </c>
      <c r="F168" t="s">
        <v>137</v>
      </c>
      <c r="G168">
        <v>207</v>
      </c>
      <c r="H168">
        <v>500</v>
      </c>
      <c r="I168" s="5" t="s">
        <v>1233</v>
      </c>
      <c r="J168" s="5" t="s">
        <v>1234</v>
      </c>
      <c r="K168" s="5" t="str">
        <f t="shared" si="4"/>
        <v>https://www.google.com/maps?q=-11.303557, -41.864420</v>
      </c>
      <c r="L168" s="5" t="str">
        <f t="shared" si="5"/>
        <v>Abrir no Maps</v>
      </c>
      <c r="M168" t="s">
        <v>1235</v>
      </c>
      <c r="N168" s="5"/>
      <c r="O168" t="str">
        <f>VLOOKUP(G168,'[1]CONFIG.'!$B:$C,2,0)</f>
        <v>HIAGO</v>
      </c>
      <c r="P168" t="str">
        <f>VLOOKUP(O168,'[1]CONFIG.'!$C:$D,2,0)</f>
        <v>74 99872571</v>
      </c>
    </row>
    <row r="169" spans="1:16" x14ac:dyDescent="0.3">
      <c r="A169" t="s">
        <v>1236</v>
      </c>
      <c r="B169" t="s">
        <v>1237</v>
      </c>
      <c r="C169" t="s">
        <v>1238</v>
      </c>
      <c r="D169" t="s">
        <v>36</v>
      </c>
      <c r="E169" t="s">
        <v>1239</v>
      </c>
      <c r="F169" t="s">
        <v>108</v>
      </c>
      <c r="G169">
        <v>203</v>
      </c>
      <c r="H169">
        <v>200</v>
      </c>
      <c r="I169" s="5" t="s">
        <v>1240</v>
      </c>
      <c r="J169" s="5" t="s">
        <v>1241</v>
      </c>
      <c r="K169" s="5" t="str">
        <f t="shared" si="4"/>
        <v>https://www.google.com/maps?q=-11.309658, -41.862106</v>
      </c>
      <c r="L169" s="5" t="str">
        <f t="shared" si="5"/>
        <v>Abrir no Maps</v>
      </c>
      <c r="M169" t="s">
        <v>1242</v>
      </c>
      <c r="N169" s="5"/>
      <c r="O169" t="str">
        <f>VLOOKUP(G169,'[1]CONFIG.'!$B:$C,2,0)</f>
        <v>ALEXANDRE</v>
      </c>
      <c r="P169" t="str">
        <f>VLOOKUP(O169,'[1]CONFIG.'!$C:$D,2,0)</f>
        <v>74 99653478</v>
      </c>
    </row>
    <row r="170" spans="1:16" x14ac:dyDescent="0.3">
      <c r="A170" t="s">
        <v>1243</v>
      </c>
      <c r="B170" t="s">
        <v>1244</v>
      </c>
      <c r="C170" t="s">
        <v>1245</v>
      </c>
      <c r="D170" t="s">
        <v>36</v>
      </c>
      <c r="E170" t="s">
        <v>1246</v>
      </c>
      <c r="F170" t="s">
        <v>137</v>
      </c>
      <c r="G170">
        <v>210</v>
      </c>
      <c r="H170">
        <v>500</v>
      </c>
      <c r="I170" s="5" t="s">
        <v>1247</v>
      </c>
      <c r="J170" s="5" t="s">
        <v>1248</v>
      </c>
      <c r="K170" s="5" t="str">
        <f t="shared" si="4"/>
        <v>https://www.google.com/maps?q=-11.303489, -41.867200</v>
      </c>
      <c r="L170" s="5" t="str">
        <f t="shared" si="5"/>
        <v>Abrir no Maps</v>
      </c>
      <c r="M170" t="s">
        <v>1249</v>
      </c>
      <c r="N170" s="5"/>
      <c r="O170" t="str">
        <f>VLOOKUP(G170,'[1]CONFIG.'!$B:$C,2,0)</f>
        <v>SILAS</v>
      </c>
      <c r="P170" t="str">
        <f>VLOOKUP(O170,'[1]CONFIG.'!$C:$D,2,0)</f>
        <v>74 98041875</v>
      </c>
    </row>
    <row r="171" spans="1:16" x14ac:dyDescent="0.3">
      <c r="A171" t="s">
        <v>1250</v>
      </c>
      <c r="B171" t="s">
        <v>1251</v>
      </c>
      <c r="C171" t="s">
        <v>1252</v>
      </c>
      <c r="D171" t="s">
        <v>36</v>
      </c>
      <c r="E171" t="s">
        <v>1253</v>
      </c>
      <c r="F171" t="s">
        <v>137</v>
      </c>
      <c r="G171">
        <v>207</v>
      </c>
      <c r="H171">
        <v>500</v>
      </c>
      <c r="I171" s="5" t="s">
        <v>1254</v>
      </c>
      <c r="J171" s="5" t="s">
        <v>1255</v>
      </c>
      <c r="K171" s="5" t="str">
        <f t="shared" si="4"/>
        <v>https://www.google.com/maps?q=-11.303309, -41.857773</v>
      </c>
      <c r="L171" s="5" t="str">
        <f t="shared" si="5"/>
        <v>Abrir no Maps</v>
      </c>
      <c r="M171" t="s">
        <v>1256</v>
      </c>
      <c r="N171" s="5"/>
      <c r="O171" t="str">
        <f>VLOOKUP(G171,'[1]CONFIG.'!$B:$C,2,0)</f>
        <v>HIAGO</v>
      </c>
      <c r="P171" t="str">
        <f>VLOOKUP(O171,'[1]CONFIG.'!$C:$D,2,0)</f>
        <v>74 99872571</v>
      </c>
    </row>
    <row r="172" spans="1:16" x14ac:dyDescent="0.3">
      <c r="A172" t="s">
        <v>1257</v>
      </c>
      <c r="B172" t="s">
        <v>1258</v>
      </c>
      <c r="C172" t="s">
        <v>1259</v>
      </c>
      <c r="D172" t="s">
        <v>36</v>
      </c>
      <c r="E172" t="s">
        <v>1260</v>
      </c>
      <c r="F172" t="s">
        <v>217</v>
      </c>
      <c r="G172">
        <v>209</v>
      </c>
      <c r="H172">
        <v>500</v>
      </c>
      <c r="I172" s="5" t="s">
        <v>1261</v>
      </c>
      <c r="J172" s="5" t="s">
        <v>1262</v>
      </c>
      <c r="K172" s="5" t="str">
        <f t="shared" si="4"/>
        <v>https://www.google.com/maps?q=-11.303773, -41.845387</v>
      </c>
      <c r="L172" s="5" t="str">
        <f t="shared" si="5"/>
        <v>Abrir no Maps</v>
      </c>
      <c r="M172" t="s">
        <v>1263</v>
      </c>
      <c r="N172" s="5"/>
      <c r="O172" t="str">
        <f>VLOOKUP(G172,'[1]CONFIG.'!$B:$C,2,0)</f>
        <v>IGOR</v>
      </c>
      <c r="P172" t="str">
        <f>VLOOKUP(O172,'[1]CONFIG.'!$C:$D,2,0)</f>
        <v>74 99590346</v>
      </c>
    </row>
    <row r="173" spans="1:16" x14ac:dyDescent="0.3">
      <c r="A173" t="s">
        <v>1264</v>
      </c>
      <c r="B173" t="s">
        <v>1265</v>
      </c>
      <c r="C173" t="s">
        <v>1266</v>
      </c>
      <c r="D173" t="s">
        <v>36</v>
      </c>
      <c r="E173" t="s">
        <v>1267</v>
      </c>
      <c r="F173" t="s">
        <v>853</v>
      </c>
      <c r="G173">
        <v>212</v>
      </c>
      <c r="H173">
        <v>200</v>
      </c>
      <c r="I173" s="5" t="s">
        <v>1268</v>
      </c>
      <c r="J173" s="5" t="s">
        <v>1269</v>
      </c>
      <c r="K173" s="5" t="str">
        <f t="shared" si="4"/>
        <v>https://www.google.com/maps?q=-11.309456, -41.848053</v>
      </c>
      <c r="L173" s="5" t="str">
        <f t="shared" si="5"/>
        <v>Abrir no Maps</v>
      </c>
      <c r="M173" t="s">
        <v>1270</v>
      </c>
      <c r="N173" s="5"/>
      <c r="O173" t="str">
        <f>VLOOKUP(G173,'[1]CONFIG.'!$B:$C,2,0)</f>
        <v>ANDRE</v>
      </c>
      <c r="P173" t="str">
        <f>VLOOKUP(O173,'[1]CONFIG.'!$C:$D,2,0)</f>
        <v>74 99916877</v>
      </c>
    </row>
    <row r="174" spans="1:16" x14ac:dyDescent="0.3">
      <c r="A174" t="s">
        <v>1271</v>
      </c>
      <c r="B174" t="s">
        <v>1272</v>
      </c>
      <c r="C174" t="s">
        <v>1273</v>
      </c>
      <c r="D174" t="s">
        <v>36</v>
      </c>
      <c r="E174" t="s">
        <v>1274</v>
      </c>
      <c r="F174" t="s">
        <v>137</v>
      </c>
      <c r="G174">
        <v>203</v>
      </c>
      <c r="H174">
        <v>200</v>
      </c>
      <c r="I174" s="5" t="s">
        <v>1275</v>
      </c>
      <c r="J174" s="5" t="s">
        <v>1276</v>
      </c>
      <c r="K174" s="5" t="str">
        <f t="shared" si="4"/>
        <v>https://www.google.com/maps?q=-11.238346, -41.754470</v>
      </c>
      <c r="L174" s="5" t="str">
        <f t="shared" si="5"/>
        <v>Abrir no Maps</v>
      </c>
      <c r="M174" t="s">
        <v>1277</v>
      </c>
      <c r="N174" s="5"/>
      <c r="O174" t="str">
        <f>VLOOKUP(G174,'[1]CONFIG.'!$B:$C,2,0)</f>
        <v>ALEXANDRE</v>
      </c>
      <c r="P174" t="str">
        <f>VLOOKUP(O174,'[1]CONFIG.'!$C:$D,2,0)</f>
        <v>74 99653478</v>
      </c>
    </row>
    <row r="175" spans="1:16" x14ac:dyDescent="0.3">
      <c r="A175" t="s">
        <v>1278</v>
      </c>
      <c r="B175" t="s">
        <v>1279</v>
      </c>
      <c r="C175" t="s">
        <v>1280</v>
      </c>
      <c r="D175" t="s">
        <v>539</v>
      </c>
      <c r="E175" t="s">
        <v>1281</v>
      </c>
      <c r="F175" t="s">
        <v>137</v>
      </c>
      <c r="G175">
        <v>204</v>
      </c>
      <c r="H175">
        <v>500</v>
      </c>
      <c r="I175" s="5" t="s">
        <v>1282</v>
      </c>
      <c r="J175" s="5" t="s">
        <v>1283</v>
      </c>
      <c r="K175" s="5" t="str">
        <f t="shared" si="4"/>
        <v>https://www.google.com/maps?q=-11.382493, -41.833344</v>
      </c>
      <c r="L175" s="5" t="str">
        <f t="shared" si="5"/>
        <v>Abrir no Maps</v>
      </c>
      <c r="M175" t="s">
        <v>1284</v>
      </c>
      <c r="N175" s="5"/>
      <c r="O175" t="str">
        <f>VLOOKUP(G175,'[1]CONFIG.'!$B:$C,2,0)</f>
        <v>EVA</v>
      </c>
      <c r="P175" t="str">
        <f>VLOOKUP(O175,'[1]CONFIG.'!$C:$D,2,0)</f>
        <v>74 98046078</v>
      </c>
    </row>
    <row r="176" spans="1:16" x14ac:dyDescent="0.3">
      <c r="A176" t="s">
        <v>1285</v>
      </c>
      <c r="B176" t="s">
        <v>1286</v>
      </c>
      <c r="C176" t="s">
        <v>1287</v>
      </c>
      <c r="D176" t="s">
        <v>36</v>
      </c>
      <c r="E176" t="s">
        <v>1288</v>
      </c>
      <c r="F176" t="s">
        <v>137</v>
      </c>
      <c r="G176">
        <v>207</v>
      </c>
      <c r="H176">
        <v>500</v>
      </c>
      <c r="I176" s="5" t="s">
        <v>1289</v>
      </c>
      <c r="J176" s="5" t="s">
        <v>1290</v>
      </c>
      <c r="K176" s="5" t="str">
        <f t="shared" si="4"/>
        <v>https://www.google.com/maps?q=-11.309496, -41.863270</v>
      </c>
      <c r="L176" s="5" t="str">
        <f t="shared" si="5"/>
        <v>Abrir no Maps</v>
      </c>
      <c r="M176" t="s">
        <v>1291</v>
      </c>
      <c r="N176" s="5"/>
      <c r="O176" t="str">
        <f>VLOOKUP(G176,'[1]CONFIG.'!$B:$C,2,0)</f>
        <v>HIAGO</v>
      </c>
      <c r="P176" t="str">
        <f>VLOOKUP(O176,'[1]CONFIG.'!$C:$D,2,0)</f>
        <v>74 99872571</v>
      </c>
    </row>
    <row r="177" spans="1:16" x14ac:dyDescent="0.3">
      <c r="A177" t="s">
        <v>1292</v>
      </c>
      <c r="B177" t="s">
        <v>1293</v>
      </c>
      <c r="C177" t="s">
        <v>1294</v>
      </c>
      <c r="D177" t="s">
        <v>36</v>
      </c>
      <c r="E177" t="s">
        <v>1295</v>
      </c>
      <c r="F177" t="s">
        <v>217</v>
      </c>
      <c r="G177">
        <v>212</v>
      </c>
      <c r="H177">
        <v>200</v>
      </c>
      <c r="I177" s="5" t="s">
        <v>1296</v>
      </c>
      <c r="J177" s="5" t="s">
        <v>1297</v>
      </c>
      <c r="K177" s="5" t="str">
        <f t="shared" si="4"/>
        <v>https://www.google.com/maps?q=-11.304898, -41.849140</v>
      </c>
      <c r="L177" s="5" t="str">
        <f t="shared" si="5"/>
        <v>Abrir no Maps</v>
      </c>
      <c r="M177" t="s">
        <v>1298</v>
      </c>
      <c r="N177" s="5"/>
      <c r="O177" t="str">
        <f>VLOOKUP(G177,'[1]CONFIG.'!$B:$C,2,0)</f>
        <v>ANDRE</v>
      </c>
      <c r="P177" t="str">
        <f>VLOOKUP(O177,'[1]CONFIG.'!$C:$D,2,0)</f>
        <v>74 99916877</v>
      </c>
    </row>
    <row r="178" spans="1:16" x14ac:dyDescent="0.3">
      <c r="A178" t="s">
        <v>1299</v>
      </c>
      <c r="B178" t="s">
        <v>1300</v>
      </c>
      <c r="C178" t="s">
        <v>1301</v>
      </c>
      <c r="D178" t="s">
        <v>36</v>
      </c>
      <c r="E178" t="s">
        <v>1302</v>
      </c>
      <c r="F178" t="s">
        <v>366</v>
      </c>
      <c r="G178">
        <v>210</v>
      </c>
      <c r="H178">
        <v>500</v>
      </c>
      <c r="I178" s="5" t="s">
        <v>1303</v>
      </c>
      <c r="J178" s="5" t="s">
        <v>1304</v>
      </c>
      <c r="K178" s="5" t="str">
        <f t="shared" si="4"/>
        <v>https://www.google.com/maps?q=-11.294780, -41.864197</v>
      </c>
      <c r="L178" s="5" t="str">
        <f t="shared" si="5"/>
        <v>Abrir no Maps</v>
      </c>
      <c r="M178" t="s">
        <v>1305</v>
      </c>
      <c r="N178" s="5"/>
      <c r="O178" t="str">
        <f>VLOOKUP(G178,'[1]CONFIG.'!$B:$C,2,0)</f>
        <v>SILAS</v>
      </c>
      <c r="P178" t="str">
        <f>VLOOKUP(O178,'[1]CONFIG.'!$C:$D,2,0)</f>
        <v>74 98041875</v>
      </c>
    </row>
    <row r="179" spans="1:16" x14ac:dyDescent="0.3">
      <c r="A179" t="s">
        <v>1306</v>
      </c>
      <c r="B179" t="s">
        <v>1307</v>
      </c>
      <c r="C179" t="s">
        <v>1308</v>
      </c>
      <c r="D179" t="s">
        <v>36</v>
      </c>
      <c r="E179" t="s">
        <v>1309</v>
      </c>
      <c r="F179" t="s">
        <v>366</v>
      </c>
      <c r="G179">
        <v>210</v>
      </c>
      <c r="H179">
        <v>500</v>
      </c>
      <c r="I179" s="5" t="s">
        <v>1310</v>
      </c>
      <c r="J179" s="5" t="s">
        <v>1311</v>
      </c>
      <c r="K179" s="5" t="str">
        <f t="shared" si="4"/>
        <v>https://www.google.com/maps?q=-11.294910, -41.862260</v>
      </c>
      <c r="L179" s="5" t="str">
        <f t="shared" si="5"/>
        <v>Abrir no Maps</v>
      </c>
      <c r="M179" t="s">
        <v>1312</v>
      </c>
      <c r="N179" s="5"/>
      <c r="O179" t="str">
        <f>VLOOKUP(G179,'[1]CONFIG.'!$B:$C,2,0)</f>
        <v>SILAS</v>
      </c>
      <c r="P179" t="str">
        <f>VLOOKUP(O179,'[1]CONFIG.'!$C:$D,2,0)</f>
        <v>74 98041875</v>
      </c>
    </row>
    <row r="180" spans="1:16" x14ac:dyDescent="0.3">
      <c r="A180" t="s">
        <v>1313</v>
      </c>
      <c r="B180" t="s">
        <v>1314</v>
      </c>
      <c r="C180" t="s">
        <v>1315</v>
      </c>
      <c r="D180" t="s">
        <v>36</v>
      </c>
      <c r="E180" t="s">
        <v>1316</v>
      </c>
      <c r="F180" t="s">
        <v>137</v>
      </c>
      <c r="G180">
        <v>212</v>
      </c>
      <c r="H180">
        <v>200</v>
      </c>
      <c r="I180" s="5" t="s">
        <v>1317</v>
      </c>
      <c r="J180" s="5" t="s">
        <v>1318</v>
      </c>
      <c r="K180" s="5" t="str">
        <f t="shared" si="4"/>
        <v>https://www.google.com/maps?q=-11.303867, -41.858120</v>
      </c>
      <c r="L180" s="5" t="str">
        <f t="shared" si="5"/>
        <v>Abrir no Maps</v>
      </c>
      <c r="M180" t="s">
        <v>1319</v>
      </c>
      <c r="N180" s="5"/>
      <c r="O180" t="str">
        <f>VLOOKUP(G180,'[1]CONFIG.'!$B:$C,2,0)</f>
        <v>ANDRE</v>
      </c>
      <c r="P180" t="str">
        <f>VLOOKUP(O180,'[1]CONFIG.'!$C:$D,2,0)</f>
        <v>74 99916877</v>
      </c>
    </row>
    <row r="181" spans="1:16" x14ac:dyDescent="0.3">
      <c r="A181" t="s">
        <v>1320</v>
      </c>
      <c r="B181" t="s">
        <v>1321</v>
      </c>
      <c r="C181" t="s">
        <v>1322</v>
      </c>
      <c r="D181" t="s">
        <v>36</v>
      </c>
      <c r="E181" t="s">
        <v>1323</v>
      </c>
      <c r="F181" t="s">
        <v>137</v>
      </c>
      <c r="G181">
        <v>210</v>
      </c>
      <c r="H181">
        <v>500</v>
      </c>
      <c r="I181" s="5" t="s">
        <v>1324</v>
      </c>
      <c r="J181" s="5" t="s">
        <v>1325</v>
      </c>
      <c r="K181" s="5" t="str">
        <f t="shared" si="4"/>
        <v>https://www.google.com/maps?q=-11.303090, -41.852670</v>
      </c>
      <c r="L181" s="5" t="str">
        <f t="shared" si="5"/>
        <v>Abrir no Maps</v>
      </c>
      <c r="M181" t="s">
        <v>1326</v>
      </c>
      <c r="N181" s="5"/>
      <c r="O181" t="str">
        <f>VLOOKUP(G181,'[1]CONFIG.'!$B:$C,2,0)</f>
        <v>SILAS</v>
      </c>
      <c r="P181" t="str">
        <f>VLOOKUP(O181,'[1]CONFIG.'!$C:$D,2,0)</f>
        <v>74 98041875</v>
      </c>
    </row>
    <row r="182" spans="1:16" x14ac:dyDescent="0.3">
      <c r="A182" t="s">
        <v>1327</v>
      </c>
      <c r="B182" t="s">
        <v>1328</v>
      </c>
      <c r="C182" t="s">
        <v>1329</v>
      </c>
      <c r="D182" t="s">
        <v>36</v>
      </c>
      <c r="E182" t="s">
        <v>1330</v>
      </c>
      <c r="F182" t="s">
        <v>38</v>
      </c>
      <c r="G182">
        <v>203</v>
      </c>
      <c r="H182">
        <v>200</v>
      </c>
      <c r="I182" s="5" t="s">
        <v>1331</v>
      </c>
      <c r="J182" s="5" t="s">
        <v>1332</v>
      </c>
      <c r="K182" s="5" t="str">
        <f t="shared" si="4"/>
        <v>https://www.google.com/maps?q=-11.307793, -41.851456</v>
      </c>
      <c r="L182" s="5" t="str">
        <f t="shared" si="5"/>
        <v>Abrir no Maps</v>
      </c>
      <c r="M182" t="s">
        <v>1333</v>
      </c>
      <c r="N182" s="5"/>
      <c r="O182" t="str">
        <f>VLOOKUP(G182,'[1]CONFIG.'!$B:$C,2,0)</f>
        <v>ALEXANDRE</v>
      </c>
      <c r="P182" t="str">
        <f>VLOOKUP(O182,'[1]CONFIG.'!$C:$D,2,0)</f>
        <v>74 99653478</v>
      </c>
    </row>
    <row r="183" spans="1:16" x14ac:dyDescent="0.3">
      <c r="A183" t="s">
        <v>1334</v>
      </c>
      <c r="B183" t="s">
        <v>1335</v>
      </c>
      <c r="C183" t="s">
        <v>1336</v>
      </c>
      <c r="D183" t="s">
        <v>36</v>
      </c>
      <c r="E183" t="s">
        <v>1337</v>
      </c>
      <c r="F183" t="s">
        <v>137</v>
      </c>
      <c r="G183">
        <v>209</v>
      </c>
      <c r="H183">
        <v>500</v>
      </c>
      <c r="I183" s="5" t="s">
        <v>1338</v>
      </c>
      <c r="J183" s="5" t="s">
        <v>1339</v>
      </c>
      <c r="K183" s="5" t="str">
        <f t="shared" si="4"/>
        <v>https://www.google.com/maps?q=-11.307919, -41.852240</v>
      </c>
      <c r="L183" s="5" t="str">
        <f t="shared" si="5"/>
        <v>Abrir no Maps</v>
      </c>
      <c r="M183" t="s">
        <v>1340</v>
      </c>
      <c r="N183" s="5"/>
      <c r="O183" t="str">
        <f>VLOOKUP(G183,'[1]CONFIG.'!$B:$C,2,0)</f>
        <v>IGOR</v>
      </c>
      <c r="P183" t="str">
        <f>VLOOKUP(O183,'[1]CONFIG.'!$C:$D,2,0)</f>
        <v>74 99590346</v>
      </c>
    </row>
    <row r="184" spans="1:16" x14ac:dyDescent="0.3">
      <c r="A184" t="s">
        <v>1341</v>
      </c>
      <c r="B184" t="s">
        <v>1342</v>
      </c>
      <c r="C184" t="s">
        <v>1343</v>
      </c>
      <c r="D184" t="s">
        <v>36</v>
      </c>
      <c r="E184" t="s">
        <v>1344</v>
      </c>
      <c r="F184" t="s">
        <v>1345</v>
      </c>
      <c r="G184">
        <v>209</v>
      </c>
      <c r="H184">
        <v>500</v>
      </c>
      <c r="I184" s="5" t="s">
        <v>1346</v>
      </c>
      <c r="J184" s="5" t="s">
        <v>1347</v>
      </c>
      <c r="K184" s="5" t="str">
        <f t="shared" si="4"/>
        <v>https://www.google.com/maps?q=-11.305346, -41.843636</v>
      </c>
      <c r="L184" s="5" t="str">
        <f t="shared" si="5"/>
        <v>Abrir no Maps</v>
      </c>
      <c r="M184" t="s">
        <v>1348</v>
      </c>
      <c r="N184" s="5"/>
      <c r="O184" t="str">
        <f>VLOOKUP(G184,'[1]CONFIG.'!$B:$C,2,0)</f>
        <v>IGOR</v>
      </c>
      <c r="P184" t="str">
        <f>VLOOKUP(O184,'[1]CONFIG.'!$C:$D,2,0)</f>
        <v>74 99590346</v>
      </c>
    </row>
    <row r="185" spans="1:16" x14ac:dyDescent="0.3">
      <c r="A185" t="s">
        <v>1349</v>
      </c>
      <c r="B185" t="s">
        <v>1350</v>
      </c>
      <c r="C185" t="s">
        <v>1351</v>
      </c>
      <c r="D185" t="s">
        <v>36</v>
      </c>
      <c r="E185" t="s">
        <v>1352</v>
      </c>
      <c r="F185" t="s">
        <v>1353</v>
      </c>
      <c r="G185">
        <v>211</v>
      </c>
      <c r="H185">
        <v>500</v>
      </c>
      <c r="I185" s="5" t="s">
        <v>1354</v>
      </c>
      <c r="J185" s="5" t="s">
        <v>1355</v>
      </c>
      <c r="K185" s="5" t="str">
        <f t="shared" si="4"/>
        <v>https://www.google.com/maps?q=-11.287810, -41.846096</v>
      </c>
      <c r="L185" s="5" t="str">
        <f t="shared" si="5"/>
        <v>Abrir no Maps</v>
      </c>
      <c r="M185" t="s">
        <v>1356</v>
      </c>
      <c r="N185" s="5"/>
      <c r="O185" t="str">
        <f>VLOOKUP(G185,'[1]CONFIG.'!$B:$C,2,0)</f>
        <v>DAIANE</v>
      </c>
      <c r="P185" t="str">
        <f>VLOOKUP(O185,'[1]CONFIG.'!$C:$D,2,0)</f>
        <v>74 99298866</v>
      </c>
    </row>
    <row r="186" spans="1:16" x14ac:dyDescent="0.3">
      <c r="A186" t="s">
        <v>1357</v>
      </c>
      <c r="B186" t="s">
        <v>1358</v>
      </c>
      <c r="C186" t="s">
        <v>1359</v>
      </c>
      <c r="D186" t="s">
        <v>36</v>
      </c>
      <c r="E186" t="s">
        <v>1360</v>
      </c>
      <c r="F186" t="s">
        <v>108</v>
      </c>
      <c r="G186">
        <v>209</v>
      </c>
      <c r="H186">
        <v>500</v>
      </c>
      <c r="I186" s="5" t="s">
        <v>1361</v>
      </c>
      <c r="J186" s="5" t="s">
        <v>1362</v>
      </c>
      <c r="K186" s="5" t="str">
        <f t="shared" si="4"/>
        <v>https://www.google.com/maps?q=-11.309665, -41.863258</v>
      </c>
      <c r="L186" s="5" t="str">
        <f t="shared" si="5"/>
        <v>Abrir no Maps</v>
      </c>
      <c r="M186" t="s">
        <v>1363</v>
      </c>
      <c r="N186" s="5"/>
      <c r="O186" t="str">
        <f>VLOOKUP(G186,'[1]CONFIG.'!$B:$C,2,0)</f>
        <v>IGOR</v>
      </c>
      <c r="P186" t="str">
        <f>VLOOKUP(O186,'[1]CONFIG.'!$C:$D,2,0)</f>
        <v>74 99590346</v>
      </c>
    </row>
    <row r="187" spans="1:16" x14ac:dyDescent="0.3">
      <c r="A187" t="s">
        <v>1364</v>
      </c>
      <c r="B187" t="s">
        <v>1365</v>
      </c>
      <c r="C187" t="s">
        <v>1366</v>
      </c>
      <c r="D187" t="s">
        <v>36</v>
      </c>
      <c r="E187" t="s">
        <v>1367</v>
      </c>
      <c r="F187" t="s">
        <v>137</v>
      </c>
      <c r="G187">
        <v>204</v>
      </c>
      <c r="H187">
        <v>500</v>
      </c>
      <c r="I187" s="5" t="s">
        <v>1368</v>
      </c>
      <c r="J187" s="5" t="s">
        <v>1369</v>
      </c>
      <c r="K187" s="5" t="str">
        <f t="shared" si="4"/>
        <v>https://www.google.com/maps?q=-11.297421, -41.855526</v>
      </c>
      <c r="L187" s="5" t="str">
        <f t="shared" si="5"/>
        <v>Abrir no Maps</v>
      </c>
      <c r="M187" t="s">
        <v>1370</v>
      </c>
      <c r="N187" s="5"/>
      <c r="O187" t="str">
        <f>VLOOKUP(G187,'[1]CONFIG.'!$B:$C,2,0)</f>
        <v>EVA</v>
      </c>
      <c r="P187" t="str">
        <f>VLOOKUP(O187,'[1]CONFIG.'!$C:$D,2,0)</f>
        <v>74 98046078</v>
      </c>
    </row>
    <row r="188" spans="1:16" x14ac:dyDescent="0.3">
      <c r="A188" t="s">
        <v>1371</v>
      </c>
      <c r="B188" t="s">
        <v>1372</v>
      </c>
      <c r="C188" t="s">
        <v>1373</v>
      </c>
      <c r="D188" t="s">
        <v>36</v>
      </c>
      <c r="E188" t="s">
        <v>1374</v>
      </c>
      <c r="F188" t="s">
        <v>137</v>
      </c>
      <c r="G188">
        <v>209</v>
      </c>
      <c r="H188">
        <v>500</v>
      </c>
      <c r="I188" s="5" t="s">
        <v>1375</v>
      </c>
      <c r="J188" s="5" t="s">
        <v>1376</v>
      </c>
      <c r="K188" s="5" t="str">
        <f t="shared" si="4"/>
        <v>https://www.google.com/maps?q=-11.303257, -41.851089</v>
      </c>
      <c r="L188" s="5" t="str">
        <f t="shared" si="5"/>
        <v>Abrir no Maps</v>
      </c>
      <c r="M188" t="s">
        <v>1377</v>
      </c>
      <c r="N188" s="5"/>
      <c r="O188" t="str">
        <f>VLOOKUP(G188,'[1]CONFIG.'!$B:$C,2,0)</f>
        <v>IGOR</v>
      </c>
      <c r="P188" t="str">
        <f>VLOOKUP(O188,'[1]CONFIG.'!$C:$D,2,0)</f>
        <v>74 99590346</v>
      </c>
    </row>
    <row r="189" spans="1:16" x14ac:dyDescent="0.3">
      <c r="A189" t="s">
        <v>1378</v>
      </c>
      <c r="B189" t="s">
        <v>1379</v>
      </c>
      <c r="C189" t="s">
        <v>1380</v>
      </c>
      <c r="D189" t="s">
        <v>36</v>
      </c>
      <c r="E189" t="s">
        <v>1381</v>
      </c>
      <c r="F189" t="s">
        <v>319</v>
      </c>
      <c r="G189">
        <v>211</v>
      </c>
      <c r="H189">
        <v>500</v>
      </c>
      <c r="I189" s="5" t="s">
        <v>1382</v>
      </c>
      <c r="J189" s="5" t="s">
        <v>1383</v>
      </c>
      <c r="K189" s="5" t="str">
        <f t="shared" si="4"/>
        <v>https://www.google.com/maps?q=-11.306945, -41.870556</v>
      </c>
      <c r="L189" s="5" t="str">
        <f t="shared" si="5"/>
        <v>Abrir no Maps</v>
      </c>
      <c r="M189" t="s">
        <v>1384</v>
      </c>
      <c r="N189" s="5"/>
      <c r="O189" t="str">
        <f>VLOOKUP(G189,'[1]CONFIG.'!$B:$C,2,0)</f>
        <v>DAIANE</v>
      </c>
      <c r="P189" t="str">
        <f>VLOOKUP(O189,'[1]CONFIG.'!$C:$D,2,0)</f>
        <v>74 99298866</v>
      </c>
    </row>
    <row r="190" spans="1:16" x14ac:dyDescent="0.3">
      <c r="A190" t="s">
        <v>1385</v>
      </c>
      <c r="B190" t="s">
        <v>1386</v>
      </c>
      <c r="C190" t="s">
        <v>1387</v>
      </c>
      <c r="D190" t="s">
        <v>36</v>
      </c>
      <c r="E190" t="s">
        <v>1388</v>
      </c>
      <c r="F190" t="s">
        <v>137</v>
      </c>
      <c r="G190">
        <v>212</v>
      </c>
      <c r="H190">
        <v>200</v>
      </c>
      <c r="I190" s="5" t="s">
        <v>1389</v>
      </c>
      <c r="J190" s="5" t="s">
        <v>1390</v>
      </c>
      <c r="K190" s="5" t="str">
        <f t="shared" si="4"/>
        <v>https://www.google.com/maps?q=-11.302220, -41.855186</v>
      </c>
      <c r="L190" s="5" t="str">
        <f t="shared" si="5"/>
        <v>Abrir no Maps</v>
      </c>
      <c r="M190" t="s">
        <v>1391</v>
      </c>
      <c r="N190" s="5"/>
      <c r="O190" t="str">
        <f>VLOOKUP(G190,'[1]CONFIG.'!$B:$C,2,0)</f>
        <v>ANDRE</v>
      </c>
      <c r="P190" t="str">
        <f>VLOOKUP(O190,'[1]CONFIG.'!$C:$D,2,0)</f>
        <v>74 99916877</v>
      </c>
    </row>
    <row r="191" spans="1:16" x14ac:dyDescent="0.3">
      <c r="A191" t="s">
        <v>1392</v>
      </c>
      <c r="B191" t="s">
        <v>1393</v>
      </c>
      <c r="C191" t="s">
        <v>1394</v>
      </c>
      <c r="D191" t="s">
        <v>36</v>
      </c>
      <c r="E191" t="s">
        <v>1395</v>
      </c>
      <c r="F191" t="s">
        <v>137</v>
      </c>
      <c r="G191">
        <v>210</v>
      </c>
      <c r="H191">
        <v>500</v>
      </c>
      <c r="I191" s="5" t="s">
        <v>1396</v>
      </c>
      <c r="J191" s="5" t="s">
        <v>1397</v>
      </c>
      <c r="K191" s="5" t="str">
        <f t="shared" si="4"/>
        <v>https://www.google.com/maps?q=-11.303708, -41.856440</v>
      </c>
      <c r="L191" s="5" t="str">
        <f t="shared" si="5"/>
        <v>Abrir no Maps</v>
      </c>
      <c r="M191" t="s">
        <v>1398</v>
      </c>
      <c r="N191" s="5"/>
      <c r="O191" t="str">
        <f>VLOOKUP(G191,'[1]CONFIG.'!$B:$C,2,0)</f>
        <v>SILAS</v>
      </c>
      <c r="P191" t="str">
        <f>VLOOKUP(O191,'[1]CONFIG.'!$C:$D,2,0)</f>
        <v>74 98041875</v>
      </c>
    </row>
    <row r="192" spans="1:16" x14ac:dyDescent="0.3">
      <c r="A192" t="s">
        <v>1399</v>
      </c>
      <c r="B192" t="s">
        <v>1400</v>
      </c>
      <c r="C192" t="s">
        <v>1401</v>
      </c>
      <c r="D192" t="s">
        <v>36</v>
      </c>
      <c r="E192" t="s">
        <v>1402</v>
      </c>
      <c r="F192" t="s">
        <v>137</v>
      </c>
      <c r="G192">
        <v>210</v>
      </c>
      <c r="H192">
        <v>500</v>
      </c>
      <c r="I192" s="5" t="s">
        <v>1403</v>
      </c>
      <c r="J192" s="5" t="s">
        <v>1404</v>
      </c>
      <c r="K192" s="5" t="str">
        <f t="shared" si="4"/>
        <v>https://www.google.com/maps?q=-11.301259, -41.862915</v>
      </c>
      <c r="L192" s="5" t="str">
        <f t="shared" si="5"/>
        <v>Abrir no Maps</v>
      </c>
      <c r="M192">
        <v>0</v>
      </c>
      <c r="N192" s="5"/>
      <c r="O192" t="str">
        <f>VLOOKUP(G192,'[1]CONFIG.'!$B:$C,2,0)</f>
        <v>SILAS</v>
      </c>
      <c r="P192" t="str">
        <f>VLOOKUP(O192,'[1]CONFIG.'!$C:$D,2,0)</f>
        <v>74 98041875</v>
      </c>
    </row>
    <row r="193" spans="1:16" x14ac:dyDescent="0.3">
      <c r="A193" t="s">
        <v>1405</v>
      </c>
      <c r="B193" t="s">
        <v>1406</v>
      </c>
      <c r="C193" t="s">
        <v>1407</v>
      </c>
      <c r="D193" t="s">
        <v>36</v>
      </c>
      <c r="E193" t="s">
        <v>1408</v>
      </c>
      <c r="F193" t="s">
        <v>137</v>
      </c>
      <c r="G193">
        <v>210</v>
      </c>
      <c r="H193">
        <v>500</v>
      </c>
      <c r="I193" s="5" t="s">
        <v>1409</v>
      </c>
      <c r="J193" s="5" t="s">
        <v>1410</v>
      </c>
      <c r="K193" s="5" t="str">
        <f t="shared" si="4"/>
        <v>https://www.google.com/maps?q=-11.303056, -41.854720</v>
      </c>
      <c r="L193" s="5" t="str">
        <f t="shared" si="5"/>
        <v>Abrir no Maps</v>
      </c>
      <c r="M193" t="s">
        <v>1411</v>
      </c>
      <c r="N193" s="5"/>
      <c r="O193" t="str">
        <f>VLOOKUP(G193,'[1]CONFIG.'!$B:$C,2,0)</f>
        <v>SILAS</v>
      </c>
      <c r="P193" t="str">
        <f>VLOOKUP(O193,'[1]CONFIG.'!$C:$D,2,0)</f>
        <v>74 98041875</v>
      </c>
    </row>
    <row r="194" spans="1:16" x14ac:dyDescent="0.3">
      <c r="A194" t="s">
        <v>1412</v>
      </c>
      <c r="B194" t="s">
        <v>1413</v>
      </c>
      <c r="C194" t="s">
        <v>1414</v>
      </c>
      <c r="D194" t="s">
        <v>36</v>
      </c>
      <c r="E194" t="s">
        <v>1415</v>
      </c>
      <c r="F194" t="s">
        <v>395</v>
      </c>
      <c r="G194">
        <v>211</v>
      </c>
      <c r="H194">
        <v>500</v>
      </c>
      <c r="I194" s="5" t="s">
        <v>1416</v>
      </c>
      <c r="J194" s="5" t="s">
        <v>1417</v>
      </c>
      <c r="K194" s="5" t="str">
        <f t="shared" si="4"/>
        <v>https://www.google.com/maps?q=-11.313333, -41.874720</v>
      </c>
      <c r="L194" s="5" t="str">
        <f t="shared" si="5"/>
        <v>Abrir no Maps</v>
      </c>
      <c r="M194" t="s">
        <v>1418</v>
      </c>
      <c r="N194" s="5"/>
      <c r="O194" t="str">
        <f>VLOOKUP(G194,'[1]CONFIG.'!$B:$C,2,0)</f>
        <v>DAIANE</v>
      </c>
      <c r="P194" t="str">
        <f>VLOOKUP(O194,'[1]CONFIG.'!$C:$D,2,0)</f>
        <v>74 99298866</v>
      </c>
    </row>
    <row r="195" spans="1:16" x14ac:dyDescent="0.3">
      <c r="A195" t="s">
        <v>1419</v>
      </c>
      <c r="B195" t="s">
        <v>1420</v>
      </c>
      <c r="C195" t="s">
        <v>1421</v>
      </c>
      <c r="D195" t="s">
        <v>36</v>
      </c>
      <c r="E195" t="s">
        <v>1422</v>
      </c>
      <c r="F195" t="s">
        <v>350</v>
      </c>
      <c r="G195">
        <v>210</v>
      </c>
      <c r="H195">
        <v>500</v>
      </c>
      <c r="I195" s="5" t="s">
        <v>1423</v>
      </c>
      <c r="J195" s="5" t="s">
        <v>550</v>
      </c>
      <c r="K195" s="5" t="str">
        <f t="shared" si="4"/>
        <v>https://www.google.com/maps?q=-11.335556, -41.931110</v>
      </c>
      <c r="L195" s="5" t="str">
        <f t="shared" si="5"/>
        <v>Abrir no Maps</v>
      </c>
      <c r="M195" t="s">
        <v>1424</v>
      </c>
      <c r="N195" s="5"/>
      <c r="O195" t="str">
        <f>VLOOKUP(G195,'[1]CONFIG.'!$B:$C,2,0)</f>
        <v>SILAS</v>
      </c>
      <c r="P195" t="str">
        <f>VLOOKUP(O195,'[1]CONFIG.'!$C:$D,2,0)</f>
        <v>74 98041875</v>
      </c>
    </row>
    <row r="196" spans="1:16" x14ac:dyDescent="0.3">
      <c r="A196" t="s">
        <v>1425</v>
      </c>
      <c r="B196" t="s">
        <v>1426</v>
      </c>
      <c r="C196" t="s">
        <v>1427</v>
      </c>
      <c r="D196" t="s">
        <v>36</v>
      </c>
      <c r="E196" t="s">
        <v>1428</v>
      </c>
      <c r="F196" t="s">
        <v>38</v>
      </c>
      <c r="G196">
        <v>209</v>
      </c>
      <c r="H196">
        <v>500</v>
      </c>
      <c r="I196" s="5" t="s">
        <v>1429</v>
      </c>
      <c r="J196" s="5" t="s">
        <v>1430</v>
      </c>
      <c r="K196" s="5" t="str">
        <f t="shared" ref="K196:K259" si="6">"https://www.google.com/maps?q="&amp;""&amp;LEFT(I196,3)&amp;"."&amp;RIGHT(I196,6)&amp;", "&amp;LEFT(J196,3)&amp;"."&amp;RIGHT(J196,6)</f>
        <v>https://www.google.com/maps?q=-11.305560, -41.849880</v>
      </c>
      <c r="L196" s="5" t="str">
        <f t="shared" ref="L196:L259" si="7">HYPERLINK(K196,"Abrir no Maps")</f>
        <v>Abrir no Maps</v>
      </c>
      <c r="M196" t="s">
        <v>1431</v>
      </c>
      <c r="N196" s="5"/>
      <c r="O196" t="str">
        <f>VLOOKUP(G196,'[1]CONFIG.'!$B:$C,2,0)</f>
        <v>IGOR</v>
      </c>
      <c r="P196" t="str">
        <f>VLOOKUP(O196,'[1]CONFIG.'!$C:$D,2,0)</f>
        <v>74 99590346</v>
      </c>
    </row>
    <row r="197" spans="1:16" x14ac:dyDescent="0.3">
      <c r="A197" t="s">
        <v>1432</v>
      </c>
      <c r="B197" t="s">
        <v>1433</v>
      </c>
      <c r="C197" t="s">
        <v>1434</v>
      </c>
      <c r="D197" t="s">
        <v>1435</v>
      </c>
      <c r="E197" t="s">
        <v>1436</v>
      </c>
      <c r="F197" t="s">
        <v>1437</v>
      </c>
      <c r="G197">
        <v>207</v>
      </c>
      <c r="H197">
        <v>500</v>
      </c>
      <c r="I197" s="5" t="s">
        <v>1438</v>
      </c>
      <c r="J197" s="5" t="s">
        <v>1439</v>
      </c>
      <c r="K197" s="5" t="str">
        <f t="shared" si="6"/>
        <v>https://www.google.com/maps?q=-11.229337, -41.873320</v>
      </c>
      <c r="L197" s="5" t="str">
        <f t="shared" si="7"/>
        <v>Abrir no Maps</v>
      </c>
      <c r="M197" t="s">
        <v>1440</v>
      </c>
      <c r="N197" s="5"/>
      <c r="O197" t="str">
        <f>VLOOKUP(G197,'[1]CONFIG.'!$B:$C,2,0)</f>
        <v>HIAGO</v>
      </c>
      <c r="P197" t="str">
        <f>VLOOKUP(O197,'[1]CONFIG.'!$C:$D,2,0)</f>
        <v>74 99872571</v>
      </c>
    </row>
    <row r="198" spans="1:16" x14ac:dyDescent="0.3">
      <c r="A198" t="s">
        <v>1441</v>
      </c>
      <c r="B198" t="s">
        <v>1442</v>
      </c>
      <c r="C198" t="s">
        <v>1443</v>
      </c>
      <c r="D198" t="s">
        <v>36</v>
      </c>
      <c r="E198" t="s">
        <v>1444</v>
      </c>
      <c r="F198" t="s">
        <v>38</v>
      </c>
      <c r="G198">
        <v>210</v>
      </c>
      <c r="H198">
        <v>500</v>
      </c>
      <c r="I198" s="5" t="s">
        <v>1445</v>
      </c>
      <c r="J198" s="5" t="s">
        <v>1446</v>
      </c>
      <c r="K198" s="5" t="str">
        <f t="shared" si="6"/>
        <v>https://www.google.com/maps?q=-11.308081, -41.853092</v>
      </c>
      <c r="L198" s="5" t="str">
        <f t="shared" si="7"/>
        <v>Abrir no Maps</v>
      </c>
      <c r="M198" t="s">
        <v>1447</v>
      </c>
      <c r="N198" s="5"/>
      <c r="O198" t="str">
        <f>VLOOKUP(G198,'[1]CONFIG.'!$B:$C,2,0)</f>
        <v>SILAS</v>
      </c>
      <c r="P198" t="str">
        <f>VLOOKUP(O198,'[1]CONFIG.'!$C:$D,2,0)</f>
        <v>74 98041875</v>
      </c>
    </row>
    <row r="199" spans="1:16" x14ac:dyDescent="0.3">
      <c r="A199" t="s">
        <v>1448</v>
      </c>
      <c r="B199" t="s">
        <v>1449</v>
      </c>
      <c r="C199" t="s">
        <v>1450</v>
      </c>
      <c r="D199" t="s">
        <v>36</v>
      </c>
      <c r="E199" t="s">
        <v>1451</v>
      </c>
      <c r="F199" t="s">
        <v>38</v>
      </c>
      <c r="G199">
        <v>212</v>
      </c>
      <c r="H199">
        <v>200</v>
      </c>
      <c r="I199" s="5" t="s">
        <v>1452</v>
      </c>
      <c r="J199" s="5" t="s">
        <v>1453</v>
      </c>
      <c r="K199" s="5" t="str">
        <f t="shared" si="6"/>
        <v>https://www.google.com/maps?q=-11.307499, -41.851933</v>
      </c>
      <c r="L199" s="5" t="str">
        <f t="shared" si="7"/>
        <v>Abrir no Maps</v>
      </c>
      <c r="M199" t="s">
        <v>1454</v>
      </c>
      <c r="N199" s="5"/>
      <c r="O199" t="str">
        <f>VLOOKUP(G199,'[1]CONFIG.'!$B:$C,2,0)</f>
        <v>ANDRE</v>
      </c>
      <c r="P199" t="str">
        <f>VLOOKUP(O199,'[1]CONFIG.'!$C:$D,2,0)</f>
        <v>74 99916877</v>
      </c>
    </row>
    <row r="200" spans="1:16" x14ac:dyDescent="0.3">
      <c r="A200" t="s">
        <v>1455</v>
      </c>
      <c r="B200" t="s">
        <v>1456</v>
      </c>
      <c r="C200" t="s">
        <v>1457</v>
      </c>
      <c r="D200" t="s">
        <v>36</v>
      </c>
      <c r="E200" t="s">
        <v>1458</v>
      </c>
      <c r="F200" t="s">
        <v>724</v>
      </c>
      <c r="G200">
        <v>210</v>
      </c>
      <c r="H200">
        <v>500</v>
      </c>
      <c r="I200" s="5" t="s">
        <v>1459</v>
      </c>
      <c r="J200" s="5" t="s">
        <v>668</v>
      </c>
      <c r="K200" s="5" t="str">
        <f t="shared" si="6"/>
        <v>https://www.google.com/maps?q=-11.306130, -41.865555</v>
      </c>
      <c r="L200" s="5" t="str">
        <f t="shared" si="7"/>
        <v>Abrir no Maps</v>
      </c>
      <c r="M200" t="s">
        <v>1460</v>
      </c>
      <c r="N200" s="5"/>
      <c r="O200" t="str">
        <f>VLOOKUP(G200,'[1]CONFIG.'!$B:$C,2,0)</f>
        <v>SILAS</v>
      </c>
      <c r="P200" t="str">
        <f>VLOOKUP(O200,'[1]CONFIG.'!$C:$D,2,0)</f>
        <v>74 98041875</v>
      </c>
    </row>
    <row r="201" spans="1:16" x14ac:dyDescent="0.3">
      <c r="A201" t="s">
        <v>1461</v>
      </c>
      <c r="B201" t="s">
        <v>1462</v>
      </c>
      <c r="C201" t="s">
        <v>1463</v>
      </c>
      <c r="D201" t="s">
        <v>36</v>
      </c>
      <c r="E201" t="s">
        <v>1464</v>
      </c>
      <c r="F201" t="s">
        <v>366</v>
      </c>
      <c r="G201">
        <v>210</v>
      </c>
      <c r="H201">
        <v>500</v>
      </c>
      <c r="I201" s="5" t="s">
        <v>1465</v>
      </c>
      <c r="J201" s="5" t="s">
        <v>1466</v>
      </c>
      <c r="K201" s="5" t="str">
        <f t="shared" si="6"/>
        <v>https://www.google.com/maps?q=-11.300276, -41.864784</v>
      </c>
      <c r="L201" s="5" t="str">
        <f t="shared" si="7"/>
        <v>Abrir no Maps</v>
      </c>
      <c r="M201" t="s">
        <v>1467</v>
      </c>
      <c r="N201" s="5"/>
      <c r="O201" t="str">
        <f>VLOOKUP(G201,'[1]CONFIG.'!$B:$C,2,0)</f>
        <v>SILAS</v>
      </c>
      <c r="P201" t="str">
        <f>VLOOKUP(O201,'[1]CONFIG.'!$C:$D,2,0)</f>
        <v>74 98041875</v>
      </c>
    </row>
    <row r="202" spans="1:16" x14ac:dyDescent="0.3">
      <c r="A202" t="s">
        <v>1468</v>
      </c>
      <c r="B202" t="s">
        <v>1469</v>
      </c>
      <c r="C202" t="s">
        <v>1470</v>
      </c>
      <c r="D202" t="s">
        <v>36</v>
      </c>
      <c r="E202" t="s">
        <v>1471</v>
      </c>
      <c r="F202" t="s">
        <v>137</v>
      </c>
      <c r="G202">
        <v>210</v>
      </c>
      <c r="H202">
        <v>500</v>
      </c>
      <c r="I202" s="5" t="s">
        <v>667</v>
      </c>
      <c r="J202" s="5" t="s">
        <v>1472</v>
      </c>
      <c r="K202" s="5" t="str">
        <f t="shared" si="6"/>
        <v>https://www.google.com/maps?q=-11.303611, -41.860832</v>
      </c>
      <c r="L202" s="5" t="str">
        <f t="shared" si="7"/>
        <v>Abrir no Maps</v>
      </c>
      <c r="M202" t="s">
        <v>1473</v>
      </c>
      <c r="N202" s="5"/>
      <c r="O202" t="str">
        <f>VLOOKUP(G202,'[1]CONFIG.'!$B:$C,2,0)</f>
        <v>SILAS</v>
      </c>
      <c r="P202" t="str">
        <f>VLOOKUP(O202,'[1]CONFIG.'!$C:$D,2,0)</f>
        <v>74 98041875</v>
      </c>
    </row>
    <row r="203" spans="1:16" x14ac:dyDescent="0.3">
      <c r="A203" t="s">
        <v>1474</v>
      </c>
      <c r="B203" t="s">
        <v>1475</v>
      </c>
      <c r="C203" t="s">
        <v>1476</v>
      </c>
      <c r="D203" t="s">
        <v>36</v>
      </c>
      <c r="E203" t="s">
        <v>1477</v>
      </c>
      <c r="F203" t="s">
        <v>202</v>
      </c>
      <c r="G203">
        <v>210</v>
      </c>
      <c r="H203">
        <v>500</v>
      </c>
      <c r="I203" s="5" t="s">
        <v>1478</v>
      </c>
      <c r="J203" s="5" t="s">
        <v>1479</v>
      </c>
      <c r="K203" s="5" t="str">
        <f t="shared" si="6"/>
        <v>https://www.google.com/maps?q=-11.301036, -41.861410</v>
      </c>
      <c r="L203" s="5" t="str">
        <f t="shared" si="7"/>
        <v>Abrir no Maps</v>
      </c>
      <c r="M203" t="s">
        <v>1480</v>
      </c>
      <c r="N203" s="5"/>
      <c r="O203" t="str">
        <f>VLOOKUP(G203,'[1]CONFIG.'!$B:$C,2,0)</f>
        <v>SILAS</v>
      </c>
      <c r="P203" t="str">
        <f>VLOOKUP(O203,'[1]CONFIG.'!$C:$D,2,0)</f>
        <v>74 98041875</v>
      </c>
    </row>
    <row r="204" spans="1:16" x14ac:dyDescent="0.3">
      <c r="A204" t="s">
        <v>1481</v>
      </c>
      <c r="B204" t="s">
        <v>1482</v>
      </c>
      <c r="C204" t="s">
        <v>1483</v>
      </c>
      <c r="D204" t="s">
        <v>36</v>
      </c>
      <c r="E204" t="s">
        <v>1484</v>
      </c>
      <c r="F204" t="s">
        <v>38</v>
      </c>
      <c r="G204">
        <v>212</v>
      </c>
      <c r="H204">
        <v>200</v>
      </c>
      <c r="I204" s="5" t="s">
        <v>1485</v>
      </c>
      <c r="J204" s="5" t="s">
        <v>1486</v>
      </c>
      <c r="K204" s="5" t="str">
        <f t="shared" si="6"/>
        <v>https://www.google.com/maps?q=-11.305202, -41.849498</v>
      </c>
      <c r="L204" s="5" t="str">
        <f t="shared" si="7"/>
        <v>Abrir no Maps</v>
      </c>
      <c r="M204" t="s">
        <v>1487</v>
      </c>
      <c r="N204" s="5"/>
      <c r="O204" t="str">
        <f>VLOOKUP(G204,'[1]CONFIG.'!$B:$C,2,0)</f>
        <v>ANDRE</v>
      </c>
      <c r="P204" t="str">
        <f>VLOOKUP(O204,'[1]CONFIG.'!$C:$D,2,0)</f>
        <v>74 99916877</v>
      </c>
    </row>
    <row r="205" spans="1:16" x14ac:dyDescent="0.3">
      <c r="A205" t="s">
        <v>1488</v>
      </c>
      <c r="B205" t="s">
        <v>1489</v>
      </c>
      <c r="C205" t="s">
        <v>1490</v>
      </c>
      <c r="D205" t="s">
        <v>36</v>
      </c>
      <c r="E205" t="s">
        <v>1491</v>
      </c>
      <c r="F205" t="s">
        <v>1492</v>
      </c>
      <c r="G205">
        <v>211</v>
      </c>
      <c r="H205">
        <v>500</v>
      </c>
      <c r="I205" s="5" t="s">
        <v>1493</v>
      </c>
      <c r="J205" s="5" t="s">
        <v>1494</v>
      </c>
      <c r="K205" s="5" t="str">
        <f t="shared" si="6"/>
        <v>https://www.google.com/maps?q=-11.307500, -41.873055</v>
      </c>
      <c r="L205" s="5" t="str">
        <f t="shared" si="7"/>
        <v>Abrir no Maps</v>
      </c>
      <c r="M205" t="s">
        <v>1495</v>
      </c>
      <c r="N205" s="5"/>
      <c r="O205" t="str">
        <f>VLOOKUP(G205,'[1]CONFIG.'!$B:$C,2,0)</f>
        <v>DAIANE</v>
      </c>
      <c r="P205" t="str">
        <f>VLOOKUP(O205,'[1]CONFIG.'!$C:$D,2,0)</f>
        <v>74 99298866</v>
      </c>
    </row>
    <row r="206" spans="1:16" x14ac:dyDescent="0.3">
      <c r="A206" t="s">
        <v>1496</v>
      </c>
      <c r="B206" t="s">
        <v>1497</v>
      </c>
      <c r="C206" t="s">
        <v>1498</v>
      </c>
      <c r="D206" t="s">
        <v>36</v>
      </c>
      <c r="E206" t="s">
        <v>1499</v>
      </c>
      <c r="F206" t="s">
        <v>232</v>
      </c>
      <c r="G206">
        <v>211</v>
      </c>
      <c r="H206">
        <v>500</v>
      </c>
      <c r="I206" s="5" t="s">
        <v>423</v>
      </c>
      <c r="J206" s="5" t="s">
        <v>1500</v>
      </c>
      <c r="K206" s="5" t="str">
        <f t="shared" si="6"/>
        <v>https://www.google.com/maps?q=-11.293333, -41.817223</v>
      </c>
      <c r="L206" s="5" t="str">
        <f t="shared" si="7"/>
        <v>Abrir no Maps</v>
      </c>
      <c r="M206" t="s">
        <v>1501</v>
      </c>
      <c r="N206" s="5"/>
      <c r="O206" t="str">
        <f>VLOOKUP(G206,'[1]CONFIG.'!$B:$C,2,0)</f>
        <v>DAIANE</v>
      </c>
      <c r="P206" t="str">
        <f>VLOOKUP(O206,'[1]CONFIG.'!$C:$D,2,0)</f>
        <v>74 99298866</v>
      </c>
    </row>
    <row r="207" spans="1:16" x14ac:dyDescent="0.3">
      <c r="A207" t="s">
        <v>1502</v>
      </c>
      <c r="B207" t="s">
        <v>1503</v>
      </c>
      <c r="C207" t="s">
        <v>1504</v>
      </c>
      <c r="D207" t="s">
        <v>36</v>
      </c>
      <c r="E207" t="s">
        <v>1505</v>
      </c>
      <c r="F207" t="s">
        <v>988</v>
      </c>
      <c r="G207">
        <v>210</v>
      </c>
      <c r="H207">
        <v>500</v>
      </c>
      <c r="I207" s="5" t="s">
        <v>1506</v>
      </c>
      <c r="J207" s="5" t="s">
        <v>1507</v>
      </c>
      <c r="K207" s="5" t="str">
        <f t="shared" si="6"/>
        <v>https://www.google.com/maps?q=-11.304710, -41.849480</v>
      </c>
      <c r="L207" s="5" t="str">
        <f t="shared" si="7"/>
        <v>Abrir no Maps</v>
      </c>
      <c r="M207" t="s">
        <v>1508</v>
      </c>
      <c r="N207" s="5"/>
      <c r="O207" t="str">
        <f>VLOOKUP(G207,'[1]CONFIG.'!$B:$C,2,0)</f>
        <v>SILAS</v>
      </c>
      <c r="P207" t="str">
        <f>VLOOKUP(O207,'[1]CONFIG.'!$C:$D,2,0)</f>
        <v>74 98041875</v>
      </c>
    </row>
    <row r="208" spans="1:16" x14ac:dyDescent="0.3">
      <c r="A208" t="s">
        <v>1509</v>
      </c>
      <c r="B208" t="s">
        <v>1510</v>
      </c>
      <c r="C208" t="s">
        <v>1511</v>
      </c>
      <c r="D208" t="s">
        <v>36</v>
      </c>
      <c r="E208" t="s">
        <v>1512</v>
      </c>
      <c r="F208" t="s">
        <v>319</v>
      </c>
      <c r="G208">
        <v>211</v>
      </c>
      <c r="H208">
        <v>500</v>
      </c>
      <c r="I208" s="5" t="s">
        <v>1513</v>
      </c>
      <c r="J208" s="5" t="s">
        <v>1514</v>
      </c>
      <c r="K208" s="5" t="str">
        <f t="shared" si="6"/>
        <v>https://www.google.com/maps?q=-11.307532, -41.870320</v>
      </c>
      <c r="L208" s="5" t="str">
        <f t="shared" si="7"/>
        <v>Abrir no Maps</v>
      </c>
      <c r="M208" t="s">
        <v>1515</v>
      </c>
      <c r="N208" s="5"/>
      <c r="O208" t="str">
        <f>VLOOKUP(G208,'[1]CONFIG.'!$B:$C,2,0)</f>
        <v>DAIANE</v>
      </c>
      <c r="P208" t="str">
        <f>VLOOKUP(O208,'[1]CONFIG.'!$C:$D,2,0)</f>
        <v>74 99298866</v>
      </c>
    </row>
    <row r="209" spans="1:16" x14ac:dyDescent="0.3">
      <c r="A209" t="s">
        <v>1516</v>
      </c>
      <c r="B209" t="s">
        <v>1517</v>
      </c>
      <c r="C209" t="s">
        <v>1518</v>
      </c>
      <c r="D209" t="s">
        <v>36</v>
      </c>
      <c r="E209" t="s">
        <v>1519</v>
      </c>
      <c r="F209" t="s">
        <v>85</v>
      </c>
      <c r="G209">
        <v>210</v>
      </c>
      <c r="H209">
        <v>500</v>
      </c>
      <c r="I209" s="5" t="s">
        <v>1520</v>
      </c>
      <c r="J209" s="5" t="s">
        <v>1521</v>
      </c>
      <c r="K209" s="5" t="str">
        <f t="shared" si="6"/>
        <v>https://www.google.com/maps?q=-11.307295, -41.876780</v>
      </c>
      <c r="L209" s="5" t="str">
        <f t="shared" si="7"/>
        <v>Abrir no Maps</v>
      </c>
      <c r="M209" t="s">
        <v>1522</v>
      </c>
      <c r="N209" s="5"/>
      <c r="O209" t="str">
        <f>VLOOKUP(G209,'[1]CONFIG.'!$B:$C,2,0)</f>
        <v>SILAS</v>
      </c>
      <c r="P209" t="str">
        <f>VLOOKUP(O209,'[1]CONFIG.'!$C:$D,2,0)</f>
        <v>74 98041875</v>
      </c>
    </row>
    <row r="210" spans="1:16" x14ac:dyDescent="0.3">
      <c r="A210" t="s">
        <v>1523</v>
      </c>
      <c r="B210" t="s">
        <v>1524</v>
      </c>
      <c r="C210" t="s">
        <v>1525</v>
      </c>
      <c r="D210" t="s">
        <v>36</v>
      </c>
      <c r="E210" t="s">
        <v>1526</v>
      </c>
      <c r="F210" t="s">
        <v>395</v>
      </c>
      <c r="G210">
        <v>211</v>
      </c>
      <c r="H210">
        <v>500</v>
      </c>
      <c r="I210" s="5" t="s">
        <v>1527</v>
      </c>
      <c r="J210" s="5" t="s">
        <v>1528</v>
      </c>
      <c r="K210" s="5" t="str">
        <f t="shared" si="6"/>
        <v>https://www.google.com/maps?q=-11.311705, -41.873833</v>
      </c>
      <c r="L210" s="5" t="str">
        <f t="shared" si="7"/>
        <v>Abrir no Maps</v>
      </c>
      <c r="M210" t="s">
        <v>1529</v>
      </c>
      <c r="N210" s="5"/>
      <c r="O210" t="str">
        <f>VLOOKUP(G210,'[1]CONFIG.'!$B:$C,2,0)</f>
        <v>DAIANE</v>
      </c>
      <c r="P210" t="str">
        <f>VLOOKUP(O210,'[1]CONFIG.'!$C:$D,2,0)</f>
        <v>74 99298866</v>
      </c>
    </row>
    <row r="211" spans="1:16" x14ac:dyDescent="0.3">
      <c r="A211" t="s">
        <v>1530</v>
      </c>
      <c r="B211" t="s">
        <v>1531</v>
      </c>
      <c r="C211" t="s">
        <v>1532</v>
      </c>
      <c r="D211" t="s">
        <v>36</v>
      </c>
      <c r="E211" t="s">
        <v>1533</v>
      </c>
      <c r="F211" t="s">
        <v>137</v>
      </c>
      <c r="G211">
        <v>209</v>
      </c>
      <c r="H211">
        <v>500</v>
      </c>
      <c r="I211" s="5" t="s">
        <v>1534</v>
      </c>
      <c r="J211" s="5" t="s">
        <v>1535</v>
      </c>
      <c r="K211" s="5" t="str">
        <f t="shared" si="6"/>
        <v>https://www.google.com/maps?q=-11.303862, -41.851540</v>
      </c>
      <c r="L211" s="5" t="str">
        <f t="shared" si="7"/>
        <v>Abrir no Maps</v>
      </c>
      <c r="M211" t="s">
        <v>1536</v>
      </c>
      <c r="N211" s="5"/>
      <c r="O211" t="str">
        <f>VLOOKUP(G211,'[1]CONFIG.'!$B:$C,2,0)</f>
        <v>IGOR</v>
      </c>
      <c r="P211" t="str">
        <f>VLOOKUP(O211,'[1]CONFIG.'!$C:$D,2,0)</f>
        <v>74 99590346</v>
      </c>
    </row>
    <row r="212" spans="1:16" x14ac:dyDescent="0.3">
      <c r="A212" t="s">
        <v>1537</v>
      </c>
      <c r="B212" t="s">
        <v>1538</v>
      </c>
      <c r="C212" t="s">
        <v>1539</v>
      </c>
      <c r="D212" t="s">
        <v>36</v>
      </c>
      <c r="E212" t="s">
        <v>1540</v>
      </c>
      <c r="F212" t="s">
        <v>395</v>
      </c>
      <c r="G212">
        <v>209</v>
      </c>
      <c r="H212">
        <v>500</v>
      </c>
      <c r="I212" s="5" t="s">
        <v>1541</v>
      </c>
      <c r="J212" s="5" t="s">
        <v>1542</v>
      </c>
      <c r="K212" s="5" t="str">
        <f t="shared" si="6"/>
        <v>https://www.google.com/maps?q=-11.311007, -41.873238</v>
      </c>
      <c r="L212" s="5" t="str">
        <f t="shared" si="7"/>
        <v>Abrir no Maps</v>
      </c>
      <c r="M212" t="s">
        <v>1543</v>
      </c>
      <c r="N212" s="5"/>
      <c r="O212" t="str">
        <f>VLOOKUP(G212,'[1]CONFIG.'!$B:$C,2,0)</f>
        <v>IGOR</v>
      </c>
      <c r="P212" t="str">
        <f>VLOOKUP(O212,'[1]CONFIG.'!$C:$D,2,0)</f>
        <v>74 99590346</v>
      </c>
    </row>
    <row r="213" spans="1:16" x14ac:dyDescent="0.3">
      <c r="A213" t="s">
        <v>1544</v>
      </c>
      <c r="B213" t="s">
        <v>1545</v>
      </c>
      <c r="C213" t="s">
        <v>1546</v>
      </c>
      <c r="D213" t="s">
        <v>36</v>
      </c>
      <c r="E213" t="s">
        <v>1547</v>
      </c>
      <c r="F213" t="s">
        <v>137</v>
      </c>
      <c r="G213">
        <v>210</v>
      </c>
      <c r="H213">
        <v>500</v>
      </c>
      <c r="I213" s="5" t="s">
        <v>1548</v>
      </c>
      <c r="J213" s="5" t="s">
        <v>1549</v>
      </c>
      <c r="K213" s="5" t="str">
        <f t="shared" si="6"/>
        <v>https://www.google.com/maps?q=-11.304301, -41.857130</v>
      </c>
      <c r="L213" s="5" t="str">
        <f t="shared" si="7"/>
        <v>Abrir no Maps</v>
      </c>
      <c r="M213" t="s">
        <v>1550</v>
      </c>
      <c r="N213" s="5"/>
      <c r="O213" t="str">
        <f>VLOOKUP(G213,'[1]CONFIG.'!$B:$C,2,0)</f>
        <v>SILAS</v>
      </c>
      <c r="P213" t="str">
        <f>VLOOKUP(O213,'[1]CONFIG.'!$C:$D,2,0)</f>
        <v>74 98041875</v>
      </c>
    </row>
    <row r="214" spans="1:16" x14ac:dyDescent="0.3">
      <c r="A214" t="s">
        <v>1551</v>
      </c>
      <c r="B214" t="s">
        <v>1552</v>
      </c>
      <c r="C214" t="s">
        <v>1553</v>
      </c>
      <c r="D214" t="s">
        <v>36</v>
      </c>
      <c r="E214" t="s">
        <v>1554</v>
      </c>
      <c r="F214" t="s">
        <v>1555</v>
      </c>
      <c r="G214">
        <v>209</v>
      </c>
      <c r="H214">
        <v>500</v>
      </c>
      <c r="I214" s="5" t="s">
        <v>1556</v>
      </c>
      <c r="J214" s="5" t="s">
        <v>1557</v>
      </c>
      <c r="K214" s="5" t="str">
        <f t="shared" si="6"/>
        <v>https://www.google.com/maps?q=-11.304112, -41.840640</v>
      </c>
      <c r="L214" s="5" t="str">
        <f t="shared" si="7"/>
        <v>Abrir no Maps</v>
      </c>
      <c r="M214" t="s">
        <v>1558</v>
      </c>
      <c r="N214" s="5"/>
      <c r="O214" t="str">
        <f>VLOOKUP(G214,'[1]CONFIG.'!$B:$C,2,0)</f>
        <v>IGOR</v>
      </c>
      <c r="P214" t="str">
        <f>VLOOKUP(O214,'[1]CONFIG.'!$C:$D,2,0)</f>
        <v>74 99590346</v>
      </c>
    </row>
    <row r="215" spans="1:16" x14ac:dyDescent="0.3">
      <c r="A215" t="s">
        <v>1559</v>
      </c>
      <c r="B215" t="s">
        <v>1560</v>
      </c>
      <c r="C215" t="s">
        <v>1561</v>
      </c>
      <c r="D215" t="s">
        <v>36</v>
      </c>
      <c r="E215" t="s">
        <v>1562</v>
      </c>
      <c r="F215" t="s">
        <v>724</v>
      </c>
      <c r="G215">
        <v>207</v>
      </c>
      <c r="H215">
        <v>500</v>
      </c>
      <c r="I215" s="5" t="s">
        <v>1563</v>
      </c>
      <c r="J215" s="5" t="s">
        <v>1564</v>
      </c>
      <c r="K215" s="5" t="str">
        <f t="shared" si="6"/>
        <v>https://www.google.com/maps?q=-11.309525, -41.864357</v>
      </c>
      <c r="L215" s="5" t="str">
        <f t="shared" si="7"/>
        <v>Abrir no Maps</v>
      </c>
      <c r="M215" t="s">
        <v>1565</v>
      </c>
      <c r="N215" s="5"/>
      <c r="O215" t="str">
        <f>VLOOKUP(G215,'[1]CONFIG.'!$B:$C,2,0)</f>
        <v>HIAGO</v>
      </c>
      <c r="P215" t="str">
        <f>VLOOKUP(O215,'[1]CONFIG.'!$C:$D,2,0)</f>
        <v>74 99872571</v>
      </c>
    </row>
    <row r="216" spans="1:16" x14ac:dyDescent="0.3">
      <c r="A216" t="s">
        <v>1566</v>
      </c>
      <c r="B216" t="s">
        <v>1567</v>
      </c>
      <c r="C216" t="s">
        <v>1568</v>
      </c>
      <c r="D216" t="s">
        <v>36</v>
      </c>
      <c r="E216" t="s">
        <v>1569</v>
      </c>
      <c r="F216" t="s">
        <v>137</v>
      </c>
      <c r="G216">
        <v>212</v>
      </c>
      <c r="H216">
        <v>200</v>
      </c>
      <c r="I216" s="5" t="s">
        <v>1570</v>
      </c>
      <c r="J216" s="5" t="s">
        <v>1571</v>
      </c>
      <c r="K216" s="5" t="str">
        <f t="shared" si="6"/>
        <v>https://www.google.com/maps?q=-11.304349, -41.856155</v>
      </c>
      <c r="L216" s="5" t="str">
        <f t="shared" si="7"/>
        <v>Abrir no Maps</v>
      </c>
      <c r="M216" t="s">
        <v>1572</v>
      </c>
      <c r="N216" s="5"/>
      <c r="O216" t="str">
        <f>VLOOKUP(G216,'[1]CONFIG.'!$B:$C,2,0)</f>
        <v>ANDRE</v>
      </c>
      <c r="P216" t="str">
        <f>VLOOKUP(O216,'[1]CONFIG.'!$C:$D,2,0)</f>
        <v>74 99916877</v>
      </c>
    </row>
    <row r="217" spans="1:16" x14ac:dyDescent="0.3">
      <c r="A217" t="s">
        <v>1573</v>
      </c>
      <c r="B217" t="s">
        <v>1574</v>
      </c>
      <c r="C217" t="s">
        <v>1575</v>
      </c>
      <c r="D217" t="s">
        <v>36</v>
      </c>
      <c r="E217" t="s">
        <v>1576</v>
      </c>
      <c r="F217" t="s">
        <v>853</v>
      </c>
      <c r="G217">
        <v>212</v>
      </c>
      <c r="H217">
        <v>200</v>
      </c>
      <c r="I217" s="5" t="s">
        <v>1577</v>
      </c>
      <c r="J217" s="5" t="s">
        <v>1578</v>
      </c>
      <c r="K217" s="5" t="str">
        <f t="shared" si="6"/>
        <v>https://www.google.com/maps?q=-11.311204, -41.849037</v>
      </c>
      <c r="L217" s="5" t="str">
        <f t="shared" si="7"/>
        <v>Abrir no Maps</v>
      </c>
      <c r="M217" t="s">
        <v>1579</v>
      </c>
      <c r="N217" s="5"/>
      <c r="O217" t="str">
        <f>VLOOKUP(G217,'[1]CONFIG.'!$B:$C,2,0)</f>
        <v>ANDRE</v>
      </c>
      <c r="P217" t="str">
        <f>VLOOKUP(O217,'[1]CONFIG.'!$C:$D,2,0)</f>
        <v>74 99916877</v>
      </c>
    </row>
    <row r="218" spans="1:16" x14ac:dyDescent="0.3">
      <c r="A218" t="s">
        <v>1580</v>
      </c>
      <c r="B218" t="s">
        <v>1581</v>
      </c>
      <c r="C218" t="s">
        <v>1582</v>
      </c>
      <c r="D218" t="s">
        <v>36</v>
      </c>
      <c r="E218" t="s">
        <v>1583</v>
      </c>
      <c r="F218" t="s">
        <v>853</v>
      </c>
      <c r="G218">
        <v>209</v>
      </c>
      <c r="H218">
        <v>500</v>
      </c>
      <c r="I218" s="5" t="s">
        <v>1584</v>
      </c>
      <c r="J218" s="5" t="s">
        <v>1585</v>
      </c>
      <c r="K218" s="5" t="str">
        <f t="shared" si="6"/>
        <v>https://www.google.com/maps?q=-11.309906, -41.852406</v>
      </c>
      <c r="L218" s="5" t="str">
        <f t="shared" si="7"/>
        <v>Abrir no Maps</v>
      </c>
      <c r="M218" t="s">
        <v>1586</v>
      </c>
      <c r="N218" s="5"/>
      <c r="O218" t="str">
        <f>VLOOKUP(G218,'[1]CONFIG.'!$B:$C,2,0)</f>
        <v>IGOR</v>
      </c>
      <c r="P218" t="str">
        <f>VLOOKUP(O218,'[1]CONFIG.'!$C:$D,2,0)</f>
        <v>74 99590346</v>
      </c>
    </row>
    <row r="219" spans="1:16" x14ac:dyDescent="0.3">
      <c r="A219" t="s">
        <v>1587</v>
      </c>
      <c r="B219" t="s">
        <v>1588</v>
      </c>
      <c r="C219" t="s">
        <v>1589</v>
      </c>
      <c r="D219" t="s">
        <v>36</v>
      </c>
      <c r="E219" t="s">
        <v>1590</v>
      </c>
      <c r="F219" t="s">
        <v>570</v>
      </c>
      <c r="G219">
        <v>203</v>
      </c>
      <c r="H219">
        <v>200</v>
      </c>
      <c r="I219" s="5" t="s">
        <v>1591</v>
      </c>
      <c r="J219" s="5" t="s">
        <v>1592</v>
      </c>
      <c r="K219" s="5" t="str">
        <f t="shared" si="6"/>
        <v>https://www.google.com/maps?q=-11.288943, -41.848960</v>
      </c>
      <c r="L219" s="5" t="str">
        <f t="shared" si="7"/>
        <v>Abrir no Maps</v>
      </c>
      <c r="M219" t="s">
        <v>1593</v>
      </c>
      <c r="N219" s="5"/>
      <c r="O219" t="str">
        <f>VLOOKUP(G219,'[1]CONFIG.'!$B:$C,2,0)</f>
        <v>ALEXANDRE</v>
      </c>
      <c r="P219" t="str">
        <f>VLOOKUP(O219,'[1]CONFIG.'!$C:$D,2,0)</f>
        <v>74 99653478</v>
      </c>
    </row>
    <row r="220" spans="1:16" x14ac:dyDescent="0.3">
      <c r="A220" t="s">
        <v>1594</v>
      </c>
      <c r="B220" t="s">
        <v>1595</v>
      </c>
      <c r="C220" t="s">
        <v>1596</v>
      </c>
      <c r="D220" t="s">
        <v>36</v>
      </c>
      <c r="E220" t="s">
        <v>1597</v>
      </c>
      <c r="F220" t="s">
        <v>38</v>
      </c>
      <c r="G220">
        <v>212</v>
      </c>
      <c r="H220">
        <v>200</v>
      </c>
      <c r="I220" s="5" t="s">
        <v>1598</v>
      </c>
      <c r="J220" s="5" t="s">
        <v>1599</v>
      </c>
      <c r="K220" s="5" t="str">
        <f t="shared" si="6"/>
        <v>https://www.google.com/maps?q=-11.305221, -41.849613</v>
      </c>
      <c r="L220" s="5" t="str">
        <f t="shared" si="7"/>
        <v>Abrir no Maps</v>
      </c>
      <c r="M220" t="s">
        <v>1600</v>
      </c>
      <c r="N220" s="5"/>
      <c r="O220" t="str">
        <f>VLOOKUP(G220,'[1]CONFIG.'!$B:$C,2,0)</f>
        <v>ANDRE</v>
      </c>
      <c r="P220" t="str">
        <f>VLOOKUP(O220,'[1]CONFIG.'!$C:$D,2,0)</f>
        <v>74 99916877</v>
      </c>
    </row>
    <row r="221" spans="1:16" x14ac:dyDescent="0.3">
      <c r="A221" t="s">
        <v>1601</v>
      </c>
      <c r="B221" t="s">
        <v>1602</v>
      </c>
      <c r="C221" t="s">
        <v>1603</v>
      </c>
      <c r="D221" t="s">
        <v>36</v>
      </c>
      <c r="E221" t="s">
        <v>1604</v>
      </c>
      <c r="F221" t="s">
        <v>1605</v>
      </c>
      <c r="G221">
        <v>210</v>
      </c>
      <c r="H221">
        <v>500</v>
      </c>
      <c r="I221" s="5" t="s">
        <v>1606</v>
      </c>
      <c r="J221" s="5" t="s">
        <v>1607</v>
      </c>
      <c r="K221" s="5" t="str">
        <f t="shared" si="6"/>
        <v>https://www.google.com/maps?q=-11.309346, -41.843326</v>
      </c>
      <c r="L221" s="5" t="str">
        <f t="shared" si="7"/>
        <v>Abrir no Maps</v>
      </c>
      <c r="M221" t="s">
        <v>1608</v>
      </c>
      <c r="N221" s="5"/>
      <c r="O221" t="str">
        <f>VLOOKUP(G221,'[1]CONFIG.'!$B:$C,2,0)</f>
        <v>SILAS</v>
      </c>
      <c r="P221" t="str">
        <f>VLOOKUP(O221,'[1]CONFIG.'!$C:$D,2,0)</f>
        <v>74 98041875</v>
      </c>
    </row>
    <row r="222" spans="1:16" x14ac:dyDescent="0.3">
      <c r="A222" t="s">
        <v>1609</v>
      </c>
      <c r="B222" t="s">
        <v>1610</v>
      </c>
      <c r="C222" t="s">
        <v>1611</v>
      </c>
      <c r="D222" t="s">
        <v>36</v>
      </c>
      <c r="E222" t="s">
        <v>1612</v>
      </c>
      <c r="F222" t="s">
        <v>137</v>
      </c>
      <c r="G222">
        <v>212</v>
      </c>
      <c r="H222">
        <v>200</v>
      </c>
      <c r="I222" s="5" t="s">
        <v>1613</v>
      </c>
      <c r="J222" s="5" t="s">
        <v>1614</v>
      </c>
      <c r="K222" s="5" t="str">
        <f t="shared" si="6"/>
        <v>https://www.google.com/maps?q=-11.302139, -41.848137</v>
      </c>
      <c r="L222" s="5" t="str">
        <f t="shared" si="7"/>
        <v>Abrir no Maps</v>
      </c>
      <c r="M222" t="s">
        <v>1615</v>
      </c>
      <c r="N222" s="5"/>
      <c r="O222" t="str">
        <f>VLOOKUP(G222,'[1]CONFIG.'!$B:$C,2,0)</f>
        <v>ANDRE</v>
      </c>
      <c r="P222" t="str">
        <f>VLOOKUP(O222,'[1]CONFIG.'!$C:$D,2,0)</f>
        <v>74 99916877</v>
      </c>
    </row>
    <row r="223" spans="1:16" x14ac:dyDescent="0.3">
      <c r="A223" t="s">
        <v>1616</v>
      </c>
      <c r="B223" t="s">
        <v>1617</v>
      </c>
      <c r="C223" t="s">
        <v>1618</v>
      </c>
      <c r="D223" t="s">
        <v>36</v>
      </c>
      <c r="E223" t="s">
        <v>1619</v>
      </c>
      <c r="F223" t="s">
        <v>342</v>
      </c>
      <c r="G223">
        <v>203</v>
      </c>
      <c r="H223">
        <v>200</v>
      </c>
      <c r="I223" s="5" t="s">
        <v>1620</v>
      </c>
      <c r="J223" s="5" t="s">
        <v>1621</v>
      </c>
      <c r="K223" s="5" t="str">
        <f t="shared" si="6"/>
        <v>https://www.google.com/maps?q=-11.313516, -41.852512</v>
      </c>
      <c r="L223" s="5" t="str">
        <f t="shared" si="7"/>
        <v>Abrir no Maps</v>
      </c>
      <c r="M223" t="s">
        <v>1622</v>
      </c>
      <c r="N223" s="5"/>
      <c r="O223" t="str">
        <f>VLOOKUP(G223,'[1]CONFIG.'!$B:$C,2,0)</f>
        <v>ALEXANDRE</v>
      </c>
      <c r="P223" t="str">
        <f>VLOOKUP(O223,'[1]CONFIG.'!$C:$D,2,0)</f>
        <v>74 99653478</v>
      </c>
    </row>
    <row r="224" spans="1:16" x14ac:dyDescent="0.3">
      <c r="A224" t="s">
        <v>1623</v>
      </c>
      <c r="B224" t="s">
        <v>1624</v>
      </c>
      <c r="C224" t="s">
        <v>1625</v>
      </c>
      <c r="D224" t="s">
        <v>36</v>
      </c>
      <c r="E224" t="s">
        <v>1626</v>
      </c>
      <c r="F224" t="s">
        <v>1627</v>
      </c>
      <c r="G224">
        <v>203</v>
      </c>
      <c r="H224">
        <v>200</v>
      </c>
      <c r="I224" s="5" t="s">
        <v>1628</v>
      </c>
      <c r="J224" s="5" t="s">
        <v>1629</v>
      </c>
      <c r="K224" s="5" t="str">
        <f t="shared" si="6"/>
        <v>https://www.google.com/maps?q=-11.308820, -41.845695</v>
      </c>
      <c r="L224" s="5" t="str">
        <f t="shared" si="7"/>
        <v>Abrir no Maps</v>
      </c>
      <c r="M224" t="s">
        <v>1630</v>
      </c>
      <c r="N224" s="5"/>
      <c r="O224" t="str">
        <f>VLOOKUP(G224,'[1]CONFIG.'!$B:$C,2,0)</f>
        <v>ALEXANDRE</v>
      </c>
      <c r="P224" t="str">
        <f>VLOOKUP(O224,'[1]CONFIG.'!$C:$D,2,0)</f>
        <v>74 99653478</v>
      </c>
    </row>
    <row r="225" spans="1:16" x14ac:dyDescent="0.3">
      <c r="A225" t="s">
        <v>1631</v>
      </c>
      <c r="B225" t="s">
        <v>1632</v>
      </c>
      <c r="C225" t="s">
        <v>1633</v>
      </c>
      <c r="D225" t="s">
        <v>36</v>
      </c>
      <c r="E225" t="s">
        <v>1634</v>
      </c>
      <c r="F225" t="s">
        <v>137</v>
      </c>
      <c r="G225">
        <v>211</v>
      </c>
      <c r="H225">
        <v>500</v>
      </c>
      <c r="I225" s="5" t="s">
        <v>1635</v>
      </c>
      <c r="J225" s="5" t="s">
        <v>1636</v>
      </c>
      <c r="K225" s="5" t="str">
        <f t="shared" si="6"/>
        <v>https://www.google.com/maps?q=-11.307665, -41.852314</v>
      </c>
      <c r="L225" s="5" t="str">
        <f t="shared" si="7"/>
        <v>Abrir no Maps</v>
      </c>
      <c r="M225" t="s">
        <v>1637</v>
      </c>
      <c r="N225" s="5"/>
      <c r="O225" t="str">
        <f>VLOOKUP(G225,'[1]CONFIG.'!$B:$C,2,0)</f>
        <v>DAIANE</v>
      </c>
      <c r="P225" t="str">
        <f>VLOOKUP(O225,'[1]CONFIG.'!$C:$D,2,0)</f>
        <v>74 99298866</v>
      </c>
    </row>
    <row r="226" spans="1:16" x14ac:dyDescent="0.3">
      <c r="A226" t="s">
        <v>1638</v>
      </c>
      <c r="B226" t="s">
        <v>1639</v>
      </c>
      <c r="C226" t="s">
        <v>1640</v>
      </c>
      <c r="D226" t="s">
        <v>36</v>
      </c>
      <c r="E226" t="s">
        <v>1641</v>
      </c>
      <c r="F226" t="s">
        <v>137</v>
      </c>
      <c r="G226">
        <v>210</v>
      </c>
      <c r="H226">
        <v>500</v>
      </c>
      <c r="I226" s="5" t="s">
        <v>1642</v>
      </c>
      <c r="J226" s="5" t="s">
        <v>1643</v>
      </c>
      <c r="K226" s="5" t="str">
        <f t="shared" si="6"/>
        <v>https://www.google.com/maps?q=-11.302464, -41.859150</v>
      </c>
      <c r="L226" s="5" t="str">
        <f t="shared" si="7"/>
        <v>Abrir no Maps</v>
      </c>
      <c r="M226" t="s">
        <v>1644</v>
      </c>
      <c r="N226" s="5"/>
      <c r="O226" t="str">
        <f>VLOOKUP(G226,'[1]CONFIG.'!$B:$C,2,0)</f>
        <v>SILAS</v>
      </c>
      <c r="P226" t="str">
        <f>VLOOKUP(O226,'[1]CONFIG.'!$C:$D,2,0)</f>
        <v>74 98041875</v>
      </c>
    </row>
    <row r="227" spans="1:16" x14ac:dyDescent="0.3">
      <c r="A227" t="s">
        <v>1645</v>
      </c>
      <c r="B227" t="s">
        <v>1646</v>
      </c>
      <c r="C227" t="s">
        <v>1647</v>
      </c>
      <c r="D227" t="s">
        <v>36</v>
      </c>
      <c r="E227" t="s">
        <v>1648</v>
      </c>
      <c r="F227" t="s">
        <v>137</v>
      </c>
      <c r="G227">
        <v>210</v>
      </c>
      <c r="H227">
        <v>500</v>
      </c>
      <c r="I227" s="5" t="s">
        <v>1649</v>
      </c>
      <c r="J227" s="5" t="s">
        <v>1650</v>
      </c>
      <c r="K227" s="5" t="str">
        <f t="shared" si="6"/>
        <v>https://www.google.com/maps?q=-11.303096, -41.858746</v>
      </c>
      <c r="L227" s="5" t="str">
        <f t="shared" si="7"/>
        <v>Abrir no Maps</v>
      </c>
      <c r="M227" t="s">
        <v>1447</v>
      </c>
      <c r="N227" s="5"/>
      <c r="O227" t="str">
        <f>VLOOKUP(G227,'[1]CONFIG.'!$B:$C,2,0)</f>
        <v>SILAS</v>
      </c>
      <c r="P227" t="str">
        <f>VLOOKUP(O227,'[1]CONFIG.'!$C:$D,2,0)</f>
        <v>74 98041875</v>
      </c>
    </row>
    <row r="228" spans="1:16" x14ac:dyDescent="0.3">
      <c r="A228" t="s">
        <v>1651</v>
      </c>
      <c r="B228" t="s">
        <v>1652</v>
      </c>
      <c r="C228" t="s">
        <v>1653</v>
      </c>
      <c r="D228" t="s">
        <v>36</v>
      </c>
      <c r="E228" t="s">
        <v>1654</v>
      </c>
      <c r="F228" t="s">
        <v>1655</v>
      </c>
      <c r="G228">
        <v>203</v>
      </c>
      <c r="H228">
        <v>200</v>
      </c>
      <c r="I228" s="5" t="s">
        <v>1656</v>
      </c>
      <c r="J228" s="5" t="s">
        <v>1657</v>
      </c>
      <c r="K228" s="5" t="str">
        <f t="shared" si="6"/>
        <v>https://www.google.com/maps?q=-11.308609, -41.869656</v>
      </c>
      <c r="L228" s="5" t="str">
        <f t="shared" si="7"/>
        <v>Abrir no Maps</v>
      </c>
      <c r="M228" t="s">
        <v>1658</v>
      </c>
      <c r="N228" s="5"/>
      <c r="O228" t="str">
        <f>VLOOKUP(G228,'[1]CONFIG.'!$B:$C,2,0)</f>
        <v>ALEXANDRE</v>
      </c>
      <c r="P228" t="str">
        <f>VLOOKUP(O228,'[1]CONFIG.'!$C:$D,2,0)</f>
        <v>74 99653478</v>
      </c>
    </row>
    <row r="229" spans="1:16" x14ac:dyDescent="0.3">
      <c r="A229" t="s">
        <v>1659</v>
      </c>
      <c r="B229" t="s">
        <v>1660</v>
      </c>
      <c r="C229" t="s">
        <v>1661</v>
      </c>
      <c r="D229" t="s">
        <v>36</v>
      </c>
      <c r="E229" t="s">
        <v>1662</v>
      </c>
      <c r="F229" t="s">
        <v>511</v>
      </c>
      <c r="G229">
        <v>207</v>
      </c>
      <c r="H229">
        <v>500</v>
      </c>
      <c r="I229" s="5" t="s">
        <v>1663</v>
      </c>
      <c r="J229" s="5" t="s">
        <v>383</v>
      </c>
      <c r="K229" s="5" t="str">
        <f t="shared" si="6"/>
        <v>https://www.google.com/maps?q=-11.323203, -41.864513</v>
      </c>
      <c r="L229" s="5" t="str">
        <f t="shared" si="7"/>
        <v>Abrir no Maps</v>
      </c>
      <c r="M229" t="s">
        <v>1664</v>
      </c>
      <c r="N229" s="5"/>
      <c r="O229" t="str">
        <f>VLOOKUP(G229,'[1]CONFIG.'!$B:$C,2,0)</f>
        <v>HIAGO</v>
      </c>
      <c r="P229" t="str">
        <f>VLOOKUP(O229,'[1]CONFIG.'!$C:$D,2,0)</f>
        <v>74 99872571</v>
      </c>
    </row>
    <row r="230" spans="1:16" x14ac:dyDescent="0.3">
      <c r="A230" t="s">
        <v>1665</v>
      </c>
      <c r="B230" t="s">
        <v>1666</v>
      </c>
      <c r="C230" t="s">
        <v>1667</v>
      </c>
      <c r="D230" t="s">
        <v>36</v>
      </c>
      <c r="E230" t="s">
        <v>1668</v>
      </c>
      <c r="F230" t="s">
        <v>46</v>
      </c>
      <c r="G230">
        <v>211</v>
      </c>
      <c r="H230">
        <v>500</v>
      </c>
      <c r="I230" s="5" t="s">
        <v>1669</v>
      </c>
      <c r="J230" s="5" t="s">
        <v>1670</v>
      </c>
      <c r="K230" s="5" t="str">
        <f t="shared" si="6"/>
        <v>https://www.google.com/maps?q=-11.240711, -41.755500</v>
      </c>
      <c r="L230" s="5" t="str">
        <f t="shared" si="7"/>
        <v>Abrir no Maps</v>
      </c>
      <c r="M230" t="s">
        <v>1671</v>
      </c>
      <c r="N230" s="5"/>
      <c r="O230" t="str">
        <f>VLOOKUP(G230,'[1]CONFIG.'!$B:$C,2,0)</f>
        <v>DAIANE</v>
      </c>
      <c r="P230" t="str">
        <f>VLOOKUP(O230,'[1]CONFIG.'!$C:$D,2,0)</f>
        <v>74 99298866</v>
      </c>
    </row>
    <row r="231" spans="1:16" x14ac:dyDescent="0.3">
      <c r="A231" t="s">
        <v>1672</v>
      </c>
      <c r="B231" t="s">
        <v>1673</v>
      </c>
      <c r="C231" t="s">
        <v>1674</v>
      </c>
      <c r="D231" t="s">
        <v>36</v>
      </c>
      <c r="E231" t="s">
        <v>1675</v>
      </c>
      <c r="F231" t="s">
        <v>1676</v>
      </c>
      <c r="G231">
        <v>207</v>
      </c>
      <c r="H231">
        <v>500</v>
      </c>
      <c r="I231" s="5" t="s">
        <v>1677</v>
      </c>
      <c r="J231" s="5" t="s">
        <v>1678</v>
      </c>
      <c r="K231" s="5" t="str">
        <f t="shared" si="6"/>
        <v>https://www.google.com/maps?q=-11.325731, -41.862530</v>
      </c>
      <c r="L231" s="5" t="str">
        <f t="shared" si="7"/>
        <v>Abrir no Maps</v>
      </c>
      <c r="M231" t="s">
        <v>1679</v>
      </c>
      <c r="N231" s="5"/>
      <c r="O231" t="str">
        <f>VLOOKUP(G231,'[1]CONFIG.'!$B:$C,2,0)</f>
        <v>HIAGO</v>
      </c>
      <c r="P231" t="str">
        <f>VLOOKUP(O231,'[1]CONFIG.'!$C:$D,2,0)</f>
        <v>74 99872571</v>
      </c>
    </row>
    <row r="232" spans="1:16" x14ac:dyDescent="0.3">
      <c r="A232" t="s">
        <v>1680</v>
      </c>
      <c r="B232" t="s">
        <v>1681</v>
      </c>
      <c r="C232" t="s">
        <v>1682</v>
      </c>
      <c r="D232" t="s">
        <v>36</v>
      </c>
      <c r="E232" t="s">
        <v>1683</v>
      </c>
      <c r="F232" t="s">
        <v>366</v>
      </c>
      <c r="G232">
        <v>210</v>
      </c>
      <c r="H232">
        <v>500</v>
      </c>
      <c r="I232" s="5" t="s">
        <v>1684</v>
      </c>
      <c r="J232" s="5" t="s">
        <v>1685</v>
      </c>
      <c r="K232" s="5" t="str">
        <f t="shared" si="6"/>
        <v>https://www.google.com/maps?q=-11.301360, -41.862186</v>
      </c>
      <c r="L232" s="5" t="str">
        <f t="shared" si="7"/>
        <v>Abrir no Maps</v>
      </c>
      <c r="M232" t="s">
        <v>1686</v>
      </c>
      <c r="N232" s="5"/>
      <c r="O232" t="str">
        <f>VLOOKUP(G232,'[1]CONFIG.'!$B:$C,2,0)</f>
        <v>SILAS</v>
      </c>
      <c r="P232" t="str">
        <f>VLOOKUP(O232,'[1]CONFIG.'!$C:$D,2,0)</f>
        <v>74 98041875</v>
      </c>
    </row>
    <row r="233" spans="1:16" x14ac:dyDescent="0.3">
      <c r="A233" t="s">
        <v>1687</v>
      </c>
      <c r="B233" t="s">
        <v>1688</v>
      </c>
      <c r="C233" t="s">
        <v>1689</v>
      </c>
      <c r="D233" t="s">
        <v>36</v>
      </c>
      <c r="E233" t="s">
        <v>1690</v>
      </c>
      <c r="F233" t="s">
        <v>38</v>
      </c>
      <c r="G233">
        <v>212</v>
      </c>
      <c r="H233">
        <v>200</v>
      </c>
      <c r="I233" s="5" t="s">
        <v>1691</v>
      </c>
      <c r="J233" s="5" t="s">
        <v>1692</v>
      </c>
      <c r="K233" s="5" t="str">
        <f t="shared" si="6"/>
        <v>https://www.google.com/maps?q=-11.307017, -41.851190</v>
      </c>
      <c r="L233" s="5" t="str">
        <f t="shared" si="7"/>
        <v>Abrir no Maps</v>
      </c>
      <c r="M233" t="s">
        <v>1693</v>
      </c>
      <c r="N233" s="5"/>
      <c r="O233" t="str">
        <f>VLOOKUP(G233,'[1]CONFIG.'!$B:$C,2,0)</f>
        <v>ANDRE</v>
      </c>
      <c r="P233" t="str">
        <f>VLOOKUP(O233,'[1]CONFIG.'!$C:$D,2,0)</f>
        <v>74 99916877</v>
      </c>
    </row>
    <row r="234" spans="1:16" x14ac:dyDescent="0.3">
      <c r="A234" t="s">
        <v>1694</v>
      </c>
      <c r="B234" t="s">
        <v>1695</v>
      </c>
      <c r="C234" t="s">
        <v>1696</v>
      </c>
      <c r="D234" t="s">
        <v>36</v>
      </c>
      <c r="E234" t="s">
        <v>1697</v>
      </c>
      <c r="F234" t="s">
        <v>38</v>
      </c>
      <c r="G234">
        <v>212</v>
      </c>
      <c r="H234">
        <v>200</v>
      </c>
      <c r="I234" s="5" t="s">
        <v>1698</v>
      </c>
      <c r="J234" s="5" t="s">
        <v>1699</v>
      </c>
      <c r="K234" s="5" t="str">
        <f t="shared" si="6"/>
        <v>https://www.google.com/maps?q=-11.305265, -41.849506</v>
      </c>
      <c r="L234" s="5" t="str">
        <f t="shared" si="7"/>
        <v>Abrir no Maps</v>
      </c>
      <c r="M234" t="s">
        <v>1700</v>
      </c>
      <c r="N234" s="5"/>
      <c r="O234" t="str">
        <f>VLOOKUP(G234,'[1]CONFIG.'!$B:$C,2,0)</f>
        <v>ANDRE</v>
      </c>
      <c r="P234" t="str">
        <f>VLOOKUP(O234,'[1]CONFIG.'!$C:$D,2,0)</f>
        <v>74 99916877</v>
      </c>
    </row>
    <row r="235" spans="1:16" x14ac:dyDescent="0.3">
      <c r="A235" t="s">
        <v>1701</v>
      </c>
      <c r="B235" t="s">
        <v>1702</v>
      </c>
      <c r="C235" t="s">
        <v>1703</v>
      </c>
      <c r="D235" t="s">
        <v>36</v>
      </c>
      <c r="E235" t="s">
        <v>1704</v>
      </c>
      <c r="F235" t="s">
        <v>137</v>
      </c>
      <c r="G235">
        <v>207</v>
      </c>
      <c r="H235">
        <v>500</v>
      </c>
      <c r="I235" s="5" t="s">
        <v>1705</v>
      </c>
      <c r="J235" s="5" t="s">
        <v>1706</v>
      </c>
      <c r="K235" s="5" t="str">
        <f t="shared" si="6"/>
        <v>https://www.google.com/maps?q=-11.304664, -41.857548</v>
      </c>
      <c r="L235" s="5" t="str">
        <f t="shared" si="7"/>
        <v>Abrir no Maps</v>
      </c>
      <c r="M235" t="s">
        <v>1536</v>
      </c>
      <c r="N235" s="5"/>
      <c r="O235" t="str">
        <f>VLOOKUP(G235,'[1]CONFIG.'!$B:$C,2,0)</f>
        <v>HIAGO</v>
      </c>
      <c r="P235" t="str">
        <f>VLOOKUP(O235,'[1]CONFIG.'!$C:$D,2,0)</f>
        <v>74 99872571</v>
      </c>
    </row>
    <row r="236" spans="1:16" x14ac:dyDescent="0.3">
      <c r="A236" t="s">
        <v>1707</v>
      </c>
      <c r="B236" t="s">
        <v>1708</v>
      </c>
      <c r="C236" t="s">
        <v>1709</v>
      </c>
      <c r="D236" t="s">
        <v>36</v>
      </c>
      <c r="E236" t="s">
        <v>1710</v>
      </c>
      <c r="F236" t="s">
        <v>38</v>
      </c>
      <c r="G236">
        <v>210</v>
      </c>
      <c r="H236">
        <v>500</v>
      </c>
      <c r="I236" s="5" t="s">
        <v>1711</v>
      </c>
      <c r="J236" s="5" t="s">
        <v>1712</v>
      </c>
      <c r="K236" s="5" t="str">
        <f t="shared" si="6"/>
        <v>https://www.google.com/maps?q=-11.308018, -41.852610</v>
      </c>
      <c r="L236" s="5" t="str">
        <f t="shared" si="7"/>
        <v>Abrir no Maps</v>
      </c>
      <c r="M236" t="s">
        <v>1713</v>
      </c>
      <c r="N236" s="5"/>
      <c r="O236" t="str">
        <f>VLOOKUP(G236,'[1]CONFIG.'!$B:$C,2,0)</f>
        <v>SILAS</v>
      </c>
      <c r="P236" t="str">
        <f>VLOOKUP(O236,'[1]CONFIG.'!$C:$D,2,0)</f>
        <v>74 98041875</v>
      </c>
    </row>
    <row r="237" spans="1:16" x14ac:dyDescent="0.3">
      <c r="A237" t="s">
        <v>1714</v>
      </c>
      <c r="B237" t="s">
        <v>1715</v>
      </c>
      <c r="C237" t="s">
        <v>1716</v>
      </c>
      <c r="D237" t="s">
        <v>36</v>
      </c>
      <c r="E237" t="s">
        <v>1717</v>
      </c>
      <c r="F237" t="s">
        <v>85</v>
      </c>
      <c r="G237">
        <v>210</v>
      </c>
      <c r="H237">
        <v>500</v>
      </c>
      <c r="I237" s="5" t="s">
        <v>1718</v>
      </c>
      <c r="J237" s="5" t="s">
        <v>1719</v>
      </c>
      <c r="K237" s="5" t="str">
        <f t="shared" si="6"/>
        <v>https://www.google.com/maps?q=-11.303253, -41.872555</v>
      </c>
      <c r="L237" s="5" t="str">
        <f t="shared" si="7"/>
        <v>Abrir no Maps</v>
      </c>
      <c r="M237" t="s">
        <v>1720</v>
      </c>
      <c r="N237" s="5"/>
      <c r="O237" t="str">
        <f>VLOOKUP(G237,'[1]CONFIG.'!$B:$C,2,0)</f>
        <v>SILAS</v>
      </c>
      <c r="P237" t="str">
        <f>VLOOKUP(O237,'[1]CONFIG.'!$C:$D,2,0)</f>
        <v>74 98041875</v>
      </c>
    </row>
    <row r="238" spans="1:16" x14ac:dyDescent="0.3">
      <c r="A238" t="s">
        <v>1721</v>
      </c>
      <c r="B238" t="s">
        <v>1722</v>
      </c>
      <c r="C238" t="s">
        <v>1723</v>
      </c>
      <c r="D238" t="s">
        <v>36</v>
      </c>
      <c r="E238" t="s">
        <v>1724</v>
      </c>
      <c r="F238" t="s">
        <v>137</v>
      </c>
      <c r="G238">
        <v>212</v>
      </c>
      <c r="H238">
        <v>200</v>
      </c>
      <c r="I238" s="5" t="s">
        <v>1725</v>
      </c>
      <c r="J238" s="5" t="s">
        <v>1726</v>
      </c>
      <c r="K238" s="5" t="str">
        <f t="shared" si="6"/>
        <v>https://www.google.com/maps?q=-11.303383, -41.852783</v>
      </c>
      <c r="L238" s="5" t="str">
        <f t="shared" si="7"/>
        <v>Abrir no Maps</v>
      </c>
      <c r="M238" t="s">
        <v>1727</v>
      </c>
      <c r="N238" s="5"/>
      <c r="O238" t="str">
        <f>VLOOKUP(G238,'[1]CONFIG.'!$B:$C,2,0)</f>
        <v>ANDRE</v>
      </c>
      <c r="P238" t="str">
        <f>VLOOKUP(O238,'[1]CONFIG.'!$C:$D,2,0)</f>
        <v>74 99916877</v>
      </c>
    </row>
    <row r="239" spans="1:16" x14ac:dyDescent="0.3">
      <c r="A239" t="s">
        <v>1728</v>
      </c>
      <c r="B239" t="s">
        <v>1729</v>
      </c>
      <c r="C239" t="s">
        <v>1730</v>
      </c>
      <c r="D239" t="s">
        <v>36</v>
      </c>
      <c r="E239" t="s">
        <v>1731</v>
      </c>
      <c r="F239" t="s">
        <v>137</v>
      </c>
      <c r="G239">
        <v>210</v>
      </c>
      <c r="H239">
        <v>500</v>
      </c>
      <c r="I239" s="5" t="s">
        <v>1732</v>
      </c>
      <c r="J239" s="5" t="s">
        <v>1733</v>
      </c>
      <c r="K239" s="5" t="str">
        <f t="shared" si="6"/>
        <v>https://www.google.com/maps?q=-11.303432, -41.860516</v>
      </c>
      <c r="L239" s="5" t="str">
        <f t="shared" si="7"/>
        <v>Abrir no Maps</v>
      </c>
      <c r="M239" t="s">
        <v>1734</v>
      </c>
      <c r="N239" s="5"/>
      <c r="O239" t="str">
        <f>VLOOKUP(G239,'[1]CONFIG.'!$B:$C,2,0)</f>
        <v>SILAS</v>
      </c>
      <c r="P239" t="str">
        <f>VLOOKUP(O239,'[1]CONFIG.'!$C:$D,2,0)</f>
        <v>74 98041875</v>
      </c>
    </row>
    <row r="240" spans="1:16" x14ac:dyDescent="0.3">
      <c r="A240" t="s">
        <v>1735</v>
      </c>
      <c r="B240" t="s">
        <v>1736</v>
      </c>
      <c r="C240" t="s">
        <v>1737</v>
      </c>
      <c r="D240" t="s">
        <v>36</v>
      </c>
      <c r="E240" t="s">
        <v>1738</v>
      </c>
      <c r="F240" t="s">
        <v>137</v>
      </c>
      <c r="G240">
        <v>204</v>
      </c>
      <c r="H240">
        <v>500</v>
      </c>
      <c r="I240" s="5" t="s">
        <v>1739</v>
      </c>
      <c r="J240" s="5" t="s">
        <v>1740</v>
      </c>
      <c r="K240" s="5" t="str">
        <f t="shared" si="6"/>
        <v>https://www.google.com/maps?q=-11.304892, -41.858513</v>
      </c>
      <c r="L240" s="5" t="str">
        <f t="shared" si="7"/>
        <v>Abrir no Maps</v>
      </c>
      <c r="M240" t="s">
        <v>1741</v>
      </c>
      <c r="N240" s="5"/>
      <c r="O240" t="str">
        <f>VLOOKUP(G240,'[1]CONFIG.'!$B:$C,2,0)</f>
        <v>EVA</v>
      </c>
      <c r="P240" t="str">
        <f>VLOOKUP(O240,'[1]CONFIG.'!$C:$D,2,0)</f>
        <v>74 98046078</v>
      </c>
    </row>
    <row r="241" spans="1:16" x14ac:dyDescent="0.3">
      <c r="A241" t="s">
        <v>1742</v>
      </c>
      <c r="B241" t="s">
        <v>1328</v>
      </c>
      <c r="C241" t="s">
        <v>1743</v>
      </c>
      <c r="D241" t="s">
        <v>36</v>
      </c>
      <c r="E241" t="s">
        <v>1744</v>
      </c>
      <c r="F241" t="s">
        <v>137</v>
      </c>
      <c r="G241">
        <v>203</v>
      </c>
      <c r="H241">
        <v>200</v>
      </c>
      <c r="I241" s="5" t="s">
        <v>1745</v>
      </c>
      <c r="J241" s="5" t="s">
        <v>1746</v>
      </c>
      <c r="K241" s="5" t="str">
        <f t="shared" si="6"/>
        <v>https://www.google.com/maps?q=-11.299903, -41.856007</v>
      </c>
      <c r="L241" s="5" t="str">
        <f t="shared" si="7"/>
        <v>Abrir no Maps</v>
      </c>
      <c r="M241" t="s">
        <v>1747</v>
      </c>
      <c r="N241" s="5"/>
      <c r="O241" t="str">
        <f>VLOOKUP(G241,'[1]CONFIG.'!$B:$C,2,0)</f>
        <v>ALEXANDRE</v>
      </c>
      <c r="P241" t="str">
        <f>VLOOKUP(O241,'[1]CONFIG.'!$C:$D,2,0)</f>
        <v>74 99653478</v>
      </c>
    </row>
    <row r="242" spans="1:16" x14ac:dyDescent="0.3">
      <c r="A242" t="s">
        <v>1748</v>
      </c>
      <c r="B242" t="s">
        <v>1749</v>
      </c>
      <c r="C242" t="s">
        <v>1750</v>
      </c>
      <c r="D242" t="s">
        <v>36</v>
      </c>
      <c r="E242" t="s">
        <v>1751</v>
      </c>
      <c r="F242" t="s">
        <v>108</v>
      </c>
      <c r="G242">
        <v>207</v>
      </c>
      <c r="H242">
        <v>500</v>
      </c>
      <c r="I242" s="5" t="s">
        <v>1752</v>
      </c>
      <c r="J242" s="5" t="s">
        <v>1753</v>
      </c>
      <c r="K242" s="5" t="str">
        <f t="shared" si="6"/>
        <v>https://www.google.com/maps?q=-11.313705, -41.857890</v>
      </c>
      <c r="L242" s="5" t="str">
        <f t="shared" si="7"/>
        <v>Abrir no Maps</v>
      </c>
      <c r="M242" t="s">
        <v>1754</v>
      </c>
      <c r="N242" s="5"/>
      <c r="O242" t="str">
        <f>VLOOKUP(G242,'[1]CONFIG.'!$B:$C,2,0)</f>
        <v>HIAGO</v>
      </c>
      <c r="P242" t="str">
        <f>VLOOKUP(O242,'[1]CONFIG.'!$C:$D,2,0)</f>
        <v>74 99872571</v>
      </c>
    </row>
    <row r="243" spans="1:16" x14ac:dyDescent="0.3">
      <c r="A243" t="s">
        <v>1755</v>
      </c>
      <c r="B243" t="s">
        <v>1756</v>
      </c>
      <c r="C243" t="s">
        <v>1757</v>
      </c>
      <c r="D243" t="s">
        <v>36</v>
      </c>
      <c r="E243" t="s">
        <v>1758</v>
      </c>
      <c r="F243" t="s">
        <v>38</v>
      </c>
      <c r="G243">
        <v>210</v>
      </c>
      <c r="H243">
        <v>500</v>
      </c>
      <c r="I243" s="5" t="s">
        <v>1759</v>
      </c>
      <c r="J243" s="5" t="s">
        <v>1760</v>
      </c>
      <c r="K243" s="5" t="str">
        <f t="shared" si="6"/>
        <v>https://www.google.com/maps?q=-11.300676, -41.846798</v>
      </c>
      <c r="L243" s="5" t="str">
        <f t="shared" si="7"/>
        <v>Abrir no Maps</v>
      </c>
      <c r="M243" t="s">
        <v>1761</v>
      </c>
      <c r="N243" s="5"/>
      <c r="O243" t="str">
        <f>VLOOKUP(G243,'[1]CONFIG.'!$B:$C,2,0)</f>
        <v>SILAS</v>
      </c>
      <c r="P243" t="str">
        <f>VLOOKUP(O243,'[1]CONFIG.'!$C:$D,2,0)</f>
        <v>74 98041875</v>
      </c>
    </row>
    <row r="244" spans="1:16" x14ac:dyDescent="0.3">
      <c r="A244" t="s">
        <v>1762</v>
      </c>
      <c r="B244" t="s">
        <v>1763</v>
      </c>
      <c r="C244" t="s">
        <v>1764</v>
      </c>
      <c r="D244" t="s">
        <v>36</v>
      </c>
      <c r="E244" t="s">
        <v>1765</v>
      </c>
      <c r="F244" t="s">
        <v>137</v>
      </c>
      <c r="G244">
        <v>210</v>
      </c>
      <c r="H244">
        <v>500</v>
      </c>
      <c r="I244" s="5" t="s">
        <v>1766</v>
      </c>
      <c r="J244" s="5" t="s">
        <v>1767</v>
      </c>
      <c r="K244" s="5" t="str">
        <f t="shared" si="6"/>
        <v>https://www.google.com/maps?q=-11.299628, -41.860085</v>
      </c>
      <c r="L244" s="5" t="str">
        <f t="shared" si="7"/>
        <v>Abrir no Maps</v>
      </c>
      <c r="M244" t="s">
        <v>1768</v>
      </c>
      <c r="N244" s="5"/>
      <c r="O244" t="str">
        <f>VLOOKUP(G244,'[1]CONFIG.'!$B:$C,2,0)</f>
        <v>SILAS</v>
      </c>
      <c r="P244" t="str">
        <f>VLOOKUP(O244,'[1]CONFIG.'!$C:$D,2,0)</f>
        <v>74 98041875</v>
      </c>
    </row>
    <row r="245" spans="1:16" x14ac:dyDescent="0.3">
      <c r="A245" t="s">
        <v>1769</v>
      </c>
      <c r="B245" t="s">
        <v>1770</v>
      </c>
      <c r="C245" t="s">
        <v>1771</v>
      </c>
      <c r="D245" t="s">
        <v>36</v>
      </c>
      <c r="E245" t="s">
        <v>1772</v>
      </c>
      <c r="F245" t="s">
        <v>108</v>
      </c>
      <c r="G245">
        <v>203</v>
      </c>
      <c r="H245">
        <v>200</v>
      </c>
      <c r="I245" s="5" t="s">
        <v>1773</v>
      </c>
      <c r="J245" s="5" t="s">
        <v>1774</v>
      </c>
      <c r="K245" s="5" t="str">
        <f t="shared" si="6"/>
        <v>https://www.google.com/maps?q=-11.315639, -41.862190</v>
      </c>
      <c r="L245" s="5" t="str">
        <f t="shared" si="7"/>
        <v>Abrir no Maps</v>
      </c>
      <c r="M245" t="s">
        <v>1775</v>
      </c>
      <c r="N245" s="5"/>
      <c r="O245" t="str">
        <f>VLOOKUP(G245,'[1]CONFIG.'!$B:$C,2,0)</f>
        <v>ALEXANDRE</v>
      </c>
      <c r="P245" t="str">
        <f>VLOOKUP(O245,'[1]CONFIG.'!$C:$D,2,0)</f>
        <v>74 99653478</v>
      </c>
    </row>
    <row r="246" spans="1:16" x14ac:dyDescent="0.3">
      <c r="A246" t="s">
        <v>1776</v>
      </c>
      <c r="B246" t="s">
        <v>1777</v>
      </c>
      <c r="C246" t="s">
        <v>1778</v>
      </c>
      <c r="D246" t="s">
        <v>36</v>
      </c>
      <c r="E246" t="s">
        <v>1779</v>
      </c>
      <c r="F246" t="s">
        <v>77</v>
      </c>
      <c r="G246">
        <v>203</v>
      </c>
      <c r="H246">
        <v>200</v>
      </c>
      <c r="I246" s="5" t="s">
        <v>1780</v>
      </c>
      <c r="J246" s="5" t="s">
        <v>1781</v>
      </c>
      <c r="K246" s="5" t="str">
        <f t="shared" si="6"/>
        <v>https://www.google.com/maps?q=-11.299118, -41.855412</v>
      </c>
      <c r="L246" s="5" t="str">
        <f t="shared" si="7"/>
        <v>Abrir no Maps</v>
      </c>
      <c r="M246" t="s">
        <v>528</v>
      </c>
      <c r="N246" s="5"/>
      <c r="O246" t="str">
        <f>VLOOKUP(G246,'[1]CONFIG.'!$B:$C,2,0)</f>
        <v>ALEXANDRE</v>
      </c>
      <c r="P246" t="str">
        <f>VLOOKUP(O246,'[1]CONFIG.'!$C:$D,2,0)</f>
        <v>74 99653478</v>
      </c>
    </row>
    <row r="247" spans="1:16" x14ac:dyDescent="0.3">
      <c r="A247" t="s">
        <v>1782</v>
      </c>
      <c r="B247" t="s">
        <v>1783</v>
      </c>
      <c r="C247" t="s">
        <v>1784</v>
      </c>
      <c r="D247" t="s">
        <v>36</v>
      </c>
      <c r="E247" t="s">
        <v>1785</v>
      </c>
      <c r="F247" t="s">
        <v>137</v>
      </c>
      <c r="G247">
        <v>203</v>
      </c>
      <c r="H247">
        <v>200</v>
      </c>
      <c r="I247" s="5" t="s">
        <v>1786</v>
      </c>
      <c r="J247" s="5" t="s">
        <v>1787</v>
      </c>
      <c r="K247" s="5" t="str">
        <f t="shared" si="6"/>
        <v>https://www.google.com/maps?q=-11.302587, -41.850533</v>
      </c>
      <c r="L247" s="5" t="str">
        <f t="shared" si="7"/>
        <v>Abrir no Maps</v>
      </c>
      <c r="M247" t="s">
        <v>1788</v>
      </c>
      <c r="N247" s="5"/>
      <c r="O247" t="str">
        <f>VLOOKUP(G247,'[1]CONFIG.'!$B:$C,2,0)</f>
        <v>ALEXANDRE</v>
      </c>
      <c r="P247" t="str">
        <f>VLOOKUP(O247,'[1]CONFIG.'!$C:$D,2,0)</f>
        <v>74 99653478</v>
      </c>
    </row>
    <row r="248" spans="1:16" x14ac:dyDescent="0.3">
      <c r="A248" t="s">
        <v>1789</v>
      </c>
      <c r="B248" t="s">
        <v>1790</v>
      </c>
      <c r="C248" t="s">
        <v>1791</v>
      </c>
      <c r="D248" t="s">
        <v>36</v>
      </c>
      <c r="E248" t="s">
        <v>1792</v>
      </c>
      <c r="F248" t="s">
        <v>1793</v>
      </c>
      <c r="G248">
        <v>212</v>
      </c>
      <c r="H248">
        <v>200</v>
      </c>
      <c r="I248" s="5" t="s">
        <v>1794</v>
      </c>
      <c r="J248" s="5" t="s">
        <v>1795</v>
      </c>
      <c r="K248" s="5" t="str">
        <f t="shared" si="6"/>
        <v>https://www.google.com/maps?q=-11.279352, -41.844418</v>
      </c>
      <c r="L248" s="5" t="str">
        <f t="shared" si="7"/>
        <v>Abrir no Maps</v>
      </c>
      <c r="M248" t="s">
        <v>1796</v>
      </c>
      <c r="N248" s="5"/>
      <c r="O248" t="str">
        <f>VLOOKUP(G248,'[1]CONFIG.'!$B:$C,2,0)</f>
        <v>ANDRE</v>
      </c>
      <c r="P248" t="str">
        <f>VLOOKUP(O248,'[1]CONFIG.'!$C:$D,2,0)</f>
        <v>74 99916877</v>
      </c>
    </row>
    <row r="249" spans="1:16" x14ac:dyDescent="0.3">
      <c r="A249" t="s">
        <v>1797</v>
      </c>
      <c r="B249" t="s">
        <v>1798</v>
      </c>
      <c r="C249" t="s">
        <v>1799</v>
      </c>
      <c r="D249" t="s">
        <v>36</v>
      </c>
      <c r="E249" t="s">
        <v>1800</v>
      </c>
      <c r="F249" t="s">
        <v>311</v>
      </c>
      <c r="G249">
        <v>203</v>
      </c>
      <c r="H249">
        <v>200</v>
      </c>
      <c r="I249" s="5" t="s">
        <v>1801</v>
      </c>
      <c r="J249" s="5" t="s">
        <v>1802</v>
      </c>
      <c r="K249" s="5" t="str">
        <f t="shared" si="6"/>
        <v>https://www.google.com/maps?q=-11.308817, -41.868610</v>
      </c>
      <c r="L249" s="5" t="str">
        <f t="shared" si="7"/>
        <v>Abrir no Maps</v>
      </c>
      <c r="M249" t="s">
        <v>1803</v>
      </c>
      <c r="N249" s="5"/>
      <c r="O249" t="str">
        <f>VLOOKUP(G249,'[1]CONFIG.'!$B:$C,2,0)</f>
        <v>ALEXANDRE</v>
      </c>
      <c r="P249" t="str">
        <f>VLOOKUP(O249,'[1]CONFIG.'!$C:$D,2,0)</f>
        <v>74 99653478</v>
      </c>
    </row>
    <row r="250" spans="1:16" x14ac:dyDescent="0.3">
      <c r="A250" t="s">
        <v>1804</v>
      </c>
      <c r="B250" t="s">
        <v>1805</v>
      </c>
      <c r="C250" t="s">
        <v>1806</v>
      </c>
      <c r="D250" t="s">
        <v>36</v>
      </c>
      <c r="E250" t="s">
        <v>1807</v>
      </c>
      <c r="F250" t="s">
        <v>38</v>
      </c>
      <c r="G250">
        <v>209</v>
      </c>
      <c r="H250">
        <v>500</v>
      </c>
      <c r="I250" s="5" t="s">
        <v>1808</v>
      </c>
      <c r="J250" s="5" t="s">
        <v>1809</v>
      </c>
      <c r="K250" s="5" t="str">
        <f t="shared" si="6"/>
        <v>https://www.google.com/maps?q=-11.304568, -41.849308</v>
      </c>
      <c r="L250" s="5" t="str">
        <f t="shared" si="7"/>
        <v>Abrir no Maps</v>
      </c>
      <c r="M250" t="s">
        <v>1810</v>
      </c>
      <c r="N250" s="5"/>
      <c r="O250" t="str">
        <f>VLOOKUP(G250,'[1]CONFIG.'!$B:$C,2,0)</f>
        <v>IGOR</v>
      </c>
      <c r="P250" t="str">
        <f>VLOOKUP(O250,'[1]CONFIG.'!$C:$D,2,0)</f>
        <v>74 99590346</v>
      </c>
    </row>
    <row r="251" spans="1:16" x14ac:dyDescent="0.3">
      <c r="A251" t="s">
        <v>1811</v>
      </c>
      <c r="B251" t="s">
        <v>1812</v>
      </c>
      <c r="C251" t="s">
        <v>1813</v>
      </c>
      <c r="D251" t="s">
        <v>36</v>
      </c>
      <c r="E251" t="s">
        <v>1814</v>
      </c>
      <c r="F251" t="s">
        <v>327</v>
      </c>
      <c r="G251">
        <v>212</v>
      </c>
      <c r="H251">
        <v>200</v>
      </c>
      <c r="I251" s="5" t="s">
        <v>1815</v>
      </c>
      <c r="J251" s="5" t="s">
        <v>1816</v>
      </c>
      <c r="K251" s="5" t="str">
        <f t="shared" si="6"/>
        <v>https://www.google.com/maps?q=-11.302976, -41.844097</v>
      </c>
      <c r="L251" s="5" t="str">
        <f t="shared" si="7"/>
        <v>Abrir no Maps</v>
      </c>
      <c r="M251" t="s">
        <v>1817</v>
      </c>
      <c r="N251" s="5"/>
      <c r="O251" t="str">
        <f>VLOOKUP(G251,'[1]CONFIG.'!$B:$C,2,0)</f>
        <v>ANDRE</v>
      </c>
      <c r="P251" t="str">
        <f>VLOOKUP(O251,'[1]CONFIG.'!$C:$D,2,0)</f>
        <v>74 99916877</v>
      </c>
    </row>
    <row r="252" spans="1:16" x14ac:dyDescent="0.3">
      <c r="A252" t="s">
        <v>1818</v>
      </c>
      <c r="B252" t="s">
        <v>1819</v>
      </c>
      <c r="C252" t="s">
        <v>1820</v>
      </c>
      <c r="D252" t="s">
        <v>36</v>
      </c>
      <c r="E252" t="s">
        <v>1821</v>
      </c>
      <c r="F252" t="s">
        <v>1353</v>
      </c>
      <c r="G252">
        <v>211</v>
      </c>
      <c r="H252">
        <v>500</v>
      </c>
      <c r="I252" s="5" t="s">
        <v>1822</v>
      </c>
      <c r="J252" s="5" t="s">
        <v>1823</v>
      </c>
      <c r="K252" s="5" t="str">
        <f t="shared" si="6"/>
        <v>https://www.google.com/maps?q=-11.288012, -41.846020</v>
      </c>
      <c r="L252" s="5" t="str">
        <f t="shared" si="7"/>
        <v>Abrir no Maps</v>
      </c>
      <c r="M252" t="s">
        <v>1824</v>
      </c>
      <c r="N252" s="5"/>
      <c r="O252" t="str">
        <f>VLOOKUP(G252,'[1]CONFIG.'!$B:$C,2,0)</f>
        <v>DAIANE</v>
      </c>
      <c r="P252" t="str">
        <f>VLOOKUP(O252,'[1]CONFIG.'!$C:$D,2,0)</f>
        <v>74 99298866</v>
      </c>
    </row>
    <row r="253" spans="1:16" x14ac:dyDescent="0.3">
      <c r="A253" t="s">
        <v>1825</v>
      </c>
      <c r="B253" t="s">
        <v>1826</v>
      </c>
      <c r="C253" t="s">
        <v>1827</v>
      </c>
      <c r="D253" t="s">
        <v>36</v>
      </c>
      <c r="E253" t="s">
        <v>1828</v>
      </c>
      <c r="F253" t="s">
        <v>137</v>
      </c>
      <c r="G253">
        <v>212</v>
      </c>
      <c r="H253">
        <v>200</v>
      </c>
      <c r="I253" s="5" t="s">
        <v>203</v>
      </c>
      <c r="J253" s="5" t="s">
        <v>1829</v>
      </c>
      <c r="K253" s="5" t="str">
        <f t="shared" si="6"/>
        <v>https://www.google.com/maps?q=-11.300917, -41.852207</v>
      </c>
      <c r="L253" s="5" t="str">
        <f t="shared" si="7"/>
        <v>Abrir no Maps</v>
      </c>
      <c r="M253" t="s">
        <v>1830</v>
      </c>
      <c r="N253" s="5"/>
      <c r="O253" t="str">
        <f>VLOOKUP(G253,'[1]CONFIG.'!$B:$C,2,0)</f>
        <v>ANDRE</v>
      </c>
      <c r="P253" t="str">
        <f>VLOOKUP(O253,'[1]CONFIG.'!$C:$D,2,0)</f>
        <v>74 99916877</v>
      </c>
    </row>
    <row r="254" spans="1:16" x14ac:dyDescent="0.3">
      <c r="A254" t="s">
        <v>1831</v>
      </c>
      <c r="B254" t="s">
        <v>1832</v>
      </c>
      <c r="C254" t="s">
        <v>1833</v>
      </c>
      <c r="D254" t="s">
        <v>36</v>
      </c>
      <c r="E254" t="s">
        <v>1834</v>
      </c>
      <c r="F254" t="s">
        <v>988</v>
      </c>
      <c r="G254">
        <v>212</v>
      </c>
      <c r="H254">
        <v>200</v>
      </c>
      <c r="I254" s="5" t="s">
        <v>1835</v>
      </c>
      <c r="J254" s="5" t="s">
        <v>1836</v>
      </c>
      <c r="K254" s="5" t="str">
        <f t="shared" si="6"/>
        <v>https://www.google.com/maps?q=-11.301978, -41.835728</v>
      </c>
      <c r="L254" s="5" t="str">
        <f t="shared" si="7"/>
        <v>Abrir no Maps</v>
      </c>
      <c r="M254" t="s">
        <v>1837</v>
      </c>
      <c r="N254" s="5"/>
      <c r="O254" t="str">
        <f>VLOOKUP(G254,'[1]CONFIG.'!$B:$C,2,0)</f>
        <v>ANDRE</v>
      </c>
      <c r="P254" t="str">
        <f>VLOOKUP(O254,'[1]CONFIG.'!$C:$D,2,0)</f>
        <v>74 99916877</v>
      </c>
    </row>
    <row r="255" spans="1:16" x14ac:dyDescent="0.3">
      <c r="A255" t="s">
        <v>1838</v>
      </c>
      <c r="B255" t="s">
        <v>1839</v>
      </c>
      <c r="C255" t="s">
        <v>1840</v>
      </c>
      <c r="D255" t="s">
        <v>36</v>
      </c>
      <c r="E255" t="s">
        <v>1841</v>
      </c>
      <c r="F255" t="s">
        <v>319</v>
      </c>
      <c r="G255">
        <v>211</v>
      </c>
      <c r="H255">
        <v>500</v>
      </c>
      <c r="I255" s="5" t="s">
        <v>1842</v>
      </c>
      <c r="J255" s="5" t="s">
        <v>1843</v>
      </c>
      <c r="K255" s="5" t="str">
        <f t="shared" si="6"/>
        <v>https://www.google.com/maps?q=-11.305553, -41.868570</v>
      </c>
      <c r="L255" s="5" t="str">
        <f t="shared" si="7"/>
        <v>Abrir no Maps</v>
      </c>
      <c r="M255" t="s">
        <v>1844</v>
      </c>
      <c r="N255" s="5"/>
      <c r="O255" t="str">
        <f>VLOOKUP(G255,'[1]CONFIG.'!$B:$C,2,0)</f>
        <v>DAIANE</v>
      </c>
      <c r="P255" t="str">
        <f>VLOOKUP(O255,'[1]CONFIG.'!$C:$D,2,0)</f>
        <v>74 99298866</v>
      </c>
    </row>
    <row r="256" spans="1:16" x14ac:dyDescent="0.3">
      <c r="A256" t="s">
        <v>1845</v>
      </c>
      <c r="B256" t="s">
        <v>1846</v>
      </c>
      <c r="C256" t="s">
        <v>1847</v>
      </c>
      <c r="D256" t="s">
        <v>36</v>
      </c>
      <c r="E256" t="s">
        <v>1848</v>
      </c>
      <c r="F256" t="s">
        <v>217</v>
      </c>
      <c r="G256">
        <v>203</v>
      </c>
      <c r="H256">
        <v>200</v>
      </c>
      <c r="I256" s="5" t="s">
        <v>1849</v>
      </c>
      <c r="J256" s="5" t="s">
        <v>1850</v>
      </c>
      <c r="K256" s="5" t="str">
        <f t="shared" si="6"/>
        <v>https://www.google.com/maps?q=-11.305735, -41.847360</v>
      </c>
      <c r="L256" s="5" t="str">
        <f t="shared" si="7"/>
        <v>Abrir no Maps</v>
      </c>
      <c r="M256" t="s">
        <v>1851</v>
      </c>
      <c r="N256" s="5"/>
      <c r="O256" t="str">
        <f>VLOOKUP(G256,'[1]CONFIG.'!$B:$C,2,0)</f>
        <v>ALEXANDRE</v>
      </c>
      <c r="P256" t="str">
        <f>VLOOKUP(O256,'[1]CONFIG.'!$C:$D,2,0)</f>
        <v>74 99653478</v>
      </c>
    </row>
    <row r="257" spans="1:16" x14ac:dyDescent="0.3">
      <c r="A257" t="s">
        <v>1852</v>
      </c>
      <c r="B257" t="s">
        <v>1853</v>
      </c>
      <c r="C257" t="s">
        <v>1854</v>
      </c>
      <c r="D257" t="s">
        <v>36</v>
      </c>
      <c r="E257" t="s">
        <v>1855</v>
      </c>
      <c r="F257" t="s">
        <v>137</v>
      </c>
      <c r="G257">
        <v>210</v>
      </c>
      <c r="H257">
        <v>500</v>
      </c>
      <c r="I257" s="5" t="s">
        <v>1856</v>
      </c>
      <c r="J257" s="5" t="s">
        <v>1857</v>
      </c>
      <c r="K257" s="5" t="str">
        <f t="shared" si="6"/>
        <v>https://www.google.com/maps?q=-11.303561, -41.864670</v>
      </c>
      <c r="L257" s="5" t="str">
        <f t="shared" si="7"/>
        <v>Abrir no Maps</v>
      </c>
      <c r="M257" t="s">
        <v>1858</v>
      </c>
      <c r="N257" s="5"/>
      <c r="O257" t="str">
        <f>VLOOKUP(G257,'[1]CONFIG.'!$B:$C,2,0)</f>
        <v>SILAS</v>
      </c>
      <c r="P257" t="str">
        <f>VLOOKUP(O257,'[1]CONFIG.'!$C:$D,2,0)</f>
        <v>74 98041875</v>
      </c>
    </row>
    <row r="258" spans="1:16" x14ac:dyDescent="0.3">
      <c r="A258" t="s">
        <v>1859</v>
      </c>
      <c r="B258" t="s">
        <v>1860</v>
      </c>
      <c r="C258" t="s">
        <v>1861</v>
      </c>
      <c r="D258" t="s">
        <v>36</v>
      </c>
      <c r="E258" t="s">
        <v>1862</v>
      </c>
      <c r="F258" t="s">
        <v>366</v>
      </c>
      <c r="G258">
        <v>210</v>
      </c>
      <c r="H258">
        <v>500</v>
      </c>
      <c r="I258" s="5" t="s">
        <v>1863</v>
      </c>
      <c r="J258" s="5" t="s">
        <v>1864</v>
      </c>
      <c r="K258" s="5" t="str">
        <f t="shared" si="6"/>
        <v>https://www.google.com/maps?q=-11.300878, -41.861160</v>
      </c>
      <c r="L258" s="5" t="str">
        <f t="shared" si="7"/>
        <v>Abrir no Maps</v>
      </c>
      <c r="M258" t="s">
        <v>1865</v>
      </c>
      <c r="N258" s="5"/>
      <c r="O258" t="str">
        <f>VLOOKUP(G258,'[1]CONFIG.'!$B:$C,2,0)</f>
        <v>SILAS</v>
      </c>
      <c r="P258" t="str">
        <f>VLOOKUP(O258,'[1]CONFIG.'!$C:$D,2,0)</f>
        <v>74 98041875</v>
      </c>
    </row>
    <row r="259" spans="1:16" x14ac:dyDescent="0.3">
      <c r="A259" t="s">
        <v>1866</v>
      </c>
      <c r="B259" t="s">
        <v>1867</v>
      </c>
      <c r="C259" t="s">
        <v>1868</v>
      </c>
      <c r="D259" t="s">
        <v>36</v>
      </c>
      <c r="E259" t="s">
        <v>1869</v>
      </c>
      <c r="F259" t="s">
        <v>585</v>
      </c>
      <c r="G259">
        <v>210</v>
      </c>
      <c r="H259">
        <v>500</v>
      </c>
      <c r="I259" s="5" t="s">
        <v>1870</v>
      </c>
      <c r="J259" s="5" t="s">
        <v>1871</v>
      </c>
      <c r="K259" s="5" t="str">
        <f t="shared" si="6"/>
        <v>https://www.google.com/maps?q=-11.295802, -41.876820</v>
      </c>
      <c r="L259" s="5" t="str">
        <f t="shared" si="7"/>
        <v>Abrir no Maps</v>
      </c>
      <c r="M259" t="s">
        <v>1872</v>
      </c>
      <c r="N259" s="5"/>
      <c r="O259" t="str">
        <f>VLOOKUP(G259,'[1]CONFIG.'!$B:$C,2,0)</f>
        <v>SILAS</v>
      </c>
      <c r="P259" t="str">
        <f>VLOOKUP(O259,'[1]CONFIG.'!$C:$D,2,0)</f>
        <v>74 98041875</v>
      </c>
    </row>
    <row r="260" spans="1:16" x14ac:dyDescent="0.3">
      <c r="A260" t="s">
        <v>1873</v>
      </c>
      <c r="B260" t="s">
        <v>1874</v>
      </c>
      <c r="C260" t="s">
        <v>1875</v>
      </c>
      <c r="D260" t="s">
        <v>36</v>
      </c>
      <c r="E260" t="s">
        <v>1876</v>
      </c>
      <c r="F260" t="s">
        <v>853</v>
      </c>
      <c r="G260">
        <v>212</v>
      </c>
      <c r="H260">
        <v>200</v>
      </c>
      <c r="I260" s="5" t="s">
        <v>1877</v>
      </c>
      <c r="J260" s="5" t="s">
        <v>1878</v>
      </c>
      <c r="K260" s="5" t="str">
        <f t="shared" ref="K260:K323" si="8">"https://www.google.com/maps?q="&amp;""&amp;LEFT(I260,3)&amp;"."&amp;RIGHT(I260,6)&amp;", "&amp;LEFT(J260,3)&amp;"."&amp;RIGHT(J260,6)</f>
        <v>https://www.google.com/maps?q=-11.308488, -41.853172</v>
      </c>
      <c r="L260" s="5" t="str">
        <f t="shared" ref="L260:L323" si="9">HYPERLINK(K260,"Abrir no Maps")</f>
        <v>Abrir no Maps</v>
      </c>
      <c r="M260" t="s">
        <v>1879</v>
      </c>
      <c r="N260" s="5"/>
      <c r="O260" t="str">
        <f>VLOOKUP(G260,'[1]CONFIG.'!$B:$C,2,0)</f>
        <v>ANDRE</v>
      </c>
      <c r="P260" t="str">
        <f>VLOOKUP(O260,'[1]CONFIG.'!$C:$D,2,0)</f>
        <v>74 99916877</v>
      </c>
    </row>
    <row r="261" spans="1:16" x14ac:dyDescent="0.3">
      <c r="A261" t="s">
        <v>1880</v>
      </c>
      <c r="B261" t="s">
        <v>1881</v>
      </c>
      <c r="C261" t="s">
        <v>1882</v>
      </c>
      <c r="D261" t="s">
        <v>36</v>
      </c>
      <c r="E261" t="s">
        <v>1883</v>
      </c>
      <c r="F261" t="s">
        <v>137</v>
      </c>
      <c r="G261">
        <v>212</v>
      </c>
      <c r="H261">
        <v>200</v>
      </c>
      <c r="I261" s="5" t="s">
        <v>1884</v>
      </c>
      <c r="J261" s="5" t="s">
        <v>1885</v>
      </c>
      <c r="K261" s="5" t="str">
        <f t="shared" si="8"/>
        <v>https://www.google.com/maps?q=-11.297724, -41.850956</v>
      </c>
      <c r="L261" s="5" t="str">
        <f t="shared" si="9"/>
        <v>Abrir no Maps</v>
      </c>
      <c r="M261" t="s">
        <v>1886</v>
      </c>
      <c r="N261" s="5"/>
      <c r="O261" t="str">
        <f>VLOOKUP(G261,'[1]CONFIG.'!$B:$C,2,0)</f>
        <v>ANDRE</v>
      </c>
      <c r="P261" t="str">
        <f>VLOOKUP(O261,'[1]CONFIG.'!$C:$D,2,0)</f>
        <v>74 99916877</v>
      </c>
    </row>
    <row r="262" spans="1:16" x14ac:dyDescent="0.3">
      <c r="A262" t="s">
        <v>1887</v>
      </c>
      <c r="B262" t="s">
        <v>1888</v>
      </c>
      <c r="C262" t="s">
        <v>1889</v>
      </c>
      <c r="D262" t="s">
        <v>36</v>
      </c>
      <c r="E262" t="s">
        <v>1890</v>
      </c>
      <c r="F262" t="s">
        <v>570</v>
      </c>
      <c r="G262">
        <v>211</v>
      </c>
      <c r="H262">
        <v>500</v>
      </c>
      <c r="I262" s="5" t="s">
        <v>1891</v>
      </c>
      <c r="J262" s="5" t="s">
        <v>1892</v>
      </c>
      <c r="K262" s="5" t="str">
        <f t="shared" si="8"/>
        <v>https://www.google.com/maps?q=-11.287891, -41.846127</v>
      </c>
      <c r="L262" s="5" t="str">
        <f t="shared" si="9"/>
        <v>Abrir no Maps</v>
      </c>
      <c r="M262" t="s">
        <v>1893</v>
      </c>
      <c r="N262" s="5"/>
      <c r="O262" t="str">
        <f>VLOOKUP(G262,'[1]CONFIG.'!$B:$C,2,0)</f>
        <v>DAIANE</v>
      </c>
      <c r="P262" t="str">
        <f>VLOOKUP(O262,'[1]CONFIG.'!$C:$D,2,0)</f>
        <v>74 99298866</v>
      </c>
    </row>
    <row r="263" spans="1:16" x14ac:dyDescent="0.3">
      <c r="A263" t="s">
        <v>1894</v>
      </c>
      <c r="B263" t="s">
        <v>1895</v>
      </c>
      <c r="C263" t="s">
        <v>1896</v>
      </c>
      <c r="D263" t="s">
        <v>36</v>
      </c>
      <c r="E263" t="s">
        <v>1897</v>
      </c>
      <c r="F263" t="s">
        <v>137</v>
      </c>
      <c r="G263">
        <v>203</v>
      </c>
      <c r="H263">
        <v>200</v>
      </c>
      <c r="I263" s="5" t="s">
        <v>1898</v>
      </c>
      <c r="J263" s="5" t="s">
        <v>1899</v>
      </c>
      <c r="K263" s="5" t="str">
        <f t="shared" si="8"/>
        <v>https://www.google.com/maps?q=-11.304069, -41.851246</v>
      </c>
      <c r="L263" s="5" t="str">
        <f t="shared" si="9"/>
        <v>Abrir no Maps</v>
      </c>
      <c r="M263" t="s">
        <v>1900</v>
      </c>
      <c r="N263" s="5"/>
      <c r="O263" t="str">
        <f>VLOOKUP(G263,'[1]CONFIG.'!$B:$C,2,0)</f>
        <v>ALEXANDRE</v>
      </c>
      <c r="P263" t="str">
        <f>VLOOKUP(O263,'[1]CONFIG.'!$C:$D,2,0)</f>
        <v>74 99653478</v>
      </c>
    </row>
    <row r="264" spans="1:16" x14ac:dyDescent="0.3">
      <c r="A264" t="s">
        <v>1901</v>
      </c>
      <c r="B264" t="s">
        <v>1902</v>
      </c>
      <c r="C264" t="s">
        <v>1903</v>
      </c>
      <c r="D264" t="s">
        <v>36</v>
      </c>
      <c r="E264" t="s">
        <v>1904</v>
      </c>
      <c r="F264" t="s">
        <v>1353</v>
      </c>
      <c r="G264">
        <v>212</v>
      </c>
      <c r="H264">
        <v>200</v>
      </c>
      <c r="I264" s="5" t="s">
        <v>1905</v>
      </c>
      <c r="J264" s="5" t="s">
        <v>1906</v>
      </c>
      <c r="K264" s="5" t="str">
        <f t="shared" si="8"/>
        <v>https://www.google.com/maps?q=-11.328812, -41.863220</v>
      </c>
      <c r="L264" s="5" t="str">
        <f t="shared" si="9"/>
        <v>Abrir no Maps</v>
      </c>
      <c r="M264" t="s">
        <v>1907</v>
      </c>
      <c r="N264" s="5"/>
      <c r="O264" t="str">
        <f>VLOOKUP(G264,'[1]CONFIG.'!$B:$C,2,0)</f>
        <v>ANDRE</v>
      </c>
      <c r="P264" t="str">
        <f>VLOOKUP(O264,'[1]CONFIG.'!$C:$D,2,0)</f>
        <v>74 99916877</v>
      </c>
    </row>
    <row r="265" spans="1:16" x14ac:dyDescent="0.3">
      <c r="A265" t="s">
        <v>1908</v>
      </c>
      <c r="B265" t="s">
        <v>1909</v>
      </c>
      <c r="C265" t="s">
        <v>1910</v>
      </c>
      <c r="D265" t="s">
        <v>36</v>
      </c>
      <c r="E265" t="s">
        <v>1911</v>
      </c>
      <c r="F265" t="s">
        <v>1912</v>
      </c>
      <c r="G265">
        <v>211</v>
      </c>
      <c r="H265">
        <v>500</v>
      </c>
      <c r="I265" s="5" t="s">
        <v>1913</v>
      </c>
      <c r="J265" s="5" t="s">
        <v>1914</v>
      </c>
      <c r="K265" s="5" t="str">
        <f t="shared" si="8"/>
        <v>https://www.google.com/maps?q=-11.294596, -41.836050</v>
      </c>
      <c r="L265" s="5" t="str">
        <f t="shared" si="9"/>
        <v>Abrir no Maps</v>
      </c>
      <c r="M265" t="s">
        <v>1915</v>
      </c>
      <c r="N265" s="5"/>
      <c r="O265" t="str">
        <f>VLOOKUP(G265,'[1]CONFIG.'!$B:$C,2,0)</f>
        <v>DAIANE</v>
      </c>
      <c r="P265" t="str">
        <f>VLOOKUP(O265,'[1]CONFIG.'!$C:$D,2,0)</f>
        <v>74 99298866</v>
      </c>
    </row>
    <row r="266" spans="1:16" x14ac:dyDescent="0.3">
      <c r="A266" t="s">
        <v>1916</v>
      </c>
      <c r="B266" t="s">
        <v>1917</v>
      </c>
      <c r="C266" t="s">
        <v>1918</v>
      </c>
      <c r="D266" t="s">
        <v>36</v>
      </c>
      <c r="E266" t="s">
        <v>1919</v>
      </c>
      <c r="F266" t="s">
        <v>319</v>
      </c>
      <c r="G266">
        <v>211</v>
      </c>
      <c r="H266">
        <v>500</v>
      </c>
      <c r="I266" s="5" t="s">
        <v>1920</v>
      </c>
      <c r="J266" s="5" t="s">
        <v>1921</v>
      </c>
      <c r="K266" s="5" t="str">
        <f t="shared" si="8"/>
        <v>https://www.google.com/maps?q=-11.304336, -41.869590</v>
      </c>
      <c r="L266" s="5" t="str">
        <f t="shared" si="9"/>
        <v>Abrir no Maps</v>
      </c>
      <c r="M266" t="s">
        <v>1922</v>
      </c>
      <c r="N266" s="5"/>
      <c r="O266" t="str">
        <f>VLOOKUP(G266,'[1]CONFIG.'!$B:$C,2,0)</f>
        <v>DAIANE</v>
      </c>
      <c r="P266" t="str">
        <f>VLOOKUP(O266,'[1]CONFIG.'!$C:$D,2,0)</f>
        <v>74 99298866</v>
      </c>
    </row>
    <row r="267" spans="1:16" x14ac:dyDescent="0.3">
      <c r="A267" t="s">
        <v>1923</v>
      </c>
      <c r="B267" t="s">
        <v>1924</v>
      </c>
      <c r="C267" t="s">
        <v>1925</v>
      </c>
      <c r="D267" t="s">
        <v>36</v>
      </c>
      <c r="E267" t="s">
        <v>1926</v>
      </c>
      <c r="F267" t="s">
        <v>108</v>
      </c>
      <c r="G267">
        <v>210</v>
      </c>
      <c r="H267">
        <v>500</v>
      </c>
      <c r="I267" s="5" t="s">
        <v>1927</v>
      </c>
      <c r="J267" s="5" t="s">
        <v>1928</v>
      </c>
      <c r="K267" s="5" t="str">
        <f t="shared" si="8"/>
        <v>https://www.google.com/maps?q=-11.301144, -41.861200</v>
      </c>
      <c r="L267" s="5" t="str">
        <f t="shared" si="9"/>
        <v>Abrir no Maps</v>
      </c>
      <c r="M267" t="s">
        <v>1929</v>
      </c>
      <c r="N267" s="5"/>
      <c r="O267" t="str">
        <f>VLOOKUP(G267,'[1]CONFIG.'!$B:$C,2,0)</f>
        <v>SILAS</v>
      </c>
      <c r="P267" t="str">
        <f>VLOOKUP(O267,'[1]CONFIG.'!$C:$D,2,0)</f>
        <v>74 98041875</v>
      </c>
    </row>
    <row r="268" spans="1:16" x14ac:dyDescent="0.3">
      <c r="A268" t="s">
        <v>1930</v>
      </c>
      <c r="B268" t="s">
        <v>1931</v>
      </c>
      <c r="C268" t="s">
        <v>1932</v>
      </c>
      <c r="D268" t="s">
        <v>36</v>
      </c>
      <c r="E268" t="s">
        <v>1933</v>
      </c>
      <c r="F268" t="s">
        <v>217</v>
      </c>
      <c r="G268">
        <v>212</v>
      </c>
      <c r="H268">
        <v>200</v>
      </c>
      <c r="I268" s="5" t="s">
        <v>1934</v>
      </c>
      <c r="J268" s="5" t="s">
        <v>1935</v>
      </c>
      <c r="K268" s="5" t="str">
        <f t="shared" si="8"/>
        <v>https://www.google.com/maps?q=-11.304146, -41.843426</v>
      </c>
      <c r="L268" s="5" t="str">
        <f t="shared" si="9"/>
        <v>Abrir no Maps</v>
      </c>
      <c r="M268" t="s">
        <v>1936</v>
      </c>
      <c r="N268" s="5"/>
      <c r="O268" t="str">
        <f>VLOOKUP(G268,'[1]CONFIG.'!$B:$C,2,0)</f>
        <v>ANDRE</v>
      </c>
      <c r="P268" t="str">
        <f>VLOOKUP(O268,'[1]CONFIG.'!$C:$D,2,0)</f>
        <v>74 99916877</v>
      </c>
    </row>
    <row r="269" spans="1:16" x14ac:dyDescent="0.3">
      <c r="A269" t="s">
        <v>1937</v>
      </c>
      <c r="B269" t="s">
        <v>1938</v>
      </c>
      <c r="C269" t="s">
        <v>1939</v>
      </c>
      <c r="D269" t="s">
        <v>36</v>
      </c>
      <c r="E269" t="s">
        <v>1940</v>
      </c>
      <c r="F269" t="s">
        <v>137</v>
      </c>
      <c r="G269">
        <v>207</v>
      </c>
      <c r="H269">
        <v>500</v>
      </c>
      <c r="I269" s="5" t="s">
        <v>1941</v>
      </c>
      <c r="J269" s="5" t="s">
        <v>1942</v>
      </c>
      <c r="K269" s="5" t="str">
        <f t="shared" si="8"/>
        <v>https://www.google.com/maps?q=-11.302742, -41.860863</v>
      </c>
      <c r="L269" s="5" t="str">
        <f t="shared" si="9"/>
        <v>Abrir no Maps</v>
      </c>
      <c r="M269" t="s">
        <v>1536</v>
      </c>
      <c r="N269" s="5"/>
      <c r="O269" t="str">
        <f>VLOOKUP(G269,'[1]CONFIG.'!$B:$C,2,0)</f>
        <v>HIAGO</v>
      </c>
      <c r="P269" t="str">
        <f>VLOOKUP(O269,'[1]CONFIG.'!$C:$D,2,0)</f>
        <v>74 99872571</v>
      </c>
    </row>
    <row r="270" spans="1:16" x14ac:dyDescent="0.3">
      <c r="A270" t="s">
        <v>1943</v>
      </c>
      <c r="B270" t="s">
        <v>1944</v>
      </c>
      <c r="C270" t="s">
        <v>1945</v>
      </c>
      <c r="D270" t="s">
        <v>36</v>
      </c>
      <c r="E270" t="s">
        <v>1946</v>
      </c>
      <c r="F270" t="s">
        <v>38</v>
      </c>
      <c r="G270">
        <v>212</v>
      </c>
      <c r="H270">
        <v>200</v>
      </c>
      <c r="I270" s="5" t="s">
        <v>1947</v>
      </c>
      <c r="J270" s="5" t="s">
        <v>1390</v>
      </c>
      <c r="K270" s="5" t="str">
        <f t="shared" si="8"/>
        <v>https://www.google.com/maps?q=-11.310483, -41.855186</v>
      </c>
      <c r="L270" s="5" t="str">
        <f t="shared" si="9"/>
        <v>Abrir no Maps</v>
      </c>
      <c r="M270" t="s">
        <v>1948</v>
      </c>
      <c r="N270" s="5"/>
      <c r="O270" t="str">
        <f>VLOOKUP(G270,'[1]CONFIG.'!$B:$C,2,0)</f>
        <v>ANDRE</v>
      </c>
      <c r="P270" t="str">
        <f>VLOOKUP(O270,'[1]CONFIG.'!$C:$D,2,0)</f>
        <v>74 99916877</v>
      </c>
    </row>
    <row r="271" spans="1:16" x14ac:dyDescent="0.3">
      <c r="A271" t="s">
        <v>1949</v>
      </c>
      <c r="B271" t="s">
        <v>1950</v>
      </c>
      <c r="C271" t="s">
        <v>1951</v>
      </c>
      <c r="D271" t="s">
        <v>36</v>
      </c>
      <c r="E271" t="s">
        <v>1952</v>
      </c>
      <c r="F271" t="s">
        <v>137</v>
      </c>
      <c r="G271">
        <v>210</v>
      </c>
      <c r="H271">
        <v>500</v>
      </c>
      <c r="I271" s="5" t="s">
        <v>1953</v>
      </c>
      <c r="J271" s="5" t="s">
        <v>1954</v>
      </c>
      <c r="K271" s="5" t="str">
        <f t="shared" si="8"/>
        <v>https://www.google.com/maps?q=-11.303408, -41.859267</v>
      </c>
      <c r="L271" s="5" t="str">
        <f t="shared" si="9"/>
        <v>Abrir no Maps</v>
      </c>
      <c r="M271" t="s">
        <v>1955</v>
      </c>
      <c r="N271" s="5"/>
      <c r="O271" t="str">
        <f>VLOOKUP(G271,'[1]CONFIG.'!$B:$C,2,0)</f>
        <v>SILAS</v>
      </c>
      <c r="P271" t="str">
        <f>VLOOKUP(O271,'[1]CONFIG.'!$C:$D,2,0)</f>
        <v>74 98041875</v>
      </c>
    </row>
    <row r="272" spans="1:16" x14ac:dyDescent="0.3">
      <c r="A272" t="s">
        <v>1956</v>
      </c>
      <c r="B272" t="s">
        <v>1957</v>
      </c>
      <c r="C272" t="s">
        <v>1958</v>
      </c>
      <c r="D272" t="s">
        <v>36</v>
      </c>
      <c r="E272" t="s">
        <v>1959</v>
      </c>
      <c r="F272" t="s">
        <v>85</v>
      </c>
      <c r="G272">
        <v>203</v>
      </c>
      <c r="H272">
        <v>200</v>
      </c>
      <c r="I272" s="5" t="s">
        <v>1960</v>
      </c>
      <c r="J272" s="5" t="s">
        <v>1961</v>
      </c>
      <c r="K272" s="5" t="str">
        <f t="shared" si="8"/>
        <v>https://www.google.com/maps?q=-11.305016, -41.873130</v>
      </c>
      <c r="L272" s="5" t="str">
        <f t="shared" si="9"/>
        <v>Abrir no Maps</v>
      </c>
      <c r="M272" t="s">
        <v>1962</v>
      </c>
      <c r="N272" s="5"/>
      <c r="O272" t="str">
        <f>VLOOKUP(G272,'[1]CONFIG.'!$B:$C,2,0)</f>
        <v>ALEXANDRE</v>
      </c>
      <c r="P272" t="str">
        <f>VLOOKUP(O272,'[1]CONFIG.'!$C:$D,2,0)</f>
        <v>74 99653478</v>
      </c>
    </row>
    <row r="273" spans="1:16" x14ac:dyDescent="0.3">
      <c r="A273" t="s">
        <v>1963</v>
      </c>
      <c r="B273" t="s">
        <v>1964</v>
      </c>
      <c r="C273" t="s">
        <v>1965</v>
      </c>
      <c r="D273" t="s">
        <v>36</v>
      </c>
      <c r="E273" t="s">
        <v>1966</v>
      </c>
      <c r="F273" t="s">
        <v>137</v>
      </c>
      <c r="G273">
        <v>212</v>
      </c>
      <c r="H273">
        <v>200</v>
      </c>
      <c r="I273" s="5" t="s">
        <v>1967</v>
      </c>
      <c r="J273" s="5" t="s">
        <v>1968</v>
      </c>
      <c r="K273" s="5" t="str">
        <f t="shared" si="8"/>
        <v>https://www.google.com/maps?q=-11.302073, -41.846570</v>
      </c>
      <c r="L273" s="5" t="str">
        <f t="shared" si="9"/>
        <v>Abrir no Maps</v>
      </c>
      <c r="M273" t="s">
        <v>1969</v>
      </c>
      <c r="N273" s="5"/>
      <c r="O273" t="str">
        <f>VLOOKUP(G273,'[1]CONFIG.'!$B:$C,2,0)</f>
        <v>ANDRE</v>
      </c>
      <c r="P273" t="str">
        <f>VLOOKUP(O273,'[1]CONFIG.'!$C:$D,2,0)</f>
        <v>74 99916877</v>
      </c>
    </row>
    <row r="274" spans="1:16" x14ac:dyDescent="0.3">
      <c r="A274" t="s">
        <v>1970</v>
      </c>
      <c r="B274" t="s">
        <v>1971</v>
      </c>
      <c r="C274" t="s">
        <v>1972</v>
      </c>
      <c r="D274" t="s">
        <v>36</v>
      </c>
      <c r="E274" t="s">
        <v>1973</v>
      </c>
      <c r="F274" t="s">
        <v>1676</v>
      </c>
      <c r="G274">
        <v>207</v>
      </c>
      <c r="H274">
        <v>500</v>
      </c>
      <c r="I274" s="5" t="s">
        <v>1974</v>
      </c>
      <c r="J274" s="5" t="s">
        <v>1975</v>
      </c>
      <c r="K274" s="5" t="str">
        <f t="shared" si="8"/>
        <v>https://www.google.com/maps?q=-11.325906, -41.866436</v>
      </c>
      <c r="L274" s="5" t="str">
        <f t="shared" si="9"/>
        <v>Abrir no Maps</v>
      </c>
      <c r="M274" t="s">
        <v>1976</v>
      </c>
      <c r="N274" s="5"/>
      <c r="O274" t="str">
        <f>VLOOKUP(G274,'[1]CONFIG.'!$B:$C,2,0)</f>
        <v>HIAGO</v>
      </c>
      <c r="P274" t="str">
        <f>VLOOKUP(O274,'[1]CONFIG.'!$C:$D,2,0)</f>
        <v>74 99872571</v>
      </c>
    </row>
    <row r="275" spans="1:16" x14ac:dyDescent="0.3">
      <c r="A275" t="s">
        <v>1977</v>
      </c>
      <c r="B275" t="s">
        <v>1978</v>
      </c>
      <c r="C275" t="s">
        <v>1979</v>
      </c>
      <c r="D275" t="s">
        <v>36</v>
      </c>
      <c r="E275" t="s">
        <v>1980</v>
      </c>
      <c r="F275" t="s">
        <v>350</v>
      </c>
      <c r="G275">
        <v>210</v>
      </c>
      <c r="H275">
        <v>500</v>
      </c>
      <c r="I275" s="5" t="s">
        <v>1981</v>
      </c>
      <c r="J275" s="5" t="s">
        <v>1982</v>
      </c>
      <c r="K275" s="5" t="str">
        <f t="shared" si="8"/>
        <v>https://www.google.com/maps?q=-11.337713, -41.933300</v>
      </c>
      <c r="L275" s="5" t="str">
        <f t="shared" si="9"/>
        <v>Abrir no Maps</v>
      </c>
      <c r="M275" t="s">
        <v>1983</v>
      </c>
      <c r="N275" s="5"/>
      <c r="O275" t="str">
        <f>VLOOKUP(G275,'[1]CONFIG.'!$B:$C,2,0)</f>
        <v>SILAS</v>
      </c>
      <c r="P275" t="str">
        <f>VLOOKUP(O275,'[1]CONFIG.'!$C:$D,2,0)</f>
        <v>74 98041875</v>
      </c>
    </row>
    <row r="276" spans="1:16" x14ac:dyDescent="0.3">
      <c r="A276" t="s">
        <v>1984</v>
      </c>
      <c r="B276" t="s">
        <v>1985</v>
      </c>
      <c r="C276" t="s">
        <v>1986</v>
      </c>
      <c r="D276" t="s">
        <v>36</v>
      </c>
      <c r="E276" t="s">
        <v>1987</v>
      </c>
      <c r="F276" t="s">
        <v>108</v>
      </c>
      <c r="G276">
        <v>207</v>
      </c>
      <c r="H276">
        <v>500</v>
      </c>
      <c r="I276" s="5" t="s">
        <v>1988</v>
      </c>
      <c r="J276" s="5" t="s">
        <v>1989</v>
      </c>
      <c r="K276" s="5" t="str">
        <f t="shared" si="8"/>
        <v>https://www.google.com/maps?q=-11.309999, -41.862100</v>
      </c>
      <c r="L276" s="5" t="str">
        <f t="shared" si="9"/>
        <v>Abrir no Maps</v>
      </c>
      <c r="M276" t="s">
        <v>1990</v>
      </c>
      <c r="N276" s="5"/>
      <c r="O276" t="str">
        <f>VLOOKUP(G276,'[1]CONFIG.'!$B:$C,2,0)</f>
        <v>HIAGO</v>
      </c>
      <c r="P276" t="str">
        <f>VLOOKUP(O276,'[1]CONFIG.'!$C:$D,2,0)</f>
        <v>74 99872571</v>
      </c>
    </row>
    <row r="277" spans="1:16" x14ac:dyDescent="0.3">
      <c r="A277" t="s">
        <v>1991</v>
      </c>
      <c r="B277" t="s">
        <v>1992</v>
      </c>
      <c r="C277" t="s">
        <v>1993</v>
      </c>
      <c r="D277" t="s">
        <v>36</v>
      </c>
      <c r="E277" t="s">
        <v>1994</v>
      </c>
      <c r="F277" t="s">
        <v>137</v>
      </c>
      <c r="G277">
        <v>204</v>
      </c>
      <c r="H277">
        <v>500</v>
      </c>
      <c r="I277" s="5" t="s">
        <v>1995</v>
      </c>
      <c r="J277" s="5" t="s">
        <v>1996</v>
      </c>
      <c r="K277" s="5" t="str">
        <f t="shared" si="8"/>
        <v>https://www.google.com/maps?q=-11.304902, -41.858490</v>
      </c>
      <c r="L277" s="5" t="str">
        <f t="shared" si="9"/>
        <v>Abrir no Maps</v>
      </c>
      <c r="M277" t="s">
        <v>1997</v>
      </c>
      <c r="N277" s="5"/>
      <c r="O277" t="str">
        <f>VLOOKUP(G277,'[1]CONFIG.'!$B:$C,2,0)</f>
        <v>EVA</v>
      </c>
      <c r="P277" t="str">
        <f>VLOOKUP(O277,'[1]CONFIG.'!$C:$D,2,0)</f>
        <v>74 98046078</v>
      </c>
    </row>
    <row r="278" spans="1:16" x14ac:dyDescent="0.3">
      <c r="A278" t="s">
        <v>1998</v>
      </c>
      <c r="B278" t="s">
        <v>1999</v>
      </c>
      <c r="C278" t="s">
        <v>2000</v>
      </c>
      <c r="D278" t="s">
        <v>36</v>
      </c>
      <c r="E278" t="s">
        <v>2001</v>
      </c>
      <c r="F278" t="s">
        <v>137</v>
      </c>
      <c r="G278">
        <v>210</v>
      </c>
      <c r="H278">
        <v>500</v>
      </c>
      <c r="I278" s="5" t="s">
        <v>2002</v>
      </c>
      <c r="J278" s="5" t="s">
        <v>2003</v>
      </c>
      <c r="K278" s="5" t="str">
        <f t="shared" si="8"/>
        <v>https://www.google.com/maps?q=-11.305851, -41.849876</v>
      </c>
      <c r="L278" s="5" t="str">
        <f t="shared" si="9"/>
        <v>Abrir no Maps</v>
      </c>
      <c r="M278" t="s">
        <v>2004</v>
      </c>
      <c r="N278" s="5"/>
      <c r="O278" t="str">
        <f>VLOOKUP(G278,'[1]CONFIG.'!$B:$C,2,0)</f>
        <v>SILAS</v>
      </c>
      <c r="P278" t="str">
        <f>VLOOKUP(O278,'[1]CONFIG.'!$C:$D,2,0)</f>
        <v>74 98041875</v>
      </c>
    </row>
    <row r="279" spans="1:16" x14ac:dyDescent="0.3">
      <c r="A279" t="s">
        <v>2005</v>
      </c>
      <c r="B279" t="s">
        <v>2006</v>
      </c>
      <c r="C279" t="s">
        <v>2007</v>
      </c>
      <c r="D279" t="s">
        <v>36</v>
      </c>
      <c r="E279" t="s">
        <v>2008</v>
      </c>
      <c r="F279" t="s">
        <v>327</v>
      </c>
      <c r="G279">
        <v>203</v>
      </c>
      <c r="H279">
        <v>200</v>
      </c>
      <c r="I279" s="5" t="s">
        <v>2009</v>
      </c>
      <c r="J279" s="5" t="s">
        <v>2010</v>
      </c>
      <c r="K279" s="5" t="str">
        <f t="shared" si="8"/>
        <v>https://www.google.com/maps?q=-11.301151, -41.843160</v>
      </c>
      <c r="L279" s="5" t="str">
        <f t="shared" si="9"/>
        <v>Abrir no Maps</v>
      </c>
      <c r="M279" t="s">
        <v>1622</v>
      </c>
      <c r="N279" s="5"/>
      <c r="O279" t="str">
        <f>VLOOKUP(G279,'[1]CONFIG.'!$B:$C,2,0)</f>
        <v>ALEXANDRE</v>
      </c>
      <c r="P279" t="str">
        <f>VLOOKUP(O279,'[1]CONFIG.'!$C:$D,2,0)</f>
        <v>74 99653478</v>
      </c>
    </row>
    <row r="280" spans="1:16" x14ac:dyDescent="0.3">
      <c r="A280" t="s">
        <v>2011</v>
      </c>
      <c r="B280" t="s">
        <v>2012</v>
      </c>
      <c r="C280" t="s">
        <v>2013</v>
      </c>
      <c r="D280" t="s">
        <v>36</v>
      </c>
      <c r="E280" t="s">
        <v>2014</v>
      </c>
      <c r="F280" t="s">
        <v>217</v>
      </c>
      <c r="G280">
        <v>212</v>
      </c>
      <c r="H280">
        <v>200</v>
      </c>
      <c r="I280" s="5" t="s">
        <v>2015</v>
      </c>
      <c r="J280" s="5" t="s">
        <v>2016</v>
      </c>
      <c r="K280" s="5" t="str">
        <f t="shared" si="8"/>
        <v>https://www.google.com/maps?q=-11.301415, -41.842125</v>
      </c>
      <c r="L280" s="5" t="str">
        <f t="shared" si="9"/>
        <v>Abrir no Maps</v>
      </c>
      <c r="M280" t="s">
        <v>2017</v>
      </c>
      <c r="N280" s="5"/>
      <c r="O280" t="str">
        <f>VLOOKUP(G280,'[1]CONFIG.'!$B:$C,2,0)</f>
        <v>ANDRE</v>
      </c>
      <c r="P280" t="str">
        <f>VLOOKUP(O280,'[1]CONFIG.'!$C:$D,2,0)</f>
        <v>74 99916877</v>
      </c>
    </row>
    <row r="281" spans="1:16" x14ac:dyDescent="0.3">
      <c r="A281" t="s">
        <v>2018</v>
      </c>
      <c r="B281" t="s">
        <v>2019</v>
      </c>
      <c r="C281" t="s">
        <v>2020</v>
      </c>
      <c r="D281" t="s">
        <v>36</v>
      </c>
      <c r="E281" t="s">
        <v>2021</v>
      </c>
      <c r="F281" t="s">
        <v>38</v>
      </c>
      <c r="G281">
        <v>212</v>
      </c>
      <c r="H281">
        <v>200</v>
      </c>
      <c r="I281" s="5" t="s">
        <v>533</v>
      </c>
      <c r="J281" s="5" t="s">
        <v>2022</v>
      </c>
      <c r="K281" s="5" t="str">
        <f t="shared" si="8"/>
        <v>https://www.google.com/maps?q=-11.304027, -41.848667</v>
      </c>
      <c r="L281" s="5" t="str">
        <f t="shared" si="9"/>
        <v>Abrir no Maps</v>
      </c>
      <c r="M281" t="s">
        <v>2023</v>
      </c>
      <c r="N281" s="5"/>
      <c r="O281" t="str">
        <f>VLOOKUP(G281,'[1]CONFIG.'!$B:$C,2,0)</f>
        <v>ANDRE</v>
      </c>
      <c r="P281" t="str">
        <f>VLOOKUP(O281,'[1]CONFIG.'!$C:$D,2,0)</f>
        <v>74 99916877</v>
      </c>
    </row>
    <row r="282" spans="1:16" x14ac:dyDescent="0.3">
      <c r="A282" t="s">
        <v>2024</v>
      </c>
      <c r="B282" t="s">
        <v>2025</v>
      </c>
      <c r="C282" t="s">
        <v>2026</v>
      </c>
      <c r="D282" t="s">
        <v>36</v>
      </c>
      <c r="E282" t="s">
        <v>2027</v>
      </c>
      <c r="F282" t="s">
        <v>137</v>
      </c>
      <c r="G282">
        <v>204</v>
      </c>
      <c r="H282">
        <v>500</v>
      </c>
      <c r="I282" s="5" t="s">
        <v>2028</v>
      </c>
      <c r="J282" s="5" t="s">
        <v>2029</v>
      </c>
      <c r="K282" s="5" t="str">
        <f t="shared" si="8"/>
        <v>https://www.google.com/maps?q=-11.302297, -41.857060</v>
      </c>
      <c r="L282" s="5" t="str">
        <f t="shared" si="9"/>
        <v>Abrir no Maps</v>
      </c>
      <c r="M282" t="s">
        <v>2030</v>
      </c>
      <c r="N282" s="5"/>
      <c r="O282" t="str">
        <f>VLOOKUP(G282,'[1]CONFIG.'!$B:$C,2,0)</f>
        <v>EVA</v>
      </c>
      <c r="P282" t="str">
        <f>VLOOKUP(O282,'[1]CONFIG.'!$C:$D,2,0)</f>
        <v>74 98046078</v>
      </c>
    </row>
    <row r="283" spans="1:16" x14ac:dyDescent="0.3">
      <c r="A283" t="s">
        <v>2031</v>
      </c>
      <c r="B283" t="s">
        <v>2032</v>
      </c>
      <c r="C283" t="s">
        <v>2033</v>
      </c>
      <c r="D283" t="s">
        <v>36</v>
      </c>
      <c r="E283" t="s">
        <v>2034</v>
      </c>
      <c r="F283" t="s">
        <v>319</v>
      </c>
      <c r="G283">
        <v>211</v>
      </c>
      <c r="H283">
        <v>500</v>
      </c>
      <c r="I283" s="5" t="s">
        <v>2035</v>
      </c>
      <c r="J283" s="5" t="s">
        <v>2036</v>
      </c>
      <c r="K283" s="5" t="str">
        <f t="shared" si="8"/>
        <v>https://www.google.com/maps?q=-11.305102, -41.871845</v>
      </c>
      <c r="L283" s="5" t="str">
        <f t="shared" si="9"/>
        <v>Abrir no Maps</v>
      </c>
      <c r="M283" t="s">
        <v>2037</v>
      </c>
      <c r="N283" s="5"/>
      <c r="O283" t="str">
        <f>VLOOKUP(G283,'[1]CONFIG.'!$B:$C,2,0)</f>
        <v>DAIANE</v>
      </c>
      <c r="P283" t="str">
        <f>VLOOKUP(O283,'[1]CONFIG.'!$C:$D,2,0)</f>
        <v>74 99298866</v>
      </c>
    </row>
    <row r="284" spans="1:16" x14ac:dyDescent="0.3">
      <c r="A284" t="s">
        <v>2038</v>
      </c>
      <c r="B284" t="s">
        <v>2039</v>
      </c>
      <c r="C284" t="s">
        <v>2040</v>
      </c>
      <c r="D284" t="s">
        <v>36</v>
      </c>
      <c r="E284" t="s">
        <v>2041</v>
      </c>
      <c r="F284" t="s">
        <v>366</v>
      </c>
      <c r="G284">
        <v>210</v>
      </c>
      <c r="H284">
        <v>500</v>
      </c>
      <c r="I284" s="5" t="s">
        <v>2042</v>
      </c>
      <c r="J284" s="5" t="s">
        <v>2043</v>
      </c>
      <c r="K284" s="5" t="str">
        <f t="shared" si="8"/>
        <v>https://www.google.com/maps?q=-11.294700, -41.862680</v>
      </c>
      <c r="L284" s="5" t="str">
        <f t="shared" si="9"/>
        <v>Abrir no Maps</v>
      </c>
      <c r="M284" t="s">
        <v>2044</v>
      </c>
      <c r="N284" s="5"/>
      <c r="O284" t="str">
        <f>VLOOKUP(G284,'[1]CONFIG.'!$B:$C,2,0)</f>
        <v>SILAS</v>
      </c>
      <c r="P284" t="str">
        <f>VLOOKUP(O284,'[1]CONFIG.'!$C:$D,2,0)</f>
        <v>74 98041875</v>
      </c>
    </row>
    <row r="285" spans="1:16" x14ac:dyDescent="0.3">
      <c r="A285" t="s">
        <v>2045</v>
      </c>
      <c r="B285" t="s">
        <v>2046</v>
      </c>
      <c r="C285" t="s">
        <v>2047</v>
      </c>
      <c r="D285" t="s">
        <v>36</v>
      </c>
      <c r="E285" t="s">
        <v>2048</v>
      </c>
      <c r="F285" t="s">
        <v>137</v>
      </c>
      <c r="G285">
        <v>212</v>
      </c>
      <c r="H285">
        <v>200</v>
      </c>
      <c r="I285" s="5" t="s">
        <v>2049</v>
      </c>
      <c r="J285" s="5" t="s">
        <v>2050</v>
      </c>
      <c r="K285" s="5" t="str">
        <f t="shared" si="8"/>
        <v>https://www.google.com/maps?q=-11.310104, -41.855175</v>
      </c>
      <c r="L285" s="5" t="str">
        <f t="shared" si="9"/>
        <v>Abrir no Maps</v>
      </c>
      <c r="M285" t="s">
        <v>2051</v>
      </c>
      <c r="N285" s="5"/>
      <c r="O285" t="str">
        <f>VLOOKUP(G285,'[1]CONFIG.'!$B:$C,2,0)</f>
        <v>ANDRE</v>
      </c>
      <c r="P285" t="str">
        <f>VLOOKUP(O285,'[1]CONFIG.'!$C:$D,2,0)</f>
        <v>74 99916877</v>
      </c>
    </row>
    <row r="286" spans="1:16" x14ac:dyDescent="0.3">
      <c r="A286" t="s">
        <v>2052</v>
      </c>
      <c r="B286" t="s">
        <v>2053</v>
      </c>
      <c r="C286" t="s">
        <v>2054</v>
      </c>
      <c r="D286" t="s">
        <v>36</v>
      </c>
      <c r="E286" t="s">
        <v>2055</v>
      </c>
      <c r="F286" t="s">
        <v>137</v>
      </c>
      <c r="G286">
        <v>212</v>
      </c>
      <c r="H286">
        <v>200</v>
      </c>
      <c r="I286" s="5" t="s">
        <v>2056</v>
      </c>
      <c r="J286" s="5" t="s">
        <v>2057</v>
      </c>
      <c r="K286" s="5" t="str">
        <f t="shared" si="8"/>
        <v>https://www.google.com/maps?q=-11.304924, -41.854240</v>
      </c>
      <c r="L286" s="5" t="str">
        <f t="shared" si="9"/>
        <v>Abrir no Maps</v>
      </c>
      <c r="M286" t="s">
        <v>2058</v>
      </c>
      <c r="N286" s="5"/>
      <c r="O286" t="str">
        <f>VLOOKUP(G286,'[1]CONFIG.'!$B:$C,2,0)</f>
        <v>ANDRE</v>
      </c>
      <c r="P286" t="str">
        <f>VLOOKUP(O286,'[1]CONFIG.'!$C:$D,2,0)</f>
        <v>74 99916877</v>
      </c>
    </row>
    <row r="287" spans="1:16" x14ac:dyDescent="0.3">
      <c r="A287" t="s">
        <v>2059</v>
      </c>
      <c r="B287" t="s">
        <v>2060</v>
      </c>
      <c r="C287" t="s">
        <v>2061</v>
      </c>
      <c r="D287" t="s">
        <v>36</v>
      </c>
      <c r="E287" t="s">
        <v>2062</v>
      </c>
      <c r="F287" t="s">
        <v>853</v>
      </c>
      <c r="G287">
        <v>209</v>
      </c>
      <c r="H287">
        <v>500</v>
      </c>
      <c r="I287" s="5" t="s">
        <v>2063</v>
      </c>
      <c r="J287" s="5" t="s">
        <v>2064</v>
      </c>
      <c r="K287" s="5" t="str">
        <f t="shared" si="8"/>
        <v>https://www.google.com/maps?q=-11.308133, -41.849550</v>
      </c>
      <c r="L287" s="5" t="str">
        <f t="shared" si="9"/>
        <v>Abrir no Maps</v>
      </c>
      <c r="M287" t="s">
        <v>2065</v>
      </c>
      <c r="N287" s="5"/>
      <c r="O287" t="str">
        <f>VLOOKUP(G287,'[1]CONFIG.'!$B:$C,2,0)</f>
        <v>IGOR</v>
      </c>
      <c r="P287" t="str">
        <f>VLOOKUP(O287,'[1]CONFIG.'!$C:$D,2,0)</f>
        <v>74 99590346</v>
      </c>
    </row>
    <row r="288" spans="1:16" x14ac:dyDescent="0.3">
      <c r="A288" t="s">
        <v>2066</v>
      </c>
      <c r="B288" t="s">
        <v>2067</v>
      </c>
      <c r="C288" t="s">
        <v>2068</v>
      </c>
      <c r="D288" t="s">
        <v>36</v>
      </c>
      <c r="E288" t="s">
        <v>2069</v>
      </c>
      <c r="F288" t="s">
        <v>988</v>
      </c>
      <c r="G288">
        <v>212</v>
      </c>
      <c r="H288">
        <v>200</v>
      </c>
      <c r="I288" s="5" t="s">
        <v>2070</v>
      </c>
      <c r="J288" s="5" t="s">
        <v>2071</v>
      </c>
      <c r="K288" s="5" t="str">
        <f t="shared" si="8"/>
        <v>https://www.google.com/maps?q=-11.304127, -41.840317</v>
      </c>
      <c r="L288" s="5" t="str">
        <f t="shared" si="9"/>
        <v>Abrir no Maps</v>
      </c>
      <c r="M288" t="s">
        <v>2072</v>
      </c>
      <c r="N288" s="5"/>
      <c r="O288" t="str">
        <f>VLOOKUP(G288,'[1]CONFIG.'!$B:$C,2,0)</f>
        <v>ANDRE</v>
      </c>
      <c r="P288" t="str">
        <f>VLOOKUP(O288,'[1]CONFIG.'!$C:$D,2,0)</f>
        <v>74 99916877</v>
      </c>
    </row>
    <row r="289" spans="1:16" x14ac:dyDescent="0.3">
      <c r="A289" t="s">
        <v>2073</v>
      </c>
      <c r="B289" t="s">
        <v>2074</v>
      </c>
      <c r="C289" t="s">
        <v>2075</v>
      </c>
      <c r="D289" t="s">
        <v>36</v>
      </c>
      <c r="E289" t="s">
        <v>2076</v>
      </c>
      <c r="F289" t="s">
        <v>137</v>
      </c>
      <c r="G289">
        <v>203</v>
      </c>
      <c r="H289">
        <v>200</v>
      </c>
      <c r="I289" s="5" t="s">
        <v>2077</v>
      </c>
      <c r="J289" s="5" t="s">
        <v>2078</v>
      </c>
      <c r="K289" s="5" t="str">
        <f t="shared" si="8"/>
        <v>https://www.google.com/maps?q=-11.293367, -41.851147</v>
      </c>
      <c r="L289" s="5" t="str">
        <f t="shared" si="9"/>
        <v>Abrir no Maps</v>
      </c>
      <c r="M289" t="s">
        <v>425</v>
      </c>
      <c r="N289" s="5"/>
      <c r="O289" t="str">
        <f>VLOOKUP(G289,'[1]CONFIG.'!$B:$C,2,0)</f>
        <v>ALEXANDRE</v>
      </c>
      <c r="P289" t="str">
        <f>VLOOKUP(O289,'[1]CONFIG.'!$C:$D,2,0)</f>
        <v>74 99653478</v>
      </c>
    </row>
    <row r="290" spans="1:16" x14ac:dyDescent="0.3">
      <c r="A290" t="s">
        <v>2079</v>
      </c>
      <c r="B290" t="s">
        <v>2080</v>
      </c>
      <c r="C290" t="s">
        <v>2081</v>
      </c>
      <c r="D290" t="s">
        <v>36</v>
      </c>
      <c r="E290" t="s">
        <v>2082</v>
      </c>
      <c r="F290" t="s">
        <v>137</v>
      </c>
      <c r="G290">
        <v>212</v>
      </c>
      <c r="H290">
        <v>200</v>
      </c>
      <c r="I290" s="5" t="s">
        <v>2083</v>
      </c>
      <c r="J290" s="5" t="s">
        <v>939</v>
      </c>
      <c r="K290" s="5" t="str">
        <f t="shared" si="8"/>
        <v>https://www.google.com/maps?q=-11.304183, -41.853523</v>
      </c>
      <c r="L290" s="5" t="str">
        <f t="shared" si="9"/>
        <v>Abrir no Maps</v>
      </c>
      <c r="M290" t="s">
        <v>2084</v>
      </c>
      <c r="N290" s="5"/>
      <c r="O290" t="str">
        <f>VLOOKUP(G290,'[1]CONFIG.'!$B:$C,2,0)</f>
        <v>ANDRE</v>
      </c>
      <c r="P290" t="str">
        <f>VLOOKUP(O290,'[1]CONFIG.'!$C:$D,2,0)</f>
        <v>74 99916877</v>
      </c>
    </row>
    <row r="291" spans="1:16" x14ac:dyDescent="0.3">
      <c r="A291" t="s">
        <v>2085</v>
      </c>
      <c r="B291" t="s">
        <v>2086</v>
      </c>
      <c r="C291" t="s">
        <v>2087</v>
      </c>
      <c r="D291" t="s">
        <v>36</v>
      </c>
      <c r="E291" t="s">
        <v>2088</v>
      </c>
      <c r="F291" t="s">
        <v>319</v>
      </c>
      <c r="G291">
        <v>210</v>
      </c>
      <c r="H291">
        <v>500</v>
      </c>
      <c r="I291" s="5" t="s">
        <v>2089</v>
      </c>
      <c r="J291" s="5" t="s">
        <v>2090</v>
      </c>
      <c r="K291" s="5" t="str">
        <f t="shared" si="8"/>
        <v>https://www.google.com/maps?q=-11.304750, -41.866520</v>
      </c>
      <c r="L291" s="5" t="str">
        <f t="shared" si="9"/>
        <v>Abrir no Maps</v>
      </c>
      <c r="M291" t="s">
        <v>2091</v>
      </c>
      <c r="N291" s="5"/>
      <c r="O291" t="str">
        <f>VLOOKUP(G291,'[1]CONFIG.'!$B:$C,2,0)</f>
        <v>SILAS</v>
      </c>
      <c r="P291" t="str">
        <f>VLOOKUP(O291,'[1]CONFIG.'!$C:$D,2,0)</f>
        <v>74 98041875</v>
      </c>
    </row>
    <row r="292" spans="1:16" x14ac:dyDescent="0.3">
      <c r="A292" t="s">
        <v>2092</v>
      </c>
      <c r="B292" t="s">
        <v>2093</v>
      </c>
      <c r="C292" t="s">
        <v>2094</v>
      </c>
      <c r="D292" t="s">
        <v>36</v>
      </c>
      <c r="E292" t="s">
        <v>2095</v>
      </c>
      <c r="F292" t="s">
        <v>62</v>
      </c>
      <c r="G292">
        <v>211</v>
      </c>
      <c r="H292">
        <v>500</v>
      </c>
      <c r="I292" s="5" t="s">
        <v>2096</v>
      </c>
      <c r="J292" s="5" t="s">
        <v>2097</v>
      </c>
      <c r="K292" s="5" t="str">
        <f t="shared" si="8"/>
        <v>https://www.google.com/maps?q=-11.292154, -41.852135</v>
      </c>
      <c r="L292" s="5" t="str">
        <f t="shared" si="9"/>
        <v>Abrir no Maps</v>
      </c>
      <c r="M292" t="s">
        <v>2098</v>
      </c>
      <c r="N292" s="5"/>
      <c r="O292" t="str">
        <f>VLOOKUP(G292,'[1]CONFIG.'!$B:$C,2,0)</f>
        <v>DAIANE</v>
      </c>
      <c r="P292" t="str">
        <f>VLOOKUP(O292,'[1]CONFIG.'!$C:$D,2,0)</f>
        <v>74 99298866</v>
      </c>
    </row>
    <row r="293" spans="1:16" x14ac:dyDescent="0.3">
      <c r="A293" t="s">
        <v>2099</v>
      </c>
      <c r="B293" t="s">
        <v>2100</v>
      </c>
      <c r="C293" t="s">
        <v>2101</v>
      </c>
      <c r="D293" t="s">
        <v>36</v>
      </c>
      <c r="E293" t="s">
        <v>2102</v>
      </c>
      <c r="F293" t="s">
        <v>137</v>
      </c>
      <c r="G293">
        <v>210</v>
      </c>
      <c r="H293">
        <v>500</v>
      </c>
      <c r="I293" s="5" t="s">
        <v>2103</v>
      </c>
      <c r="J293" s="5" t="s">
        <v>2104</v>
      </c>
      <c r="K293" s="5" t="str">
        <f t="shared" si="8"/>
        <v>https://www.google.com/maps?q=-11.301828, -41.858036</v>
      </c>
      <c r="L293" s="5" t="str">
        <f t="shared" si="9"/>
        <v>Abrir no Maps</v>
      </c>
      <c r="M293" t="s">
        <v>2105</v>
      </c>
      <c r="N293" s="5"/>
      <c r="O293" t="str">
        <f>VLOOKUP(G293,'[1]CONFIG.'!$B:$C,2,0)</f>
        <v>SILAS</v>
      </c>
      <c r="P293" t="str">
        <f>VLOOKUP(O293,'[1]CONFIG.'!$C:$D,2,0)</f>
        <v>74 98041875</v>
      </c>
    </row>
    <row r="294" spans="1:16" x14ac:dyDescent="0.3">
      <c r="A294" t="s">
        <v>2106</v>
      </c>
      <c r="B294" t="s">
        <v>2107</v>
      </c>
      <c r="C294" t="s">
        <v>2108</v>
      </c>
      <c r="D294" t="s">
        <v>36</v>
      </c>
      <c r="E294" t="s">
        <v>2109</v>
      </c>
      <c r="F294" t="s">
        <v>137</v>
      </c>
      <c r="G294">
        <v>212</v>
      </c>
      <c r="H294">
        <v>200</v>
      </c>
      <c r="I294" s="5" t="s">
        <v>2110</v>
      </c>
      <c r="J294" s="5" t="s">
        <v>2111</v>
      </c>
      <c r="K294" s="5" t="str">
        <f t="shared" si="8"/>
        <v>https://www.google.com/maps?q=-11.303204, -41.859230</v>
      </c>
      <c r="L294" s="5" t="str">
        <f t="shared" si="9"/>
        <v>Abrir no Maps</v>
      </c>
      <c r="M294" t="s">
        <v>2112</v>
      </c>
      <c r="N294" s="5"/>
      <c r="O294" t="str">
        <f>VLOOKUP(G294,'[1]CONFIG.'!$B:$C,2,0)</f>
        <v>ANDRE</v>
      </c>
      <c r="P294" t="str">
        <f>VLOOKUP(O294,'[1]CONFIG.'!$C:$D,2,0)</f>
        <v>74 99916877</v>
      </c>
    </row>
    <row r="295" spans="1:16" x14ac:dyDescent="0.3">
      <c r="A295" t="s">
        <v>2113</v>
      </c>
      <c r="B295" t="s">
        <v>2114</v>
      </c>
      <c r="C295" t="s">
        <v>2115</v>
      </c>
      <c r="D295" t="s">
        <v>36</v>
      </c>
      <c r="E295" t="s">
        <v>2116</v>
      </c>
      <c r="F295" t="s">
        <v>342</v>
      </c>
      <c r="G295">
        <v>212</v>
      </c>
      <c r="H295">
        <v>200</v>
      </c>
      <c r="I295" s="5" t="s">
        <v>2117</v>
      </c>
      <c r="J295" s="5" t="s">
        <v>2118</v>
      </c>
      <c r="K295" s="5" t="str">
        <f t="shared" si="8"/>
        <v>https://www.google.com/maps?q=-11.314657, -41.854380</v>
      </c>
      <c r="L295" s="5" t="str">
        <f t="shared" si="9"/>
        <v>Abrir no Maps</v>
      </c>
      <c r="M295" t="s">
        <v>2119</v>
      </c>
      <c r="N295" s="5"/>
      <c r="O295" t="str">
        <f>VLOOKUP(G295,'[1]CONFIG.'!$B:$C,2,0)</f>
        <v>ANDRE</v>
      </c>
      <c r="P295" t="str">
        <f>VLOOKUP(O295,'[1]CONFIG.'!$C:$D,2,0)</f>
        <v>74 99916877</v>
      </c>
    </row>
    <row r="296" spans="1:16" x14ac:dyDescent="0.3">
      <c r="A296" t="s">
        <v>2120</v>
      </c>
      <c r="B296" t="s">
        <v>2121</v>
      </c>
      <c r="C296" t="s">
        <v>2122</v>
      </c>
      <c r="D296" t="s">
        <v>36</v>
      </c>
      <c r="E296" t="s">
        <v>2123</v>
      </c>
      <c r="F296" t="s">
        <v>137</v>
      </c>
      <c r="G296">
        <v>210</v>
      </c>
      <c r="H296">
        <v>500</v>
      </c>
      <c r="I296" s="5" t="s">
        <v>2124</v>
      </c>
      <c r="J296" s="5" t="s">
        <v>2125</v>
      </c>
      <c r="K296" s="5" t="str">
        <f t="shared" si="8"/>
        <v>https://www.google.com/maps?q=-11.303451, -41.856213</v>
      </c>
      <c r="L296" s="5" t="str">
        <f t="shared" si="9"/>
        <v>Abrir no Maps</v>
      </c>
      <c r="M296" t="s">
        <v>2126</v>
      </c>
      <c r="N296" s="5"/>
      <c r="O296" t="str">
        <f>VLOOKUP(G296,'[1]CONFIG.'!$B:$C,2,0)</f>
        <v>SILAS</v>
      </c>
      <c r="P296" t="str">
        <f>VLOOKUP(O296,'[1]CONFIG.'!$C:$D,2,0)</f>
        <v>74 98041875</v>
      </c>
    </row>
    <row r="297" spans="1:16" x14ac:dyDescent="0.3">
      <c r="A297" t="s">
        <v>2127</v>
      </c>
      <c r="B297" t="s">
        <v>2128</v>
      </c>
      <c r="C297" t="s">
        <v>2129</v>
      </c>
      <c r="D297" t="s">
        <v>36</v>
      </c>
      <c r="E297" t="s">
        <v>2130</v>
      </c>
      <c r="F297" t="s">
        <v>853</v>
      </c>
      <c r="G297">
        <v>209</v>
      </c>
      <c r="H297">
        <v>500</v>
      </c>
      <c r="I297" s="5" t="s">
        <v>2131</v>
      </c>
      <c r="J297" s="5" t="s">
        <v>1446</v>
      </c>
      <c r="K297" s="5" t="str">
        <f t="shared" si="8"/>
        <v>https://www.google.com/maps?q=-11.309022, -41.853092</v>
      </c>
      <c r="L297" s="5" t="str">
        <f t="shared" si="9"/>
        <v>Abrir no Maps</v>
      </c>
      <c r="M297" t="s">
        <v>2132</v>
      </c>
      <c r="N297" s="5"/>
      <c r="O297" t="str">
        <f>VLOOKUP(G297,'[1]CONFIG.'!$B:$C,2,0)</f>
        <v>IGOR</v>
      </c>
      <c r="P297" t="str">
        <f>VLOOKUP(O297,'[1]CONFIG.'!$C:$D,2,0)</f>
        <v>74 99590346</v>
      </c>
    </row>
    <row r="298" spans="1:16" x14ac:dyDescent="0.3">
      <c r="A298" t="s">
        <v>2133</v>
      </c>
      <c r="B298" t="s">
        <v>2134</v>
      </c>
      <c r="C298" t="s">
        <v>2135</v>
      </c>
      <c r="D298" t="s">
        <v>36</v>
      </c>
      <c r="E298" t="s">
        <v>2136</v>
      </c>
      <c r="F298" t="s">
        <v>137</v>
      </c>
      <c r="G298">
        <v>210</v>
      </c>
      <c r="H298">
        <v>500</v>
      </c>
      <c r="I298" s="5" t="s">
        <v>2137</v>
      </c>
      <c r="J298" s="5" t="s">
        <v>1390</v>
      </c>
      <c r="K298" s="5" t="str">
        <f t="shared" si="8"/>
        <v>https://www.google.com/maps?q=-11.300888, -41.855186</v>
      </c>
      <c r="L298" s="5" t="str">
        <f t="shared" si="9"/>
        <v>Abrir no Maps</v>
      </c>
      <c r="M298" t="s">
        <v>2138</v>
      </c>
      <c r="N298" s="5"/>
      <c r="O298" t="str">
        <f>VLOOKUP(G298,'[1]CONFIG.'!$B:$C,2,0)</f>
        <v>SILAS</v>
      </c>
      <c r="P298" t="str">
        <f>VLOOKUP(O298,'[1]CONFIG.'!$C:$D,2,0)</f>
        <v>74 98041875</v>
      </c>
    </row>
    <row r="299" spans="1:16" x14ac:dyDescent="0.3">
      <c r="A299" t="s">
        <v>2139</v>
      </c>
      <c r="B299" t="s">
        <v>2140</v>
      </c>
      <c r="C299" t="s">
        <v>2141</v>
      </c>
      <c r="D299" t="s">
        <v>36</v>
      </c>
      <c r="E299" t="s">
        <v>2142</v>
      </c>
      <c r="F299" t="s">
        <v>2143</v>
      </c>
      <c r="G299">
        <v>210</v>
      </c>
      <c r="H299">
        <v>500</v>
      </c>
      <c r="I299" s="5" t="s">
        <v>2144</v>
      </c>
      <c r="J299" s="5" t="s">
        <v>2145</v>
      </c>
      <c r="K299" s="5" t="str">
        <f t="shared" si="8"/>
        <v>https://www.google.com/maps?q=-11.270071, -41.919780</v>
      </c>
      <c r="L299" s="5" t="str">
        <f t="shared" si="9"/>
        <v>Abrir no Maps</v>
      </c>
      <c r="M299" t="s">
        <v>2146</v>
      </c>
      <c r="N299" s="5"/>
      <c r="O299" t="str">
        <f>VLOOKUP(G299,'[1]CONFIG.'!$B:$C,2,0)</f>
        <v>SILAS</v>
      </c>
      <c r="P299" t="str">
        <f>VLOOKUP(O299,'[1]CONFIG.'!$C:$D,2,0)</f>
        <v>74 98041875</v>
      </c>
    </row>
    <row r="300" spans="1:16" x14ac:dyDescent="0.3">
      <c r="A300" t="s">
        <v>2147</v>
      </c>
      <c r="B300" t="s">
        <v>2148</v>
      </c>
      <c r="C300" t="s">
        <v>2149</v>
      </c>
      <c r="D300" t="s">
        <v>36</v>
      </c>
      <c r="E300" t="s">
        <v>2150</v>
      </c>
      <c r="F300" t="s">
        <v>137</v>
      </c>
      <c r="G300">
        <v>210</v>
      </c>
      <c r="H300">
        <v>500</v>
      </c>
      <c r="I300" s="5" t="s">
        <v>2151</v>
      </c>
      <c r="J300" s="5" t="s">
        <v>2152</v>
      </c>
      <c r="K300" s="5" t="str">
        <f t="shared" si="8"/>
        <v>https://www.google.com/maps?q=-11.308929, -41.856618</v>
      </c>
      <c r="L300" s="5" t="str">
        <f t="shared" si="9"/>
        <v>Abrir no Maps</v>
      </c>
      <c r="M300" t="s">
        <v>2153</v>
      </c>
      <c r="N300" s="5"/>
      <c r="O300" t="str">
        <f>VLOOKUP(G300,'[1]CONFIG.'!$B:$C,2,0)</f>
        <v>SILAS</v>
      </c>
      <c r="P300" t="str">
        <f>VLOOKUP(O300,'[1]CONFIG.'!$C:$D,2,0)</f>
        <v>74 98041875</v>
      </c>
    </row>
    <row r="301" spans="1:16" x14ac:dyDescent="0.3">
      <c r="A301" t="s">
        <v>2154</v>
      </c>
      <c r="B301" t="s">
        <v>2155</v>
      </c>
      <c r="C301" t="s">
        <v>2156</v>
      </c>
      <c r="D301" t="s">
        <v>36</v>
      </c>
      <c r="E301" t="s">
        <v>2157</v>
      </c>
      <c r="F301" t="s">
        <v>137</v>
      </c>
      <c r="G301">
        <v>204</v>
      </c>
      <c r="H301">
        <v>500</v>
      </c>
      <c r="I301" s="5" t="s">
        <v>2158</v>
      </c>
      <c r="J301" s="5" t="s">
        <v>2159</v>
      </c>
      <c r="K301" s="5" t="str">
        <f t="shared" si="8"/>
        <v>https://www.google.com/maps?q=-11.300535, -41.859250</v>
      </c>
      <c r="L301" s="5" t="str">
        <f t="shared" si="9"/>
        <v>Abrir no Maps</v>
      </c>
      <c r="M301" t="s">
        <v>2160</v>
      </c>
      <c r="N301" s="5"/>
      <c r="O301" t="str">
        <f>VLOOKUP(G301,'[1]CONFIG.'!$B:$C,2,0)</f>
        <v>EVA</v>
      </c>
      <c r="P301" t="str">
        <f>VLOOKUP(O301,'[1]CONFIG.'!$C:$D,2,0)</f>
        <v>74 98046078</v>
      </c>
    </row>
    <row r="302" spans="1:16" x14ac:dyDescent="0.3">
      <c r="A302" t="s">
        <v>2161</v>
      </c>
      <c r="B302" t="s">
        <v>2162</v>
      </c>
      <c r="C302" t="s">
        <v>2163</v>
      </c>
      <c r="D302" t="s">
        <v>36</v>
      </c>
      <c r="E302" t="s">
        <v>2164</v>
      </c>
      <c r="F302" t="s">
        <v>2165</v>
      </c>
      <c r="G302">
        <v>210</v>
      </c>
      <c r="H302">
        <v>500</v>
      </c>
      <c r="I302" s="5" t="s">
        <v>2166</v>
      </c>
      <c r="J302" s="5" t="s">
        <v>2167</v>
      </c>
      <c r="K302" s="5" t="str">
        <f t="shared" si="8"/>
        <v>https://www.google.com/maps?q=-11.296685, -41.876713</v>
      </c>
      <c r="L302" s="5" t="str">
        <f t="shared" si="9"/>
        <v>Abrir no Maps</v>
      </c>
      <c r="M302">
        <v>0</v>
      </c>
      <c r="N302" s="5"/>
      <c r="O302" t="str">
        <f>VLOOKUP(G302,'[1]CONFIG.'!$B:$C,2,0)</f>
        <v>SILAS</v>
      </c>
      <c r="P302" t="str">
        <f>VLOOKUP(O302,'[1]CONFIG.'!$C:$D,2,0)</f>
        <v>74 98041875</v>
      </c>
    </row>
    <row r="303" spans="1:16" x14ac:dyDescent="0.3">
      <c r="A303" t="s">
        <v>2168</v>
      </c>
      <c r="B303" t="s">
        <v>2169</v>
      </c>
      <c r="C303" t="s">
        <v>2170</v>
      </c>
      <c r="D303" t="s">
        <v>36</v>
      </c>
      <c r="E303" t="s">
        <v>2171</v>
      </c>
      <c r="F303" t="s">
        <v>327</v>
      </c>
      <c r="G303">
        <v>212</v>
      </c>
      <c r="H303">
        <v>200</v>
      </c>
      <c r="I303" s="5" t="s">
        <v>2172</v>
      </c>
      <c r="J303" s="5" t="s">
        <v>2173</v>
      </c>
      <c r="K303" s="5" t="str">
        <f t="shared" si="8"/>
        <v>https://www.google.com/maps?q=-11.301436, -41.841965</v>
      </c>
      <c r="L303" s="5" t="str">
        <f t="shared" si="9"/>
        <v>Abrir no Maps</v>
      </c>
      <c r="M303" t="s">
        <v>2174</v>
      </c>
      <c r="N303" s="5"/>
      <c r="O303" t="str">
        <f>VLOOKUP(G303,'[1]CONFIG.'!$B:$C,2,0)</f>
        <v>ANDRE</v>
      </c>
      <c r="P303" t="str">
        <f>VLOOKUP(O303,'[1]CONFIG.'!$C:$D,2,0)</f>
        <v>74 99916877</v>
      </c>
    </row>
    <row r="304" spans="1:16" x14ac:dyDescent="0.3">
      <c r="A304" t="s">
        <v>2175</v>
      </c>
      <c r="B304" t="s">
        <v>2176</v>
      </c>
      <c r="C304" t="s">
        <v>2177</v>
      </c>
      <c r="D304" t="s">
        <v>36</v>
      </c>
      <c r="E304" t="s">
        <v>2178</v>
      </c>
      <c r="F304" t="s">
        <v>137</v>
      </c>
      <c r="G304">
        <v>212</v>
      </c>
      <c r="H304">
        <v>200</v>
      </c>
      <c r="I304" s="5" t="s">
        <v>2179</v>
      </c>
      <c r="J304" s="5" t="s">
        <v>2180</v>
      </c>
      <c r="K304" s="5" t="str">
        <f t="shared" si="8"/>
        <v>https://www.google.com/maps?q=-11.304780, -41.849157</v>
      </c>
      <c r="L304" s="5" t="str">
        <f t="shared" si="9"/>
        <v>Abrir no Maps</v>
      </c>
      <c r="M304" t="s">
        <v>2181</v>
      </c>
      <c r="N304" s="5"/>
      <c r="O304" t="str">
        <f>VLOOKUP(G304,'[1]CONFIG.'!$B:$C,2,0)</f>
        <v>ANDRE</v>
      </c>
      <c r="P304" t="str">
        <f>VLOOKUP(O304,'[1]CONFIG.'!$C:$D,2,0)</f>
        <v>74 99916877</v>
      </c>
    </row>
    <row r="305" spans="1:16" x14ac:dyDescent="0.3">
      <c r="A305" t="s">
        <v>2182</v>
      </c>
      <c r="B305" t="s">
        <v>2183</v>
      </c>
      <c r="C305" t="s">
        <v>2184</v>
      </c>
      <c r="D305" t="s">
        <v>36</v>
      </c>
      <c r="E305" t="s">
        <v>2185</v>
      </c>
      <c r="F305" t="s">
        <v>1212</v>
      </c>
      <c r="G305">
        <v>212</v>
      </c>
      <c r="H305">
        <v>200</v>
      </c>
      <c r="I305" s="5" t="s">
        <v>2186</v>
      </c>
      <c r="J305" s="5" t="s">
        <v>2187</v>
      </c>
      <c r="K305" s="5" t="str">
        <f t="shared" si="8"/>
        <v>https://www.google.com/maps?q=-11.298922, -41.847170</v>
      </c>
      <c r="L305" s="5" t="str">
        <f t="shared" si="9"/>
        <v>Abrir no Maps</v>
      </c>
      <c r="M305" t="s">
        <v>2188</v>
      </c>
      <c r="N305" s="5"/>
      <c r="O305" t="str">
        <f>VLOOKUP(G305,'[1]CONFIG.'!$B:$C,2,0)</f>
        <v>ANDRE</v>
      </c>
      <c r="P305" t="str">
        <f>VLOOKUP(O305,'[1]CONFIG.'!$C:$D,2,0)</f>
        <v>74 99916877</v>
      </c>
    </row>
    <row r="306" spans="1:16" x14ac:dyDescent="0.3">
      <c r="A306" t="s">
        <v>2189</v>
      </c>
      <c r="B306" t="s">
        <v>2190</v>
      </c>
      <c r="C306" t="s">
        <v>2191</v>
      </c>
      <c r="D306" t="s">
        <v>36</v>
      </c>
      <c r="E306" t="s">
        <v>2192</v>
      </c>
      <c r="F306" t="s">
        <v>366</v>
      </c>
      <c r="G306">
        <v>210</v>
      </c>
      <c r="H306">
        <v>500</v>
      </c>
      <c r="I306" s="5" t="s">
        <v>2193</v>
      </c>
      <c r="J306" s="5" t="s">
        <v>2194</v>
      </c>
      <c r="K306" s="5" t="str">
        <f t="shared" si="8"/>
        <v>https://www.google.com/maps?q=-11.301004, -41.861168</v>
      </c>
      <c r="L306" s="5" t="str">
        <f t="shared" si="9"/>
        <v>Abrir no Maps</v>
      </c>
      <c r="M306" t="s">
        <v>2195</v>
      </c>
      <c r="N306" s="5"/>
      <c r="O306" t="str">
        <f>VLOOKUP(G306,'[1]CONFIG.'!$B:$C,2,0)</f>
        <v>SILAS</v>
      </c>
      <c r="P306" t="str">
        <f>VLOOKUP(O306,'[1]CONFIG.'!$C:$D,2,0)</f>
        <v>74 98041875</v>
      </c>
    </row>
    <row r="307" spans="1:16" x14ac:dyDescent="0.3">
      <c r="A307" t="s">
        <v>2196</v>
      </c>
      <c r="B307" t="s">
        <v>2197</v>
      </c>
      <c r="C307" t="s">
        <v>2198</v>
      </c>
      <c r="D307" t="s">
        <v>36</v>
      </c>
      <c r="E307" t="s">
        <v>2199</v>
      </c>
      <c r="F307" t="s">
        <v>674</v>
      </c>
      <c r="G307">
        <v>206</v>
      </c>
      <c r="H307">
        <v>200</v>
      </c>
      <c r="I307" s="5" t="s">
        <v>2200</v>
      </c>
      <c r="J307" s="5" t="s">
        <v>2201</v>
      </c>
      <c r="K307" s="5" t="str">
        <f t="shared" si="8"/>
        <v>https://www.google.com/maps?q=-11.340495, -41.744560</v>
      </c>
      <c r="L307" s="5" t="str">
        <f t="shared" si="9"/>
        <v>Abrir no Maps</v>
      </c>
      <c r="M307" t="s">
        <v>2202</v>
      </c>
      <c r="N307" s="5"/>
      <c r="O307" t="str">
        <f>VLOOKUP(G307,'[1]CONFIG.'!$B:$C,2,0)</f>
        <v>ROBERTO</v>
      </c>
      <c r="P307" t="str">
        <f>VLOOKUP(O307,'[1]CONFIG.'!$C:$D,2,0)</f>
        <v>74 99551147</v>
      </c>
    </row>
    <row r="308" spans="1:16" x14ac:dyDescent="0.3">
      <c r="A308" t="s">
        <v>2203</v>
      </c>
      <c r="B308" t="s">
        <v>2204</v>
      </c>
      <c r="C308" t="s">
        <v>2205</v>
      </c>
      <c r="D308" t="s">
        <v>36</v>
      </c>
      <c r="E308" t="s">
        <v>2206</v>
      </c>
      <c r="F308" t="s">
        <v>137</v>
      </c>
      <c r="G308">
        <v>209</v>
      </c>
      <c r="H308">
        <v>500</v>
      </c>
      <c r="I308" s="5" t="s">
        <v>882</v>
      </c>
      <c r="J308" s="5" t="s">
        <v>2207</v>
      </c>
      <c r="K308" s="5" t="str">
        <f t="shared" si="8"/>
        <v>https://www.google.com/maps?q=-11.302490, -41.849346</v>
      </c>
      <c r="L308" s="5" t="str">
        <f t="shared" si="9"/>
        <v>Abrir no Maps</v>
      </c>
      <c r="M308" t="s">
        <v>2208</v>
      </c>
      <c r="N308" s="5"/>
      <c r="O308" t="str">
        <f>VLOOKUP(G308,'[1]CONFIG.'!$B:$C,2,0)</f>
        <v>IGOR</v>
      </c>
      <c r="P308" t="str">
        <f>VLOOKUP(O308,'[1]CONFIG.'!$C:$D,2,0)</f>
        <v>74 99590346</v>
      </c>
    </row>
    <row r="309" spans="1:16" x14ac:dyDescent="0.3">
      <c r="A309" t="s">
        <v>2209</v>
      </c>
      <c r="B309" t="s">
        <v>2210</v>
      </c>
      <c r="C309" t="s">
        <v>2211</v>
      </c>
      <c r="D309" t="s">
        <v>36</v>
      </c>
      <c r="E309" t="s">
        <v>2212</v>
      </c>
      <c r="F309" t="s">
        <v>137</v>
      </c>
      <c r="G309">
        <v>209</v>
      </c>
      <c r="H309">
        <v>500</v>
      </c>
      <c r="I309" s="5" t="s">
        <v>2213</v>
      </c>
      <c r="J309" s="5" t="s">
        <v>2214</v>
      </c>
      <c r="K309" s="5" t="str">
        <f t="shared" si="8"/>
        <v>https://www.google.com/maps?q=-11.297111, -41.850980</v>
      </c>
      <c r="L309" s="5" t="str">
        <f t="shared" si="9"/>
        <v>Abrir no Maps</v>
      </c>
      <c r="M309" t="s">
        <v>2215</v>
      </c>
      <c r="N309" s="5"/>
      <c r="O309" t="str">
        <f>VLOOKUP(G309,'[1]CONFIG.'!$B:$C,2,0)</f>
        <v>IGOR</v>
      </c>
      <c r="P309" t="str">
        <f>VLOOKUP(O309,'[1]CONFIG.'!$C:$D,2,0)</f>
        <v>74 99590346</v>
      </c>
    </row>
    <row r="310" spans="1:16" x14ac:dyDescent="0.3">
      <c r="A310" t="s">
        <v>2216</v>
      </c>
      <c r="B310" t="s">
        <v>2217</v>
      </c>
      <c r="C310" t="s">
        <v>2218</v>
      </c>
      <c r="D310" t="s">
        <v>36</v>
      </c>
      <c r="E310" t="s">
        <v>2219</v>
      </c>
      <c r="F310" t="s">
        <v>217</v>
      </c>
      <c r="G310">
        <v>203</v>
      </c>
      <c r="H310">
        <v>200</v>
      </c>
      <c r="I310" s="5" t="s">
        <v>2220</v>
      </c>
      <c r="J310" s="5" t="s">
        <v>2221</v>
      </c>
      <c r="K310" s="5" t="str">
        <f t="shared" si="8"/>
        <v>https://www.google.com/maps?q=-11.303825, -41.841957</v>
      </c>
      <c r="L310" s="5" t="str">
        <f t="shared" si="9"/>
        <v>Abrir no Maps</v>
      </c>
      <c r="M310" t="s">
        <v>2222</v>
      </c>
      <c r="N310" s="5"/>
      <c r="O310" t="str">
        <f>VLOOKUP(G310,'[1]CONFIG.'!$B:$C,2,0)</f>
        <v>ALEXANDRE</v>
      </c>
      <c r="P310" t="str">
        <f>VLOOKUP(O310,'[1]CONFIG.'!$C:$D,2,0)</f>
        <v>74 99653478</v>
      </c>
    </row>
    <row r="311" spans="1:16" x14ac:dyDescent="0.3">
      <c r="A311" t="s">
        <v>2223</v>
      </c>
      <c r="B311" t="s">
        <v>1790</v>
      </c>
      <c r="C311" t="s">
        <v>2224</v>
      </c>
      <c r="D311" t="s">
        <v>36</v>
      </c>
      <c r="E311" t="s">
        <v>2225</v>
      </c>
      <c r="F311" t="s">
        <v>137</v>
      </c>
      <c r="G311">
        <v>212</v>
      </c>
      <c r="H311">
        <v>200</v>
      </c>
      <c r="I311" s="5" t="s">
        <v>2226</v>
      </c>
      <c r="J311" s="5" t="s">
        <v>2227</v>
      </c>
      <c r="K311" s="5" t="str">
        <f t="shared" si="8"/>
        <v>https://www.google.com/maps?q=-11.302584, -41.851143</v>
      </c>
      <c r="L311" s="5" t="str">
        <f t="shared" si="9"/>
        <v>Abrir no Maps</v>
      </c>
      <c r="M311" t="s">
        <v>1796</v>
      </c>
      <c r="N311" s="5"/>
      <c r="O311" t="str">
        <f>VLOOKUP(G311,'[1]CONFIG.'!$B:$C,2,0)</f>
        <v>ANDRE</v>
      </c>
      <c r="P311" t="str">
        <f>VLOOKUP(O311,'[1]CONFIG.'!$C:$D,2,0)</f>
        <v>74 99916877</v>
      </c>
    </row>
    <row r="312" spans="1:16" x14ac:dyDescent="0.3">
      <c r="A312" t="s">
        <v>2228</v>
      </c>
      <c r="B312" t="s">
        <v>2229</v>
      </c>
      <c r="C312" t="s">
        <v>2230</v>
      </c>
      <c r="D312" t="s">
        <v>36</v>
      </c>
      <c r="E312" t="s">
        <v>2231</v>
      </c>
      <c r="F312" t="s">
        <v>137</v>
      </c>
      <c r="G312">
        <v>212</v>
      </c>
      <c r="H312">
        <v>200</v>
      </c>
      <c r="I312" s="5" t="s">
        <v>2232</v>
      </c>
      <c r="J312" s="5" t="s">
        <v>2233</v>
      </c>
      <c r="K312" s="5" t="str">
        <f t="shared" si="8"/>
        <v>https://www.google.com/maps?q=-11.299799, -41.858463</v>
      </c>
      <c r="L312" s="5" t="str">
        <f t="shared" si="9"/>
        <v>Abrir no Maps</v>
      </c>
      <c r="M312" t="s">
        <v>2234</v>
      </c>
      <c r="N312" s="5"/>
      <c r="O312" t="str">
        <f>VLOOKUP(G312,'[1]CONFIG.'!$B:$C,2,0)</f>
        <v>ANDRE</v>
      </c>
      <c r="P312" t="str">
        <f>VLOOKUP(O312,'[1]CONFIG.'!$C:$D,2,0)</f>
        <v>74 99916877</v>
      </c>
    </row>
    <row r="313" spans="1:16" x14ac:dyDescent="0.3">
      <c r="A313" t="s">
        <v>2235</v>
      </c>
      <c r="B313" t="s">
        <v>2236</v>
      </c>
      <c r="C313" t="s">
        <v>2237</v>
      </c>
      <c r="D313" t="s">
        <v>36</v>
      </c>
      <c r="E313" t="s">
        <v>2238</v>
      </c>
      <c r="F313" t="s">
        <v>422</v>
      </c>
      <c r="G313">
        <v>204</v>
      </c>
      <c r="H313">
        <v>500</v>
      </c>
      <c r="I313" s="5" t="s">
        <v>2239</v>
      </c>
      <c r="J313" s="5" t="s">
        <v>2240</v>
      </c>
      <c r="K313" s="5" t="str">
        <f t="shared" si="8"/>
        <v>https://www.google.com/maps?q=-11.298014, -41.851476</v>
      </c>
      <c r="L313" s="5" t="str">
        <f t="shared" si="9"/>
        <v>Abrir no Maps</v>
      </c>
      <c r="M313" t="s">
        <v>2241</v>
      </c>
      <c r="N313" s="5"/>
      <c r="O313" t="str">
        <f>VLOOKUP(G313,'[1]CONFIG.'!$B:$C,2,0)</f>
        <v>EVA</v>
      </c>
      <c r="P313" t="str">
        <f>VLOOKUP(O313,'[1]CONFIG.'!$C:$D,2,0)</f>
        <v>74 98046078</v>
      </c>
    </row>
    <row r="314" spans="1:16" x14ac:dyDescent="0.3">
      <c r="A314" t="s">
        <v>2242</v>
      </c>
      <c r="B314" t="s">
        <v>2243</v>
      </c>
      <c r="C314" t="s">
        <v>2244</v>
      </c>
      <c r="D314" t="s">
        <v>36</v>
      </c>
      <c r="E314" t="s">
        <v>2245</v>
      </c>
      <c r="F314" t="s">
        <v>108</v>
      </c>
      <c r="G314">
        <v>207</v>
      </c>
      <c r="H314">
        <v>500</v>
      </c>
      <c r="I314" s="5" t="s">
        <v>2246</v>
      </c>
      <c r="J314" s="5" t="s">
        <v>2247</v>
      </c>
      <c r="K314" s="5" t="str">
        <f t="shared" si="8"/>
        <v>https://www.google.com/maps?q=-11.313467, -41.857620</v>
      </c>
      <c r="L314" s="5" t="str">
        <f t="shared" si="9"/>
        <v>Abrir no Maps</v>
      </c>
      <c r="M314" t="s">
        <v>2248</v>
      </c>
      <c r="N314" s="5"/>
      <c r="O314" t="str">
        <f>VLOOKUP(G314,'[1]CONFIG.'!$B:$C,2,0)</f>
        <v>HIAGO</v>
      </c>
      <c r="P314" t="str">
        <f>VLOOKUP(O314,'[1]CONFIG.'!$C:$D,2,0)</f>
        <v>74 99872571</v>
      </c>
    </row>
    <row r="315" spans="1:16" x14ac:dyDescent="0.3">
      <c r="A315" t="s">
        <v>2249</v>
      </c>
      <c r="B315" t="s">
        <v>2250</v>
      </c>
      <c r="C315" t="s">
        <v>2251</v>
      </c>
      <c r="D315" t="s">
        <v>36</v>
      </c>
      <c r="E315" t="s">
        <v>2252</v>
      </c>
      <c r="F315" t="s">
        <v>319</v>
      </c>
      <c r="G315">
        <v>211</v>
      </c>
      <c r="H315">
        <v>500</v>
      </c>
      <c r="I315" s="5" t="s">
        <v>2253</v>
      </c>
      <c r="J315" s="5" t="s">
        <v>2254</v>
      </c>
      <c r="K315" s="5" t="str">
        <f t="shared" si="8"/>
        <v>https://www.google.com/maps?q=-11.304877, -41.867420</v>
      </c>
      <c r="L315" s="5" t="str">
        <f t="shared" si="9"/>
        <v>Abrir no Maps</v>
      </c>
      <c r="M315" t="s">
        <v>2255</v>
      </c>
      <c r="N315" s="5"/>
      <c r="O315" t="str">
        <f>VLOOKUP(G315,'[1]CONFIG.'!$B:$C,2,0)</f>
        <v>DAIANE</v>
      </c>
      <c r="P315" t="str">
        <f>VLOOKUP(O315,'[1]CONFIG.'!$C:$D,2,0)</f>
        <v>74 99298866</v>
      </c>
    </row>
    <row r="316" spans="1:16" x14ac:dyDescent="0.3">
      <c r="A316" t="s">
        <v>2256</v>
      </c>
      <c r="B316" t="s">
        <v>2257</v>
      </c>
      <c r="C316" t="s">
        <v>2258</v>
      </c>
      <c r="D316" t="s">
        <v>36</v>
      </c>
      <c r="E316" t="s">
        <v>2259</v>
      </c>
      <c r="F316" t="s">
        <v>137</v>
      </c>
      <c r="G316">
        <v>203</v>
      </c>
      <c r="H316">
        <v>200</v>
      </c>
      <c r="I316" s="5" t="s">
        <v>2260</v>
      </c>
      <c r="J316" s="5" t="s">
        <v>2261</v>
      </c>
      <c r="K316" s="5" t="str">
        <f t="shared" si="8"/>
        <v>https://www.google.com/maps?q=-11.301267, -41.860570</v>
      </c>
      <c r="L316" s="5" t="str">
        <f t="shared" si="9"/>
        <v>Abrir no Maps</v>
      </c>
      <c r="M316" t="s">
        <v>2262</v>
      </c>
      <c r="N316" s="5"/>
      <c r="O316" t="str">
        <f>VLOOKUP(G316,'[1]CONFIG.'!$B:$C,2,0)</f>
        <v>ALEXANDRE</v>
      </c>
      <c r="P316" t="str">
        <f>VLOOKUP(O316,'[1]CONFIG.'!$C:$D,2,0)</f>
        <v>74 99653478</v>
      </c>
    </row>
    <row r="317" spans="1:16" x14ac:dyDescent="0.3">
      <c r="A317" t="s">
        <v>2263</v>
      </c>
      <c r="B317" t="s">
        <v>2264</v>
      </c>
      <c r="C317" t="s">
        <v>2265</v>
      </c>
      <c r="D317" t="s">
        <v>36</v>
      </c>
      <c r="E317" t="s">
        <v>2266</v>
      </c>
      <c r="F317" t="s">
        <v>511</v>
      </c>
      <c r="G317">
        <v>207</v>
      </c>
      <c r="H317">
        <v>500</v>
      </c>
      <c r="I317" s="5" t="s">
        <v>2267</v>
      </c>
      <c r="J317" s="5" t="s">
        <v>2268</v>
      </c>
      <c r="K317" s="5" t="str">
        <f t="shared" si="8"/>
        <v>https://www.google.com/maps?q=-11.324883, -41.863625</v>
      </c>
      <c r="L317" s="5" t="str">
        <f t="shared" si="9"/>
        <v>Abrir no Maps</v>
      </c>
      <c r="M317" t="s">
        <v>2269</v>
      </c>
      <c r="N317" s="5"/>
      <c r="O317" t="str">
        <f>VLOOKUP(G317,'[1]CONFIG.'!$B:$C,2,0)</f>
        <v>HIAGO</v>
      </c>
      <c r="P317" t="str">
        <f>VLOOKUP(O317,'[1]CONFIG.'!$C:$D,2,0)</f>
        <v>74 99872571</v>
      </c>
    </row>
    <row r="318" spans="1:16" x14ac:dyDescent="0.3">
      <c r="A318" t="s">
        <v>2270</v>
      </c>
      <c r="B318" t="s">
        <v>2271</v>
      </c>
      <c r="C318" t="s">
        <v>2272</v>
      </c>
      <c r="D318" t="s">
        <v>36</v>
      </c>
      <c r="E318" t="s">
        <v>2273</v>
      </c>
      <c r="F318" t="s">
        <v>1212</v>
      </c>
      <c r="G318">
        <v>212</v>
      </c>
      <c r="H318">
        <v>200</v>
      </c>
      <c r="I318" s="5" t="s">
        <v>2274</v>
      </c>
      <c r="J318" s="5" t="s">
        <v>2275</v>
      </c>
      <c r="K318" s="5" t="str">
        <f t="shared" si="8"/>
        <v>https://www.google.com/maps?q=-11.299368, -41.847446</v>
      </c>
      <c r="L318" s="5" t="str">
        <f t="shared" si="9"/>
        <v>Abrir no Maps</v>
      </c>
      <c r="M318" t="s">
        <v>2276</v>
      </c>
      <c r="N318" s="5"/>
      <c r="O318" t="str">
        <f>VLOOKUP(G318,'[1]CONFIG.'!$B:$C,2,0)</f>
        <v>ANDRE</v>
      </c>
      <c r="P318" t="str">
        <f>VLOOKUP(O318,'[1]CONFIG.'!$C:$D,2,0)</f>
        <v>74 99916877</v>
      </c>
    </row>
    <row r="319" spans="1:16" x14ac:dyDescent="0.3">
      <c r="A319" t="s">
        <v>2277</v>
      </c>
      <c r="B319" t="s">
        <v>2278</v>
      </c>
      <c r="C319" t="s">
        <v>2279</v>
      </c>
      <c r="D319" t="s">
        <v>36</v>
      </c>
      <c r="E319" t="s">
        <v>2280</v>
      </c>
      <c r="F319" t="s">
        <v>2281</v>
      </c>
      <c r="G319">
        <v>206</v>
      </c>
      <c r="H319">
        <v>200</v>
      </c>
      <c r="I319" s="5" t="s">
        <v>2282</v>
      </c>
      <c r="J319" s="5" t="s">
        <v>2283</v>
      </c>
      <c r="K319" s="5" t="str">
        <f t="shared" si="8"/>
        <v>https://www.google.com/maps?q=-11.332261, -41.777370</v>
      </c>
      <c r="L319" s="5" t="str">
        <f t="shared" si="9"/>
        <v>Abrir no Maps</v>
      </c>
      <c r="M319" t="s">
        <v>2284</v>
      </c>
      <c r="N319" s="5"/>
      <c r="O319" t="str">
        <f>VLOOKUP(G319,'[1]CONFIG.'!$B:$C,2,0)</f>
        <v>ROBERTO</v>
      </c>
      <c r="P319" t="str">
        <f>VLOOKUP(O319,'[1]CONFIG.'!$C:$D,2,0)</f>
        <v>74 99551147</v>
      </c>
    </row>
    <row r="320" spans="1:16" x14ac:dyDescent="0.3">
      <c r="A320" t="s">
        <v>2285</v>
      </c>
      <c r="B320" t="s">
        <v>2286</v>
      </c>
      <c r="C320" t="s">
        <v>2287</v>
      </c>
      <c r="D320" t="s">
        <v>36</v>
      </c>
      <c r="E320" t="s">
        <v>2288</v>
      </c>
      <c r="F320" t="s">
        <v>217</v>
      </c>
      <c r="G320">
        <v>209</v>
      </c>
      <c r="H320">
        <v>500</v>
      </c>
      <c r="I320" s="5" t="s">
        <v>2289</v>
      </c>
      <c r="J320" s="5" t="s">
        <v>2290</v>
      </c>
      <c r="K320" s="5" t="str">
        <f t="shared" si="8"/>
        <v>https://www.google.com/maps?q=-11.305614, -41.845047</v>
      </c>
      <c r="L320" s="5" t="str">
        <f t="shared" si="9"/>
        <v>Abrir no Maps</v>
      </c>
      <c r="M320" t="s">
        <v>2291</v>
      </c>
      <c r="N320" s="5"/>
      <c r="O320" t="str">
        <f>VLOOKUP(G320,'[1]CONFIG.'!$B:$C,2,0)</f>
        <v>IGOR</v>
      </c>
      <c r="P320" t="str">
        <f>VLOOKUP(O320,'[1]CONFIG.'!$C:$D,2,0)</f>
        <v>74 99590346</v>
      </c>
    </row>
    <row r="321" spans="1:16" x14ac:dyDescent="0.3">
      <c r="A321" t="s">
        <v>2292</v>
      </c>
      <c r="B321" t="s">
        <v>2293</v>
      </c>
      <c r="C321" t="s">
        <v>2294</v>
      </c>
      <c r="D321" t="s">
        <v>36</v>
      </c>
      <c r="E321" t="s">
        <v>2295</v>
      </c>
      <c r="F321" t="s">
        <v>137</v>
      </c>
      <c r="G321">
        <v>211</v>
      </c>
      <c r="H321">
        <v>500</v>
      </c>
      <c r="I321" s="5" t="s">
        <v>2296</v>
      </c>
      <c r="J321" s="5" t="s">
        <v>2297</v>
      </c>
      <c r="K321" s="5" t="str">
        <f t="shared" si="8"/>
        <v>https://www.google.com/maps?q=-11.303584, -41.856950</v>
      </c>
      <c r="L321" s="5" t="str">
        <f t="shared" si="9"/>
        <v>Abrir no Maps</v>
      </c>
      <c r="M321" t="s">
        <v>2298</v>
      </c>
      <c r="N321" s="5"/>
      <c r="O321" t="str">
        <f>VLOOKUP(G321,'[1]CONFIG.'!$B:$C,2,0)</f>
        <v>DAIANE</v>
      </c>
      <c r="P321" t="str">
        <f>VLOOKUP(O321,'[1]CONFIG.'!$C:$D,2,0)</f>
        <v>74 99298866</v>
      </c>
    </row>
    <row r="322" spans="1:16" x14ac:dyDescent="0.3">
      <c r="A322" t="s">
        <v>2299</v>
      </c>
      <c r="B322" t="s">
        <v>2300</v>
      </c>
      <c r="C322" t="s">
        <v>2301</v>
      </c>
      <c r="D322" t="s">
        <v>36</v>
      </c>
      <c r="E322" t="s">
        <v>2302</v>
      </c>
      <c r="F322" t="s">
        <v>137</v>
      </c>
      <c r="G322">
        <v>212</v>
      </c>
      <c r="H322">
        <v>200</v>
      </c>
      <c r="I322" s="5" t="s">
        <v>2303</v>
      </c>
      <c r="J322" s="5" t="s">
        <v>2304</v>
      </c>
      <c r="K322" s="5" t="str">
        <f t="shared" si="8"/>
        <v>https://www.google.com/maps?q=-11.308732, -41.856716</v>
      </c>
      <c r="L322" s="5" t="str">
        <f t="shared" si="9"/>
        <v>Abrir no Maps</v>
      </c>
      <c r="M322" t="s">
        <v>2305</v>
      </c>
      <c r="N322" s="5"/>
      <c r="O322" t="str">
        <f>VLOOKUP(G322,'[1]CONFIG.'!$B:$C,2,0)</f>
        <v>ANDRE</v>
      </c>
      <c r="P322" t="str">
        <f>VLOOKUP(O322,'[1]CONFIG.'!$C:$D,2,0)</f>
        <v>74 99916877</v>
      </c>
    </row>
    <row r="323" spans="1:16" x14ac:dyDescent="0.3">
      <c r="A323" t="s">
        <v>2306</v>
      </c>
      <c r="B323" t="s">
        <v>2307</v>
      </c>
      <c r="C323" t="s">
        <v>2308</v>
      </c>
      <c r="D323" t="s">
        <v>36</v>
      </c>
      <c r="E323" t="s">
        <v>2309</v>
      </c>
      <c r="F323" t="s">
        <v>137</v>
      </c>
      <c r="G323">
        <v>204</v>
      </c>
      <c r="H323">
        <v>500</v>
      </c>
      <c r="I323" s="5" t="s">
        <v>2310</v>
      </c>
      <c r="J323" s="5" t="s">
        <v>2311</v>
      </c>
      <c r="K323" s="5" t="str">
        <f t="shared" si="8"/>
        <v>https://www.google.com/maps?q=-11.303177, -41.865646</v>
      </c>
      <c r="L323" s="5" t="str">
        <f t="shared" si="9"/>
        <v>Abrir no Maps</v>
      </c>
      <c r="M323" t="s">
        <v>2312</v>
      </c>
      <c r="N323" s="5"/>
      <c r="O323" t="str">
        <f>VLOOKUP(G323,'[1]CONFIG.'!$B:$C,2,0)</f>
        <v>EVA</v>
      </c>
      <c r="P323" t="str">
        <f>VLOOKUP(O323,'[1]CONFIG.'!$C:$D,2,0)</f>
        <v>74 98046078</v>
      </c>
    </row>
    <row r="324" spans="1:16" x14ac:dyDescent="0.3">
      <c r="A324" t="s">
        <v>2313</v>
      </c>
      <c r="B324" t="s">
        <v>2314</v>
      </c>
      <c r="C324" t="s">
        <v>2315</v>
      </c>
      <c r="D324" t="s">
        <v>36</v>
      </c>
      <c r="E324" t="s">
        <v>2316</v>
      </c>
      <c r="F324" t="s">
        <v>137</v>
      </c>
      <c r="G324">
        <v>209</v>
      </c>
      <c r="H324">
        <v>500</v>
      </c>
      <c r="I324" s="5" t="s">
        <v>2317</v>
      </c>
      <c r="J324" s="5" t="s">
        <v>2318</v>
      </c>
      <c r="K324" s="5" t="str">
        <f t="shared" ref="K324:K387" si="10">"https://www.google.com/maps?q="&amp;""&amp;LEFT(I324,3)&amp;"."&amp;RIGHT(I324,6)&amp;", "&amp;LEFT(J324,3)&amp;"."&amp;RIGHT(J324,6)</f>
        <v>https://www.google.com/maps?q=-11.303710, -41.850540</v>
      </c>
      <c r="L324" s="5" t="str">
        <f t="shared" ref="L324:L387" si="11">HYPERLINK(K324,"Abrir no Maps")</f>
        <v>Abrir no Maps</v>
      </c>
      <c r="M324" t="s">
        <v>2319</v>
      </c>
      <c r="N324" s="5"/>
      <c r="O324" t="str">
        <f>VLOOKUP(G324,'[1]CONFIG.'!$B:$C,2,0)</f>
        <v>IGOR</v>
      </c>
      <c r="P324" t="str">
        <f>VLOOKUP(O324,'[1]CONFIG.'!$C:$D,2,0)</f>
        <v>74 99590346</v>
      </c>
    </row>
    <row r="325" spans="1:16" x14ac:dyDescent="0.3">
      <c r="A325" t="s">
        <v>2320</v>
      </c>
      <c r="B325" t="s">
        <v>2321</v>
      </c>
      <c r="C325" t="s">
        <v>2322</v>
      </c>
      <c r="D325" t="s">
        <v>36</v>
      </c>
      <c r="E325" t="s">
        <v>2323</v>
      </c>
      <c r="F325" t="s">
        <v>342</v>
      </c>
      <c r="G325">
        <v>212</v>
      </c>
      <c r="H325">
        <v>200</v>
      </c>
      <c r="I325" s="5" t="s">
        <v>2324</v>
      </c>
      <c r="J325" s="5" t="s">
        <v>2325</v>
      </c>
      <c r="K325" s="5" t="str">
        <f t="shared" si="10"/>
        <v>https://www.google.com/maps?q=-11.311097, -41.851505</v>
      </c>
      <c r="L325" s="5" t="str">
        <f t="shared" si="11"/>
        <v>Abrir no Maps</v>
      </c>
      <c r="M325" t="s">
        <v>2326</v>
      </c>
      <c r="N325" s="5"/>
      <c r="O325" t="str">
        <f>VLOOKUP(G325,'[1]CONFIG.'!$B:$C,2,0)</f>
        <v>ANDRE</v>
      </c>
      <c r="P325" t="str">
        <f>VLOOKUP(O325,'[1]CONFIG.'!$C:$D,2,0)</f>
        <v>74 99916877</v>
      </c>
    </row>
    <row r="326" spans="1:16" x14ac:dyDescent="0.3">
      <c r="A326" t="s">
        <v>2327</v>
      </c>
      <c r="B326" t="s">
        <v>2328</v>
      </c>
      <c r="C326" t="s">
        <v>2329</v>
      </c>
      <c r="D326" t="s">
        <v>36</v>
      </c>
      <c r="E326" t="s">
        <v>2330</v>
      </c>
      <c r="F326" t="s">
        <v>137</v>
      </c>
      <c r="G326">
        <v>212</v>
      </c>
      <c r="H326">
        <v>200</v>
      </c>
      <c r="I326" s="5" t="s">
        <v>2331</v>
      </c>
      <c r="J326" s="5" t="s">
        <v>2332</v>
      </c>
      <c r="K326" s="5" t="str">
        <f t="shared" si="10"/>
        <v>https://www.google.com/maps?q=-11.304155, -41.853218</v>
      </c>
      <c r="L326" s="5" t="str">
        <f t="shared" si="11"/>
        <v>Abrir no Maps</v>
      </c>
      <c r="M326" t="s">
        <v>2333</v>
      </c>
      <c r="N326" s="5"/>
      <c r="O326" t="str">
        <f>VLOOKUP(G326,'[1]CONFIG.'!$B:$C,2,0)</f>
        <v>ANDRE</v>
      </c>
      <c r="P326" t="str">
        <f>VLOOKUP(O326,'[1]CONFIG.'!$C:$D,2,0)</f>
        <v>74 99916877</v>
      </c>
    </row>
    <row r="327" spans="1:16" x14ac:dyDescent="0.3">
      <c r="A327" t="s">
        <v>2334</v>
      </c>
      <c r="B327" t="s">
        <v>2335</v>
      </c>
      <c r="C327" t="s">
        <v>2336</v>
      </c>
      <c r="D327" t="s">
        <v>36</v>
      </c>
      <c r="E327" t="s">
        <v>2337</v>
      </c>
      <c r="F327" t="s">
        <v>395</v>
      </c>
      <c r="G327">
        <v>211</v>
      </c>
      <c r="H327">
        <v>500</v>
      </c>
      <c r="I327" s="5" t="s">
        <v>2338</v>
      </c>
      <c r="J327" s="5" t="s">
        <v>2339</v>
      </c>
      <c r="K327" s="5" t="str">
        <f t="shared" si="10"/>
        <v>https://www.google.com/maps?q=-11.311822, -41.873783</v>
      </c>
      <c r="L327" s="5" t="str">
        <f t="shared" si="11"/>
        <v>Abrir no Maps</v>
      </c>
      <c r="M327" t="s">
        <v>2340</v>
      </c>
      <c r="N327" s="5"/>
      <c r="O327" t="str">
        <f>VLOOKUP(G327,'[1]CONFIG.'!$B:$C,2,0)</f>
        <v>DAIANE</v>
      </c>
      <c r="P327" t="str">
        <f>VLOOKUP(O327,'[1]CONFIG.'!$C:$D,2,0)</f>
        <v>74 99298866</v>
      </c>
    </row>
    <row r="328" spans="1:16" x14ac:dyDescent="0.3">
      <c r="A328" t="s">
        <v>2341</v>
      </c>
      <c r="B328" t="s">
        <v>2342</v>
      </c>
      <c r="C328" t="s">
        <v>2343</v>
      </c>
      <c r="D328" t="s">
        <v>36</v>
      </c>
      <c r="E328" t="s">
        <v>2344</v>
      </c>
      <c r="F328" t="s">
        <v>2345</v>
      </c>
      <c r="G328">
        <v>211</v>
      </c>
      <c r="H328">
        <v>500</v>
      </c>
      <c r="I328" s="5" t="s">
        <v>2346</v>
      </c>
      <c r="J328" s="5" t="s">
        <v>2347</v>
      </c>
      <c r="K328" s="5" t="str">
        <f t="shared" si="10"/>
        <v>https://www.google.com/maps?q=-11.266299, -41.880962</v>
      </c>
      <c r="L328" s="5" t="str">
        <f t="shared" si="11"/>
        <v>Abrir no Maps</v>
      </c>
      <c r="M328" t="s">
        <v>2348</v>
      </c>
      <c r="N328" s="5"/>
      <c r="O328" t="str">
        <f>VLOOKUP(G328,'[1]CONFIG.'!$B:$C,2,0)</f>
        <v>DAIANE</v>
      </c>
      <c r="P328" t="str">
        <f>VLOOKUP(O328,'[1]CONFIG.'!$C:$D,2,0)</f>
        <v>74 99298866</v>
      </c>
    </row>
    <row r="329" spans="1:16" x14ac:dyDescent="0.3">
      <c r="A329" t="s">
        <v>2349</v>
      </c>
      <c r="B329" t="s">
        <v>2350</v>
      </c>
      <c r="C329" t="s">
        <v>2351</v>
      </c>
      <c r="D329" t="s">
        <v>36</v>
      </c>
      <c r="E329" t="s">
        <v>2352</v>
      </c>
      <c r="F329" t="s">
        <v>319</v>
      </c>
      <c r="G329">
        <v>211</v>
      </c>
      <c r="H329">
        <v>500</v>
      </c>
      <c r="I329" s="5" t="s">
        <v>2353</v>
      </c>
      <c r="J329" s="5" t="s">
        <v>2354</v>
      </c>
      <c r="K329" s="5" t="str">
        <f t="shared" si="10"/>
        <v>https://www.google.com/maps?q=-11.305464, -41.867786</v>
      </c>
      <c r="L329" s="5" t="str">
        <f t="shared" si="11"/>
        <v>Abrir no Maps</v>
      </c>
      <c r="M329" t="s">
        <v>2355</v>
      </c>
      <c r="N329" s="5"/>
      <c r="O329" t="str">
        <f>VLOOKUP(G329,'[1]CONFIG.'!$B:$C,2,0)</f>
        <v>DAIANE</v>
      </c>
      <c r="P329" t="str">
        <f>VLOOKUP(O329,'[1]CONFIG.'!$C:$D,2,0)</f>
        <v>74 99298866</v>
      </c>
    </row>
    <row r="330" spans="1:16" x14ac:dyDescent="0.3">
      <c r="A330" t="s">
        <v>2356</v>
      </c>
      <c r="B330" t="s">
        <v>2357</v>
      </c>
      <c r="C330" t="s">
        <v>2358</v>
      </c>
      <c r="D330" t="s">
        <v>36</v>
      </c>
      <c r="E330" t="s">
        <v>2359</v>
      </c>
      <c r="F330" t="s">
        <v>1793</v>
      </c>
      <c r="G330">
        <v>212</v>
      </c>
      <c r="H330">
        <v>200</v>
      </c>
      <c r="I330" s="5" t="s">
        <v>2360</v>
      </c>
      <c r="J330" s="5" t="s">
        <v>2361</v>
      </c>
      <c r="K330" s="5" t="str">
        <f t="shared" si="10"/>
        <v>https://www.google.com/maps?q=-11.278374, -41.844162</v>
      </c>
      <c r="L330" s="5" t="str">
        <f t="shared" si="11"/>
        <v>Abrir no Maps</v>
      </c>
      <c r="M330" t="s">
        <v>2362</v>
      </c>
      <c r="N330" s="5"/>
      <c r="O330" t="str">
        <f>VLOOKUP(G330,'[1]CONFIG.'!$B:$C,2,0)</f>
        <v>ANDRE</v>
      </c>
      <c r="P330" t="str">
        <f>VLOOKUP(O330,'[1]CONFIG.'!$C:$D,2,0)</f>
        <v>74 99916877</v>
      </c>
    </row>
    <row r="331" spans="1:16" x14ac:dyDescent="0.3">
      <c r="A331" t="s">
        <v>2363</v>
      </c>
      <c r="B331" t="s">
        <v>2364</v>
      </c>
      <c r="C331" t="s">
        <v>2365</v>
      </c>
      <c r="D331" t="s">
        <v>36</v>
      </c>
      <c r="E331" t="s">
        <v>2366</v>
      </c>
      <c r="F331" t="s">
        <v>77</v>
      </c>
      <c r="G331">
        <v>210</v>
      </c>
      <c r="H331">
        <v>500</v>
      </c>
      <c r="I331" s="5" t="s">
        <v>2367</v>
      </c>
      <c r="J331" s="5" t="s">
        <v>2368</v>
      </c>
      <c r="K331" s="5" t="str">
        <f t="shared" si="10"/>
        <v>https://www.google.com/maps?q=-11.298404, -41.854590</v>
      </c>
      <c r="L331" s="5" t="str">
        <f t="shared" si="11"/>
        <v>Abrir no Maps</v>
      </c>
      <c r="M331" t="s">
        <v>2369</v>
      </c>
      <c r="N331" s="5"/>
      <c r="O331" t="str">
        <f>VLOOKUP(G331,'[1]CONFIG.'!$B:$C,2,0)</f>
        <v>SILAS</v>
      </c>
      <c r="P331" t="str">
        <f>VLOOKUP(O331,'[1]CONFIG.'!$C:$D,2,0)</f>
        <v>74 98041875</v>
      </c>
    </row>
    <row r="332" spans="1:16" x14ac:dyDescent="0.3">
      <c r="A332" t="s">
        <v>2370</v>
      </c>
      <c r="B332" t="s">
        <v>2371</v>
      </c>
      <c r="C332" t="s">
        <v>2372</v>
      </c>
      <c r="D332" t="s">
        <v>36</v>
      </c>
      <c r="E332" t="s">
        <v>2373</v>
      </c>
      <c r="F332" t="s">
        <v>137</v>
      </c>
      <c r="G332">
        <v>209</v>
      </c>
      <c r="H332">
        <v>500</v>
      </c>
      <c r="I332" s="5" t="s">
        <v>2374</v>
      </c>
      <c r="J332" s="5" t="s">
        <v>2375</v>
      </c>
      <c r="K332" s="5" t="str">
        <f t="shared" si="10"/>
        <v>https://www.google.com/maps?q=-11.307937, -41.852776</v>
      </c>
      <c r="L332" s="5" t="str">
        <f t="shared" si="11"/>
        <v>Abrir no Maps</v>
      </c>
      <c r="M332" t="s">
        <v>2376</v>
      </c>
      <c r="N332" s="5"/>
      <c r="O332" t="str">
        <f>VLOOKUP(G332,'[1]CONFIG.'!$B:$C,2,0)</f>
        <v>IGOR</v>
      </c>
      <c r="P332" t="str">
        <f>VLOOKUP(O332,'[1]CONFIG.'!$C:$D,2,0)</f>
        <v>74 99590346</v>
      </c>
    </row>
    <row r="333" spans="1:16" x14ac:dyDescent="0.3">
      <c r="A333" t="s">
        <v>2377</v>
      </c>
      <c r="B333" t="s">
        <v>2378</v>
      </c>
      <c r="C333" t="s">
        <v>2379</v>
      </c>
      <c r="D333" t="s">
        <v>36</v>
      </c>
      <c r="E333" t="s">
        <v>2380</v>
      </c>
      <c r="F333" t="s">
        <v>2381</v>
      </c>
      <c r="G333">
        <v>211</v>
      </c>
      <c r="H333">
        <v>500</v>
      </c>
      <c r="I333" s="5" t="s">
        <v>2382</v>
      </c>
      <c r="J333" s="5" t="s">
        <v>2383</v>
      </c>
      <c r="K333" s="5" t="str">
        <f t="shared" si="10"/>
        <v>https://www.google.com/maps?q=-11.274544, -41.759922</v>
      </c>
      <c r="L333" s="5" t="str">
        <f t="shared" si="11"/>
        <v>Abrir no Maps</v>
      </c>
      <c r="M333" t="s">
        <v>2384</v>
      </c>
      <c r="N333" s="5"/>
      <c r="O333" t="str">
        <f>VLOOKUP(G333,'[1]CONFIG.'!$B:$C,2,0)</f>
        <v>DAIANE</v>
      </c>
      <c r="P333" t="str">
        <f>VLOOKUP(O333,'[1]CONFIG.'!$C:$D,2,0)</f>
        <v>74 99298866</v>
      </c>
    </row>
    <row r="334" spans="1:16" x14ac:dyDescent="0.3">
      <c r="A334" t="s">
        <v>2385</v>
      </c>
      <c r="B334" t="s">
        <v>2386</v>
      </c>
      <c r="C334" t="s">
        <v>2387</v>
      </c>
      <c r="D334" t="s">
        <v>36</v>
      </c>
      <c r="E334" t="s">
        <v>2388</v>
      </c>
      <c r="F334" t="s">
        <v>137</v>
      </c>
      <c r="G334">
        <v>209</v>
      </c>
      <c r="H334">
        <v>500</v>
      </c>
      <c r="I334" s="5" t="s">
        <v>2389</v>
      </c>
      <c r="J334" s="5" t="s">
        <v>2390</v>
      </c>
      <c r="K334" s="5" t="str">
        <f t="shared" si="10"/>
        <v>https://www.google.com/maps?q=-11.303448, -41.854553</v>
      </c>
      <c r="L334" s="5" t="str">
        <f t="shared" si="11"/>
        <v>Abrir no Maps</v>
      </c>
      <c r="M334">
        <v>0</v>
      </c>
      <c r="N334" s="5"/>
      <c r="O334" t="str">
        <f>VLOOKUP(G334,'[1]CONFIG.'!$B:$C,2,0)</f>
        <v>IGOR</v>
      </c>
      <c r="P334" t="str">
        <f>VLOOKUP(O334,'[1]CONFIG.'!$C:$D,2,0)</f>
        <v>74 99590346</v>
      </c>
    </row>
    <row r="335" spans="1:16" x14ac:dyDescent="0.3">
      <c r="A335" t="s">
        <v>2391</v>
      </c>
      <c r="B335" t="s">
        <v>2392</v>
      </c>
      <c r="C335" t="s">
        <v>2393</v>
      </c>
      <c r="D335" t="s">
        <v>36</v>
      </c>
      <c r="E335" t="s">
        <v>2394</v>
      </c>
      <c r="F335" t="s">
        <v>724</v>
      </c>
      <c r="G335">
        <v>207</v>
      </c>
      <c r="H335">
        <v>500</v>
      </c>
      <c r="I335" s="5" t="s">
        <v>2395</v>
      </c>
      <c r="J335" s="5" t="s">
        <v>2396</v>
      </c>
      <c r="K335" s="5" t="str">
        <f t="shared" si="10"/>
        <v>https://www.google.com/maps?q=-11.305093, -41.864540</v>
      </c>
      <c r="L335" s="5" t="str">
        <f t="shared" si="11"/>
        <v>Abrir no Maps</v>
      </c>
      <c r="M335" t="s">
        <v>2397</v>
      </c>
      <c r="N335" s="5"/>
      <c r="O335" t="str">
        <f>VLOOKUP(G335,'[1]CONFIG.'!$B:$C,2,0)</f>
        <v>HIAGO</v>
      </c>
      <c r="P335" t="str">
        <f>VLOOKUP(O335,'[1]CONFIG.'!$C:$D,2,0)</f>
        <v>74 99872571</v>
      </c>
    </row>
    <row r="336" spans="1:16" x14ac:dyDescent="0.3">
      <c r="A336" t="s">
        <v>2398</v>
      </c>
      <c r="B336" t="s">
        <v>2399</v>
      </c>
      <c r="C336" t="s">
        <v>2400</v>
      </c>
      <c r="D336" t="s">
        <v>36</v>
      </c>
      <c r="E336" t="s">
        <v>2401</v>
      </c>
      <c r="F336" t="s">
        <v>108</v>
      </c>
      <c r="G336">
        <v>207</v>
      </c>
      <c r="H336">
        <v>500</v>
      </c>
      <c r="I336" s="5" t="s">
        <v>2402</v>
      </c>
      <c r="J336" s="5" t="s">
        <v>2403</v>
      </c>
      <c r="K336" s="5" t="str">
        <f t="shared" si="10"/>
        <v>https://www.google.com/maps?q=-11.307896, -41.859726</v>
      </c>
      <c r="L336" s="5" t="str">
        <f t="shared" si="11"/>
        <v>Abrir no Maps</v>
      </c>
      <c r="M336" t="s">
        <v>2404</v>
      </c>
      <c r="N336" s="5"/>
      <c r="O336" t="str">
        <f>VLOOKUP(G336,'[1]CONFIG.'!$B:$C,2,0)</f>
        <v>HIAGO</v>
      </c>
      <c r="P336" t="str">
        <f>VLOOKUP(O336,'[1]CONFIG.'!$C:$D,2,0)</f>
        <v>74 99872571</v>
      </c>
    </row>
    <row r="337" spans="1:16" x14ac:dyDescent="0.3">
      <c r="A337" t="s">
        <v>2405</v>
      </c>
      <c r="B337" t="s">
        <v>2406</v>
      </c>
      <c r="C337" t="s">
        <v>2407</v>
      </c>
      <c r="D337" t="s">
        <v>36</v>
      </c>
      <c r="E337" t="s">
        <v>2408</v>
      </c>
      <c r="F337" t="s">
        <v>232</v>
      </c>
      <c r="G337">
        <v>211</v>
      </c>
      <c r="H337">
        <v>500</v>
      </c>
      <c r="I337" s="5" t="s">
        <v>2409</v>
      </c>
      <c r="J337" s="5" t="s">
        <v>2410</v>
      </c>
      <c r="K337" s="5" t="str">
        <f t="shared" si="10"/>
        <v>https://www.google.com/maps?q=-11.294316, -41.819210</v>
      </c>
      <c r="L337" s="5" t="str">
        <f t="shared" si="11"/>
        <v>Abrir no Maps</v>
      </c>
      <c r="M337" t="s">
        <v>2411</v>
      </c>
      <c r="N337" s="5"/>
      <c r="O337" t="str">
        <f>VLOOKUP(G337,'[1]CONFIG.'!$B:$C,2,0)</f>
        <v>DAIANE</v>
      </c>
      <c r="P337" t="str">
        <f>VLOOKUP(O337,'[1]CONFIG.'!$C:$D,2,0)</f>
        <v>74 99298866</v>
      </c>
    </row>
    <row r="338" spans="1:16" x14ac:dyDescent="0.3">
      <c r="A338" t="s">
        <v>2412</v>
      </c>
      <c r="B338" t="s">
        <v>2413</v>
      </c>
      <c r="C338" t="s">
        <v>2414</v>
      </c>
      <c r="D338" t="s">
        <v>36</v>
      </c>
      <c r="E338" t="s">
        <v>2415</v>
      </c>
      <c r="F338" t="s">
        <v>137</v>
      </c>
      <c r="G338">
        <v>210</v>
      </c>
      <c r="H338">
        <v>500</v>
      </c>
      <c r="I338" s="5" t="s">
        <v>2416</v>
      </c>
      <c r="J338" s="5" t="s">
        <v>2417</v>
      </c>
      <c r="K338" s="5" t="str">
        <f t="shared" si="10"/>
        <v>https://www.google.com/maps?q=-11.303519, -41.855343</v>
      </c>
      <c r="L338" s="5" t="str">
        <f t="shared" si="11"/>
        <v>Abrir no Maps</v>
      </c>
      <c r="M338" t="s">
        <v>2418</v>
      </c>
      <c r="N338" s="5"/>
      <c r="O338" t="str">
        <f>VLOOKUP(G338,'[1]CONFIG.'!$B:$C,2,0)</f>
        <v>SILAS</v>
      </c>
      <c r="P338" t="str">
        <f>VLOOKUP(O338,'[1]CONFIG.'!$C:$D,2,0)</f>
        <v>74 98041875</v>
      </c>
    </row>
    <row r="339" spans="1:16" x14ac:dyDescent="0.3">
      <c r="A339" t="s">
        <v>2419</v>
      </c>
      <c r="B339" t="s">
        <v>2420</v>
      </c>
      <c r="C339" t="s">
        <v>2421</v>
      </c>
      <c r="D339" t="s">
        <v>36</v>
      </c>
      <c r="E339" t="s">
        <v>2422</v>
      </c>
      <c r="F339" t="s">
        <v>137</v>
      </c>
      <c r="G339">
        <v>210</v>
      </c>
      <c r="H339">
        <v>500</v>
      </c>
      <c r="I339" s="5" t="s">
        <v>2423</v>
      </c>
      <c r="J339" s="5" t="s">
        <v>2424</v>
      </c>
      <c r="K339" s="5" t="str">
        <f t="shared" si="10"/>
        <v>https://www.google.com/maps?q=-11.303555, -41.863026</v>
      </c>
      <c r="L339" s="5" t="str">
        <f t="shared" si="11"/>
        <v>Abrir no Maps</v>
      </c>
      <c r="M339" t="s">
        <v>2425</v>
      </c>
      <c r="N339" s="5"/>
      <c r="O339" t="str">
        <f>VLOOKUP(G339,'[1]CONFIG.'!$B:$C,2,0)</f>
        <v>SILAS</v>
      </c>
      <c r="P339" t="str">
        <f>VLOOKUP(O339,'[1]CONFIG.'!$C:$D,2,0)</f>
        <v>74 98041875</v>
      </c>
    </row>
    <row r="340" spans="1:16" x14ac:dyDescent="0.3">
      <c r="A340" t="s">
        <v>2426</v>
      </c>
      <c r="B340" t="s">
        <v>2427</v>
      </c>
      <c r="C340" t="s">
        <v>2428</v>
      </c>
      <c r="D340" t="s">
        <v>36</v>
      </c>
      <c r="E340" t="s">
        <v>2429</v>
      </c>
      <c r="F340" t="s">
        <v>853</v>
      </c>
      <c r="G340">
        <v>210</v>
      </c>
      <c r="H340">
        <v>500</v>
      </c>
      <c r="I340" s="5" t="s">
        <v>2430</v>
      </c>
      <c r="J340" s="5" t="s">
        <v>2431</v>
      </c>
      <c r="K340" s="5" t="str">
        <f t="shared" si="10"/>
        <v>https://www.google.com/maps?q=-11.308383, -41.852997</v>
      </c>
      <c r="L340" s="5" t="str">
        <f t="shared" si="11"/>
        <v>Abrir no Maps</v>
      </c>
      <c r="M340" t="s">
        <v>2432</v>
      </c>
      <c r="N340" s="5"/>
      <c r="O340" t="str">
        <f>VLOOKUP(G340,'[1]CONFIG.'!$B:$C,2,0)</f>
        <v>SILAS</v>
      </c>
      <c r="P340" t="str">
        <f>VLOOKUP(O340,'[1]CONFIG.'!$C:$D,2,0)</f>
        <v>74 98041875</v>
      </c>
    </row>
    <row r="341" spans="1:16" x14ac:dyDescent="0.3">
      <c r="A341" t="s">
        <v>2433</v>
      </c>
      <c r="B341" t="s">
        <v>2434</v>
      </c>
      <c r="C341" t="s">
        <v>2435</v>
      </c>
      <c r="D341" t="s">
        <v>36</v>
      </c>
      <c r="E341" t="s">
        <v>2436</v>
      </c>
      <c r="F341" t="s">
        <v>853</v>
      </c>
      <c r="G341">
        <v>212</v>
      </c>
      <c r="H341">
        <v>200</v>
      </c>
      <c r="I341" s="5" t="s">
        <v>2437</v>
      </c>
      <c r="J341" s="5" t="s">
        <v>2438</v>
      </c>
      <c r="K341" s="5" t="str">
        <f t="shared" si="10"/>
        <v>https://www.google.com/maps?q=-11.309360, -41.850117</v>
      </c>
      <c r="L341" s="5" t="str">
        <f t="shared" si="11"/>
        <v>Abrir no Maps</v>
      </c>
      <c r="M341" t="s">
        <v>2439</v>
      </c>
      <c r="N341" s="5"/>
      <c r="O341" t="str">
        <f>VLOOKUP(G341,'[1]CONFIG.'!$B:$C,2,0)</f>
        <v>ANDRE</v>
      </c>
      <c r="P341" t="str">
        <f>VLOOKUP(O341,'[1]CONFIG.'!$C:$D,2,0)</f>
        <v>74 99916877</v>
      </c>
    </row>
    <row r="342" spans="1:16" x14ac:dyDescent="0.3">
      <c r="A342" t="s">
        <v>2440</v>
      </c>
      <c r="B342" t="s">
        <v>2441</v>
      </c>
      <c r="C342" t="s">
        <v>2442</v>
      </c>
      <c r="D342" t="s">
        <v>36</v>
      </c>
      <c r="E342" t="s">
        <v>2443</v>
      </c>
      <c r="F342" t="s">
        <v>342</v>
      </c>
      <c r="G342">
        <v>207</v>
      </c>
      <c r="H342">
        <v>500</v>
      </c>
      <c r="I342" s="5" t="s">
        <v>2444</v>
      </c>
      <c r="J342" s="5" t="s">
        <v>2445</v>
      </c>
      <c r="K342" s="5" t="str">
        <f t="shared" si="10"/>
        <v>https://www.google.com/maps?q=-11.317467, -41.858093</v>
      </c>
      <c r="L342" s="5" t="str">
        <f t="shared" si="11"/>
        <v>Abrir no Maps</v>
      </c>
      <c r="M342" t="s">
        <v>2446</v>
      </c>
      <c r="N342" s="5"/>
      <c r="O342" t="str">
        <f>VLOOKUP(G342,'[1]CONFIG.'!$B:$C,2,0)</f>
        <v>HIAGO</v>
      </c>
      <c r="P342" t="str">
        <f>VLOOKUP(O342,'[1]CONFIG.'!$C:$D,2,0)</f>
        <v>74 99872571</v>
      </c>
    </row>
    <row r="343" spans="1:16" x14ac:dyDescent="0.3">
      <c r="A343" t="s">
        <v>2447</v>
      </c>
      <c r="B343" t="s">
        <v>2448</v>
      </c>
      <c r="C343" t="s">
        <v>2449</v>
      </c>
      <c r="D343" t="s">
        <v>36</v>
      </c>
      <c r="E343" t="s">
        <v>2450</v>
      </c>
      <c r="F343" t="s">
        <v>1212</v>
      </c>
      <c r="G343">
        <v>212</v>
      </c>
      <c r="H343">
        <v>200</v>
      </c>
      <c r="I343" s="5" t="s">
        <v>2451</v>
      </c>
      <c r="J343" s="5" t="s">
        <v>2452</v>
      </c>
      <c r="K343" s="5" t="str">
        <f t="shared" si="10"/>
        <v>https://www.google.com/maps?q=-11.302443, -41.847680</v>
      </c>
      <c r="L343" s="5" t="str">
        <f t="shared" si="11"/>
        <v>Abrir no Maps</v>
      </c>
      <c r="M343" t="s">
        <v>2453</v>
      </c>
      <c r="N343" s="5"/>
      <c r="O343" t="str">
        <f>VLOOKUP(G343,'[1]CONFIG.'!$B:$C,2,0)</f>
        <v>ANDRE</v>
      </c>
      <c r="P343" t="str">
        <f>VLOOKUP(O343,'[1]CONFIG.'!$C:$D,2,0)</f>
        <v>74 99916877</v>
      </c>
    </row>
    <row r="344" spans="1:16" x14ac:dyDescent="0.3">
      <c r="A344" t="s">
        <v>2454</v>
      </c>
      <c r="B344" t="s">
        <v>2455</v>
      </c>
      <c r="C344" t="s">
        <v>2456</v>
      </c>
      <c r="D344" t="s">
        <v>36</v>
      </c>
      <c r="E344" t="s">
        <v>2457</v>
      </c>
      <c r="F344" t="s">
        <v>2458</v>
      </c>
      <c r="G344">
        <v>212</v>
      </c>
      <c r="H344">
        <v>200</v>
      </c>
      <c r="I344" s="5" t="s">
        <v>2459</v>
      </c>
      <c r="J344" s="5" t="s">
        <v>2460</v>
      </c>
      <c r="K344" s="5" t="str">
        <f t="shared" si="10"/>
        <v>https://www.google.com/maps?q=-11.312344, -41.850470</v>
      </c>
      <c r="L344" s="5" t="str">
        <f t="shared" si="11"/>
        <v>Abrir no Maps</v>
      </c>
      <c r="M344" t="s">
        <v>2461</v>
      </c>
      <c r="N344" s="5"/>
      <c r="O344" t="str">
        <f>VLOOKUP(G344,'[1]CONFIG.'!$B:$C,2,0)</f>
        <v>ANDRE</v>
      </c>
      <c r="P344" t="str">
        <f>VLOOKUP(O344,'[1]CONFIG.'!$C:$D,2,0)</f>
        <v>74 99916877</v>
      </c>
    </row>
    <row r="345" spans="1:16" x14ac:dyDescent="0.3">
      <c r="A345" t="s">
        <v>2462</v>
      </c>
      <c r="B345" t="s">
        <v>2463</v>
      </c>
      <c r="C345" t="s">
        <v>2464</v>
      </c>
      <c r="D345" t="s">
        <v>36</v>
      </c>
      <c r="E345" t="s">
        <v>2465</v>
      </c>
      <c r="F345" t="s">
        <v>327</v>
      </c>
      <c r="G345">
        <v>212</v>
      </c>
      <c r="H345">
        <v>200</v>
      </c>
      <c r="I345" s="5" t="s">
        <v>2466</v>
      </c>
      <c r="J345" s="5" t="s">
        <v>2467</v>
      </c>
      <c r="K345" s="5" t="str">
        <f t="shared" si="10"/>
        <v>https://www.google.com/maps?q=-11.300836, -41.842360</v>
      </c>
      <c r="L345" s="5" t="str">
        <f t="shared" si="11"/>
        <v>Abrir no Maps</v>
      </c>
      <c r="M345" t="s">
        <v>2468</v>
      </c>
      <c r="N345" s="5"/>
      <c r="O345" t="str">
        <f>VLOOKUP(G345,'[1]CONFIG.'!$B:$C,2,0)</f>
        <v>ANDRE</v>
      </c>
      <c r="P345" t="str">
        <f>VLOOKUP(O345,'[1]CONFIG.'!$C:$D,2,0)</f>
        <v>74 99916877</v>
      </c>
    </row>
    <row r="346" spans="1:16" x14ac:dyDescent="0.3">
      <c r="A346" t="s">
        <v>2469</v>
      </c>
      <c r="B346" t="s">
        <v>2470</v>
      </c>
      <c r="C346" t="s">
        <v>2471</v>
      </c>
      <c r="D346" t="s">
        <v>36</v>
      </c>
      <c r="E346" t="s">
        <v>2472</v>
      </c>
      <c r="F346" t="s">
        <v>988</v>
      </c>
      <c r="G346">
        <v>212</v>
      </c>
      <c r="H346">
        <v>200</v>
      </c>
      <c r="I346" s="5" t="s">
        <v>2473</v>
      </c>
      <c r="J346" s="5" t="s">
        <v>2474</v>
      </c>
      <c r="K346" s="5" t="str">
        <f t="shared" si="10"/>
        <v>https://www.google.com/maps?q=-11.304093, -41.838436</v>
      </c>
      <c r="L346" s="5" t="str">
        <f t="shared" si="11"/>
        <v>Abrir no Maps</v>
      </c>
      <c r="M346" t="s">
        <v>2475</v>
      </c>
      <c r="N346" s="5"/>
      <c r="O346" t="str">
        <f>VLOOKUP(G346,'[1]CONFIG.'!$B:$C,2,0)</f>
        <v>ANDRE</v>
      </c>
      <c r="P346" t="str">
        <f>VLOOKUP(O346,'[1]CONFIG.'!$C:$D,2,0)</f>
        <v>74 99916877</v>
      </c>
    </row>
    <row r="347" spans="1:16" x14ac:dyDescent="0.3">
      <c r="A347" t="s">
        <v>2476</v>
      </c>
      <c r="B347" t="s">
        <v>2477</v>
      </c>
      <c r="C347" t="s">
        <v>2478</v>
      </c>
      <c r="D347" t="s">
        <v>36</v>
      </c>
      <c r="E347" t="s">
        <v>2479</v>
      </c>
      <c r="F347" t="s">
        <v>724</v>
      </c>
      <c r="G347">
        <v>211</v>
      </c>
      <c r="H347">
        <v>500</v>
      </c>
      <c r="I347" s="5" t="s">
        <v>2480</v>
      </c>
      <c r="J347" s="5" t="s">
        <v>2481</v>
      </c>
      <c r="K347" s="5" t="str">
        <f t="shared" si="10"/>
        <v>https://www.google.com/maps?q=-11.305986, -41.865800</v>
      </c>
      <c r="L347" s="5" t="str">
        <f t="shared" si="11"/>
        <v>Abrir no Maps</v>
      </c>
      <c r="M347" t="s">
        <v>2482</v>
      </c>
      <c r="N347" s="5"/>
      <c r="O347" t="str">
        <f>VLOOKUP(G347,'[1]CONFIG.'!$B:$C,2,0)</f>
        <v>DAIANE</v>
      </c>
      <c r="P347" t="str">
        <f>VLOOKUP(O347,'[1]CONFIG.'!$C:$D,2,0)</f>
        <v>74 99298866</v>
      </c>
    </row>
    <row r="348" spans="1:16" x14ac:dyDescent="0.3">
      <c r="A348" t="s">
        <v>2483</v>
      </c>
      <c r="B348" t="s">
        <v>2484</v>
      </c>
      <c r="C348" t="s">
        <v>2485</v>
      </c>
      <c r="D348" t="s">
        <v>36</v>
      </c>
      <c r="E348" t="s">
        <v>2486</v>
      </c>
      <c r="F348" t="s">
        <v>137</v>
      </c>
      <c r="G348">
        <v>212</v>
      </c>
      <c r="H348">
        <v>200</v>
      </c>
      <c r="I348" s="5" t="s">
        <v>2487</v>
      </c>
      <c r="J348" s="5" t="s">
        <v>2488</v>
      </c>
      <c r="K348" s="5" t="str">
        <f t="shared" si="10"/>
        <v>https://www.google.com/maps?q=-11.303303, -41.852367</v>
      </c>
      <c r="L348" s="5" t="str">
        <f t="shared" si="11"/>
        <v>Abrir no Maps</v>
      </c>
      <c r="M348" t="s">
        <v>2489</v>
      </c>
      <c r="N348" s="5"/>
      <c r="O348" t="str">
        <f>VLOOKUP(G348,'[1]CONFIG.'!$B:$C,2,0)</f>
        <v>ANDRE</v>
      </c>
      <c r="P348" t="str">
        <f>VLOOKUP(O348,'[1]CONFIG.'!$C:$D,2,0)</f>
        <v>74 99916877</v>
      </c>
    </row>
    <row r="349" spans="1:16" x14ac:dyDescent="0.3">
      <c r="A349" t="s">
        <v>2490</v>
      </c>
      <c r="B349" t="s">
        <v>2491</v>
      </c>
      <c r="C349" t="s">
        <v>2492</v>
      </c>
      <c r="D349" t="s">
        <v>36</v>
      </c>
      <c r="E349" t="s">
        <v>2493</v>
      </c>
      <c r="F349" t="s">
        <v>853</v>
      </c>
      <c r="G349">
        <v>210</v>
      </c>
      <c r="H349">
        <v>500</v>
      </c>
      <c r="I349" s="5" t="s">
        <v>2494</v>
      </c>
      <c r="J349" s="5" t="s">
        <v>2495</v>
      </c>
      <c r="K349" s="5" t="str">
        <f t="shared" si="10"/>
        <v>https://www.google.com/maps?q=-11.305622, -41.850967</v>
      </c>
      <c r="L349" s="5" t="str">
        <f t="shared" si="11"/>
        <v>Abrir no Maps</v>
      </c>
      <c r="M349" t="s">
        <v>2496</v>
      </c>
      <c r="N349" s="5"/>
      <c r="O349" t="str">
        <f>VLOOKUP(G349,'[1]CONFIG.'!$B:$C,2,0)</f>
        <v>SILAS</v>
      </c>
      <c r="P349" t="str">
        <f>VLOOKUP(O349,'[1]CONFIG.'!$C:$D,2,0)</f>
        <v>74 98041875</v>
      </c>
    </row>
    <row r="350" spans="1:16" x14ac:dyDescent="0.3">
      <c r="A350" t="s">
        <v>2497</v>
      </c>
      <c r="B350" t="s">
        <v>2498</v>
      </c>
      <c r="C350" t="s">
        <v>2499</v>
      </c>
      <c r="D350" t="s">
        <v>36</v>
      </c>
      <c r="E350" t="s">
        <v>2500</v>
      </c>
      <c r="F350" t="s">
        <v>137</v>
      </c>
      <c r="G350">
        <v>204</v>
      </c>
      <c r="H350">
        <v>500</v>
      </c>
      <c r="I350" s="5" t="s">
        <v>2501</v>
      </c>
      <c r="J350" s="5" t="s">
        <v>2502</v>
      </c>
      <c r="K350" s="5" t="str">
        <f t="shared" si="10"/>
        <v>https://www.google.com/maps?q=-11.301167, -41.854115</v>
      </c>
      <c r="L350" s="5" t="str">
        <f t="shared" si="11"/>
        <v>Abrir no Maps</v>
      </c>
      <c r="M350" t="s">
        <v>2503</v>
      </c>
      <c r="N350" s="5"/>
      <c r="O350" t="str">
        <f>VLOOKUP(G350,'[1]CONFIG.'!$B:$C,2,0)</f>
        <v>EVA</v>
      </c>
      <c r="P350" t="str">
        <f>VLOOKUP(O350,'[1]CONFIG.'!$C:$D,2,0)</f>
        <v>74 98046078</v>
      </c>
    </row>
    <row r="351" spans="1:16" x14ac:dyDescent="0.3">
      <c r="A351" t="s">
        <v>2504</v>
      </c>
      <c r="B351" t="s">
        <v>2505</v>
      </c>
      <c r="C351" t="s">
        <v>2506</v>
      </c>
      <c r="D351" t="s">
        <v>36</v>
      </c>
      <c r="E351" t="s">
        <v>2507</v>
      </c>
      <c r="F351" t="s">
        <v>137</v>
      </c>
      <c r="G351">
        <v>210</v>
      </c>
      <c r="H351">
        <v>500</v>
      </c>
      <c r="I351" s="5" t="s">
        <v>2508</v>
      </c>
      <c r="J351" s="5" t="s">
        <v>2509</v>
      </c>
      <c r="K351" s="5" t="str">
        <f t="shared" si="10"/>
        <v>https://www.google.com/maps?q=-11.302208, -41.848560</v>
      </c>
      <c r="L351" s="5" t="str">
        <f t="shared" si="11"/>
        <v>Abrir no Maps</v>
      </c>
      <c r="M351" t="s">
        <v>2510</v>
      </c>
      <c r="N351" s="5"/>
      <c r="O351" t="str">
        <f>VLOOKUP(G351,'[1]CONFIG.'!$B:$C,2,0)</f>
        <v>SILAS</v>
      </c>
      <c r="P351" t="str">
        <f>VLOOKUP(O351,'[1]CONFIG.'!$C:$D,2,0)</f>
        <v>74 98041875</v>
      </c>
    </row>
    <row r="352" spans="1:16" x14ac:dyDescent="0.3">
      <c r="A352" t="s">
        <v>2511</v>
      </c>
      <c r="B352" t="s">
        <v>2512</v>
      </c>
      <c r="C352" t="s">
        <v>2513</v>
      </c>
      <c r="D352" t="s">
        <v>36</v>
      </c>
      <c r="E352" t="s">
        <v>2514</v>
      </c>
      <c r="F352" t="s">
        <v>2515</v>
      </c>
      <c r="G352">
        <v>210</v>
      </c>
      <c r="H352">
        <v>500</v>
      </c>
      <c r="I352" s="5" t="s">
        <v>2516</v>
      </c>
      <c r="J352" s="5" t="s">
        <v>2517</v>
      </c>
      <c r="K352" s="5" t="str">
        <f t="shared" si="10"/>
        <v>https://www.google.com/maps?q=-11.308308, -41.878986</v>
      </c>
      <c r="L352" s="5" t="str">
        <f t="shared" si="11"/>
        <v>Abrir no Maps</v>
      </c>
      <c r="M352" t="s">
        <v>2518</v>
      </c>
      <c r="N352" s="5"/>
      <c r="O352" t="str">
        <f>VLOOKUP(G352,'[1]CONFIG.'!$B:$C,2,0)</f>
        <v>SILAS</v>
      </c>
      <c r="P352" t="str">
        <f>VLOOKUP(O352,'[1]CONFIG.'!$C:$D,2,0)</f>
        <v>74 98041875</v>
      </c>
    </row>
    <row r="353" spans="1:16" x14ac:dyDescent="0.3">
      <c r="A353" t="s">
        <v>2519</v>
      </c>
      <c r="B353" t="s">
        <v>2520</v>
      </c>
      <c r="C353" t="s">
        <v>2521</v>
      </c>
      <c r="D353" t="s">
        <v>36</v>
      </c>
      <c r="E353" t="s">
        <v>2522</v>
      </c>
      <c r="F353" t="s">
        <v>108</v>
      </c>
      <c r="G353">
        <v>207</v>
      </c>
      <c r="H353">
        <v>500</v>
      </c>
      <c r="I353" s="5" t="s">
        <v>2523</v>
      </c>
      <c r="J353" s="5" t="s">
        <v>2524</v>
      </c>
      <c r="K353" s="5" t="str">
        <f t="shared" si="10"/>
        <v>https://www.google.com/maps?q=-11.310373, -41.858326</v>
      </c>
      <c r="L353" s="5" t="str">
        <f t="shared" si="11"/>
        <v>Abrir no Maps</v>
      </c>
      <c r="M353" t="s">
        <v>2525</v>
      </c>
      <c r="N353" s="5"/>
      <c r="O353" t="str">
        <f>VLOOKUP(G353,'[1]CONFIG.'!$B:$C,2,0)</f>
        <v>HIAGO</v>
      </c>
      <c r="P353" t="str">
        <f>VLOOKUP(O353,'[1]CONFIG.'!$C:$D,2,0)</f>
        <v>74 99872571</v>
      </c>
    </row>
    <row r="354" spans="1:16" x14ac:dyDescent="0.3">
      <c r="A354" t="s">
        <v>2526</v>
      </c>
      <c r="B354" t="s">
        <v>2527</v>
      </c>
      <c r="C354" t="s">
        <v>2528</v>
      </c>
      <c r="D354" t="s">
        <v>36</v>
      </c>
      <c r="E354" t="s">
        <v>2529</v>
      </c>
      <c r="F354" t="s">
        <v>358</v>
      </c>
      <c r="G354">
        <v>211</v>
      </c>
      <c r="H354">
        <v>500</v>
      </c>
      <c r="I354" s="5" t="s">
        <v>2530</v>
      </c>
      <c r="J354" s="5" t="s">
        <v>2531</v>
      </c>
      <c r="K354" s="5" t="str">
        <f t="shared" si="10"/>
        <v>https://www.google.com/maps?q=-11.304463, -41.874912</v>
      </c>
      <c r="L354" s="5" t="str">
        <f t="shared" si="11"/>
        <v>Abrir no Maps</v>
      </c>
      <c r="M354" t="s">
        <v>2532</v>
      </c>
      <c r="N354" s="5"/>
      <c r="O354" t="str">
        <f>VLOOKUP(G354,'[1]CONFIG.'!$B:$C,2,0)</f>
        <v>DAIANE</v>
      </c>
      <c r="P354" t="str">
        <f>VLOOKUP(O354,'[1]CONFIG.'!$C:$D,2,0)</f>
        <v>74 99298866</v>
      </c>
    </row>
    <row r="355" spans="1:16" x14ac:dyDescent="0.3">
      <c r="A355" t="s">
        <v>2533</v>
      </c>
      <c r="B355" t="s">
        <v>2534</v>
      </c>
      <c r="C355" t="s">
        <v>2535</v>
      </c>
      <c r="D355" t="s">
        <v>36</v>
      </c>
      <c r="E355" t="s">
        <v>2536</v>
      </c>
      <c r="F355" t="s">
        <v>724</v>
      </c>
      <c r="G355">
        <v>207</v>
      </c>
      <c r="H355">
        <v>500</v>
      </c>
      <c r="I355" s="5" t="s">
        <v>2537</v>
      </c>
      <c r="J355" s="5" t="s">
        <v>2538</v>
      </c>
      <c r="K355" s="5" t="str">
        <f t="shared" si="10"/>
        <v>https://www.google.com/maps?q=-11.309648, -41.864300</v>
      </c>
      <c r="L355" s="5" t="str">
        <f t="shared" si="11"/>
        <v>Abrir no Maps</v>
      </c>
      <c r="M355" t="s">
        <v>2539</v>
      </c>
      <c r="N355" s="5"/>
      <c r="O355" t="str">
        <f>VLOOKUP(G355,'[1]CONFIG.'!$B:$C,2,0)</f>
        <v>HIAGO</v>
      </c>
      <c r="P355" t="str">
        <f>VLOOKUP(O355,'[1]CONFIG.'!$C:$D,2,0)</f>
        <v>74 99872571</v>
      </c>
    </row>
    <row r="356" spans="1:16" x14ac:dyDescent="0.3">
      <c r="A356" t="s">
        <v>2540</v>
      </c>
      <c r="B356" t="s">
        <v>2541</v>
      </c>
      <c r="C356" t="s">
        <v>2542</v>
      </c>
      <c r="D356" t="s">
        <v>36</v>
      </c>
      <c r="E356" t="s">
        <v>2543</v>
      </c>
      <c r="F356" t="s">
        <v>853</v>
      </c>
      <c r="G356">
        <v>209</v>
      </c>
      <c r="H356">
        <v>500</v>
      </c>
      <c r="I356" s="5" t="s">
        <v>2544</v>
      </c>
      <c r="J356" s="5" t="s">
        <v>783</v>
      </c>
      <c r="K356" s="5" t="str">
        <f t="shared" si="10"/>
        <v>https://www.google.com/maps?q=-11.310826, -41.850178</v>
      </c>
      <c r="L356" s="5" t="str">
        <f t="shared" si="11"/>
        <v>Abrir no Maps</v>
      </c>
      <c r="M356" t="s">
        <v>2545</v>
      </c>
      <c r="N356" s="5"/>
      <c r="O356" t="str">
        <f>VLOOKUP(G356,'[1]CONFIG.'!$B:$C,2,0)</f>
        <v>IGOR</v>
      </c>
      <c r="P356" t="str">
        <f>VLOOKUP(O356,'[1]CONFIG.'!$C:$D,2,0)</f>
        <v>74 99590346</v>
      </c>
    </row>
    <row r="357" spans="1:16" x14ac:dyDescent="0.3">
      <c r="A357" t="s">
        <v>2546</v>
      </c>
      <c r="B357" t="s">
        <v>2547</v>
      </c>
      <c r="C357" t="s">
        <v>2548</v>
      </c>
      <c r="D357" t="s">
        <v>36</v>
      </c>
      <c r="E357" t="s">
        <v>2549</v>
      </c>
      <c r="F357" t="s">
        <v>2458</v>
      </c>
      <c r="G357">
        <v>203</v>
      </c>
      <c r="H357">
        <v>200</v>
      </c>
      <c r="I357" s="5" t="s">
        <v>2550</v>
      </c>
      <c r="J357" s="5" t="s">
        <v>2551</v>
      </c>
      <c r="K357" s="5" t="str">
        <f t="shared" si="10"/>
        <v>https://www.google.com/maps?q=-11.307970, -41.854190</v>
      </c>
      <c r="L357" s="5" t="str">
        <f t="shared" si="11"/>
        <v>Abrir no Maps</v>
      </c>
      <c r="M357" t="s">
        <v>2552</v>
      </c>
      <c r="N357" s="5"/>
      <c r="O357" t="str">
        <f>VLOOKUP(G357,'[1]CONFIG.'!$B:$C,2,0)</f>
        <v>ALEXANDRE</v>
      </c>
      <c r="P357" t="str">
        <f>VLOOKUP(O357,'[1]CONFIG.'!$C:$D,2,0)</f>
        <v>74 99653478</v>
      </c>
    </row>
    <row r="358" spans="1:16" x14ac:dyDescent="0.3">
      <c r="A358" t="s">
        <v>2553</v>
      </c>
      <c r="B358" t="s">
        <v>2554</v>
      </c>
      <c r="C358" t="s">
        <v>2555</v>
      </c>
      <c r="D358" t="s">
        <v>36</v>
      </c>
      <c r="E358" t="s">
        <v>2556</v>
      </c>
      <c r="F358" t="s">
        <v>217</v>
      </c>
      <c r="G358">
        <v>212</v>
      </c>
      <c r="H358">
        <v>200</v>
      </c>
      <c r="I358" s="5" t="s">
        <v>2557</v>
      </c>
      <c r="J358" s="5" t="s">
        <v>2558</v>
      </c>
      <c r="K358" s="5" t="str">
        <f t="shared" si="10"/>
        <v>https://www.google.com/maps?q=-11.304731, -41.847576</v>
      </c>
      <c r="L358" s="5" t="str">
        <f t="shared" si="11"/>
        <v>Abrir no Maps</v>
      </c>
      <c r="M358" t="s">
        <v>2559</v>
      </c>
      <c r="N358" s="5"/>
      <c r="O358" t="str">
        <f>VLOOKUP(G358,'[1]CONFIG.'!$B:$C,2,0)</f>
        <v>ANDRE</v>
      </c>
      <c r="P358" t="str">
        <f>VLOOKUP(O358,'[1]CONFIG.'!$C:$D,2,0)</f>
        <v>74 99916877</v>
      </c>
    </row>
    <row r="359" spans="1:16" x14ac:dyDescent="0.3">
      <c r="A359" t="s">
        <v>2560</v>
      </c>
      <c r="B359" t="s">
        <v>2561</v>
      </c>
      <c r="C359" t="s">
        <v>2562</v>
      </c>
      <c r="D359" t="s">
        <v>36</v>
      </c>
      <c r="E359" t="s">
        <v>2563</v>
      </c>
      <c r="F359" t="s">
        <v>511</v>
      </c>
      <c r="G359">
        <v>207</v>
      </c>
      <c r="H359">
        <v>500</v>
      </c>
      <c r="I359" s="5" t="s">
        <v>2564</v>
      </c>
      <c r="J359" s="5" t="s">
        <v>2565</v>
      </c>
      <c r="K359" s="5" t="str">
        <f t="shared" si="10"/>
        <v>https://www.google.com/maps?q=-11.325655, -41.869686</v>
      </c>
      <c r="L359" s="5" t="str">
        <f t="shared" si="11"/>
        <v>Abrir no Maps</v>
      </c>
      <c r="M359" t="s">
        <v>2566</v>
      </c>
      <c r="N359" s="5"/>
      <c r="O359" t="str">
        <f>VLOOKUP(G359,'[1]CONFIG.'!$B:$C,2,0)</f>
        <v>HIAGO</v>
      </c>
      <c r="P359" t="str">
        <f>VLOOKUP(O359,'[1]CONFIG.'!$C:$D,2,0)</f>
        <v>74 99872571</v>
      </c>
    </row>
    <row r="360" spans="1:16" x14ac:dyDescent="0.3">
      <c r="A360" t="s">
        <v>2567</v>
      </c>
      <c r="B360" t="s">
        <v>2568</v>
      </c>
      <c r="C360" t="s">
        <v>2569</v>
      </c>
      <c r="D360" t="s">
        <v>36</v>
      </c>
      <c r="E360" t="s">
        <v>2570</v>
      </c>
      <c r="F360" t="s">
        <v>2571</v>
      </c>
      <c r="G360">
        <v>211</v>
      </c>
      <c r="H360">
        <v>500</v>
      </c>
      <c r="I360" s="5" t="s">
        <v>2572</v>
      </c>
      <c r="J360" s="5" t="s">
        <v>2573</v>
      </c>
      <c r="K360" s="5" t="str">
        <f t="shared" si="10"/>
        <v>https://www.google.com/maps?q=-11.297602, -41.829002</v>
      </c>
      <c r="L360" s="5" t="str">
        <f t="shared" si="11"/>
        <v>Abrir no Maps</v>
      </c>
      <c r="M360" t="s">
        <v>2574</v>
      </c>
      <c r="N360" s="5"/>
      <c r="O360" t="str">
        <f>VLOOKUP(G360,'[1]CONFIG.'!$B:$C,2,0)</f>
        <v>DAIANE</v>
      </c>
      <c r="P360" t="str">
        <f>VLOOKUP(O360,'[1]CONFIG.'!$C:$D,2,0)</f>
        <v>74 99298866</v>
      </c>
    </row>
    <row r="361" spans="1:16" x14ac:dyDescent="0.3">
      <c r="A361" t="s">
        <v>2575</v>
      </c>
      <c r="B361" t="s">
        <v>2576</v>
      </c>
      <c r="C361" t="s">
        <v>2577</v>
      </c>
      <c r="D361" t="s">
        <v>36</v>
      </c>
      <c r="E361" t="s">
        <v>2578</v>
      </c>
      <c r="F361" t="s">
        <v>108</v>
      </c>
      <c r="G361">
        <v>207</v>
      </c>
      <c r="H361">
        <v>500</v>
      </c>
      <c r="I361" s="5" t="s">
        <v>2579</v>
      </c>
      <c r="J361" s="5" t="s">
        <v>2580</v>
      </c>
      <c r="K361" s="5" t="str">
        <f t="shared" si="10"/>
        <v>https://www.google.com/maps?q=-11.309783, -41.864487</v>
      </c>
      <c r="L361" s="5" t="str">
        <f t="shared" si="11"/>
        <v>Abrir no Maps</v>
      </c>
      <c r="M361" t="s">
        <v>2581</v>
      </c>
      <c r="N361" s="5"/>
      <c r="O361" t="str">
        <f>VLOOKUP(G361,'[1]CONFIG.'!$B:$C,2,0)</f>
        <v>HIAGO</v>
      </c>
      <c r="P361" t="str">
        <f>VLOOKUP(O361,'[1]CONFIG.'!$C:$D,2,0)</f>
        <v>74 99872571</v>
      </c>
    </row>
    <row r="362" spans="1:16" x14ac:dyDescent="0.3">
      <c r="A362" t="s">
        <v>2582</v>
      </c>
      <c r="B362" t="s">
        <v>2583</v>
      </c>
      <c r="C362" t="s">
        <v>2584</v>
      </c>
      <c r="D362" t="s">
        <v>36</v>
      </c>
      <c r="E362" t="s">
        <v>2585</v>
      </c>
      <c r="F362" t="s">
        <v>1212</v>
      </c>
      <c r="G362">
        <v>212</v>
      </c>
      <c r="H362">
        <v>200</v>
      </c>
      <c r="I362" s="5" t="s">
        <v>2586</v>
      </c>
      <c r="J362" s="5" t="s">
        <v>2587</v>
      </c>
      <c r="K362" s="5" t="str">
        <f t="shared" si="10"/>
        <v>https://www.google.com/maps?q=-11.300674, -41.848217</v>
      </c>
      <c r="L362" s="5" t="str">
        <f t="shared" si="11"/>
        <v>Abrir no Maps</v>
      </c>
      <c r="M362" t="s">
        <v>2588</v>
      </c>
      <c r="N362" s="5"/>
      <c r="O362" t="str">
        <f>VLOOKUP(G362,'[1]CONFIG.'!$B:$C,2,0)</f>
        <v>ANDRE</v>
      </c>
      <c r="P362" t="str">
        <f>VLOOKUP(O362,'[1]CONFIG.'!$C:$D,2,0)</f>
        <v>74 99916877</v>
      </c>
    </row>
    <row r="363" spans="1:16" x14ac:dyDescent="0.3">
      <c r="A363" t="s">
        <v>2589</v>
      </c>
      <c r="B363" t="s">
        <v>2590</v>
      </c>
      <c r="C363" t="s">
        <v>2591</v>
      </c>
      <c r="D363" t="s">
        <v>36</v>
      </c>
      <c r="E363" t="s">
        <v>2592</v>
      </c>
      <c r="F363" t="s">
        <v>137</v>
      </c>
      <c r="G363">
        <v>207</v>
      </c>
      <c r="H363">
        <v>500</v>
      </c>
      <c r="I363" s="5" t="s">
        <v>2593</v>
      </c>
      <c r="J363" s="5" t="s">
        <v>2594</v>
      </c>
      <c r="K363" s="5" t="str">
        <f t="shared" si="10"/>
        <v>https://www.google.com/maps?q=-11.302125, -41.867852</v>
      </c>
      <c r="L363" s="5" t="str">
        <f t="shared" si="11"/>
        <v>Abrir no Maps</v>
      </c>
      <c r="M363" t="s">
        <v>1679</v>
      </c>
      <c r="N363" s="5"/>
      <c r="O363" t="str">
        <f>VLOOKUP(G363,'[1]CONFIG.'!$B:$C,2,0)</f>
        <v>HIAGO</v>
      </c>
      <c r="P363" t="str">
        <f>VLOOKUP(O363,'[1]CONFIG.'!$C:$D,2,0)</f>
        <v>74 99872571</v>
      </c>
    </row>
    <row r="364" spans="1:16" x14ac:dyDescent="0.3">
      <c r="A364" t="s">
        <v>2595</v>
      </c>
      <c r="B364" t="s">
        <v>2596</v>
      </c>
      <c r="C364" t="s">
        <v>2597</v>
      </c>
      <c r="D364" t="s">
        <v>36</v>
      </c>
      <c r="E364" t="s">
        <v>2598</v>
      </c>
      <c r="F364" t="s">
        <v>2599</v>
      </c>
      <c r="G364">
        <v>212</v>
      </c>
      <c r="H364">
        <v>200</v>
      </c>
      <c r="I364" s="5" t="s">
        <v>2600</v>
      </c>
      <c r="J364" s="5" t="s">
        <v>2601</v>
      </c>
      <c r="K364" s="5" t="str">
        <f t="shared" si="10"/>
        <v>https://www.google.com/maps?q=-11.283963, -41.846165</v>
      </c>
      <c r="L364" s="5" t="str">
        <f t="shared" si="11"/>
        <v>Abrir no Maps</v>
      </c>
      <c r="M364" t="s">
        <v>2602</v>
      </c>
      <c r="N364" s="5"/>
      <c r="O364" t="str">
        <f>VLOOKUP(G364,'[1]CONFIG.'!$B:$C,2,0)</f>
        <v>ANDRE</v>
      </c>
      <c r="P364" t="str">
        <f>VLOOKUP(O364,'[1]CONFIG.'!$C:$D,2,0)</f>
        <v>74 99916877</v>
      </c>
    </row>
    <row r="365" spans="1:16" x14ac:dyDescent="0.3">
      <c r="A365" t="s">
        <v>2603</v>
      </c>
      <c r="B365" t="s">
        <v>2604</v>
      </c>
      <c r="C365" t="s">
        <v>2605</v>
      </c>
      <c r="D365" t="s">
        <v>36</v>
      </c>
      <c r="E365" t="s">
        <v>2606</v>
      </c>
      <c r="F365" t="s">
        <v>395</v>
      </c>
      <c r="G365">
        <v>211</v>
      </c>
      <c r="H365">
        <v>500</v>
      </c>
      <c r="I365" s="5" t="s">
        <v>2607</v>
      </c>
      <c r="J365" s="5" t="s">
        <v>2608</v>
      </c>
      <c r="K365" s="5" t="str">
        <f t="shared" si="10"/>
        <v>https://www.google.com/maps?q=-11.311511, -41.874371</v>
      </c>
      <c r="L365" s="5" t="str">
        <f t="shared" si="11"/>
        <v>Abrir no Maps</v>
      </c>
      <c r="M365" t="s">
        <v>2609</v>
      </c>
      <c r="N365" s="5"/>
      <c r="O365" t="str">
        <f>VLOOKUP(G365,'[1]CONFIG.'!$B:$C,2,0)</f>
        <v>DAIANE</v>
      </c>
      <c r="P365" t="str">
        <f>VLOOKUP(O365,'[1]CONFIG.'!$C:$D,2,0)</f>
        <v>74 99298866</v>
      </c>
    </row>
    <row r="366" spans="1:16" x14ac:dyDescent="0.3">
      <c r="A366" t="s">
        <v>2610</v>
      </c>
      <c r="B366" t="s">
        <v>2611</v>
      </c>
      <c r="C366" t="s">
        <v>2612</v>
      </c>
      <c r="D366" t="s">
        <v>36</v>
      </c>
      <c r="E366" t="s">
        <v>2613</v>
      </c>
      <c r="F366" t="s">
        <v>217</v>
      </c>
      <c r="G366">
        <v>212</v>
      </c>
      <c r="H366">
        <v>200</v>
      </c>
      <c r="I366" s="5" t="s">
        <v>2614</v>
      </c>
      <c r="J366" s="5" t="s">
        <v>2615</v>
      </c>
      <c r="K366" s="5" t="str">
        <f t="shared" si="10"/>
        <v>https://www.google.com/maps?q=-11.302378, -41.847481</v>
      </c>
      <c r="L366" s="5" t="str">
        <f t="shared" si="11"/>
        <v>Abrir no Maps</v>
      </c>
      <c r="M366" t="s">
        <v>2616</v>
      </c>
      <c r="N366" s="5"/>
      <c r="O366" t="str">
        <f>VLOOKUP(G366,'[1]CONFIG.'!$B:$C,2,0)</f>
        <v>ANDRE</v>
      </c>
      <c r="P366" t="str">
        <f>VLOOKUP(O366,'[1]CONFIG.'!$C:$D,2,0)</f>
        <v>74 99916877</v>
      </c>
    </row>
    <row r="367" spans="1:16" x14ac:dyDescent="0.3">
      <c r="A367" t="s">
        <v>2617</v>
      </c>
      <c r="B367" t="s">
        <v>2618</v>
      </c>
      <c r="C367" t="s">
        <v>2619</v>
      </c>
      <c r="D367" t="s">
        <v>36</v>
      </c>
      <c r="E367" t="s">
        <v>2620</v>
      </c>
      <c r="F367" t="s">
        <v>137</v>
      </c>
      <c r="G367">
        <v>212</v>
      </c>
      <c r="H367">
        <v>200</v>
      </c>
      <c r="I367" s="5" t="s">
        <v>2621</v>
      </c>
      <c r="J367" s="5" t="s">
        <v>2622</v>
      </c>
      <c r="K367" s="5" t="str">
        <f t="shared" si="10"/>
        <v>https://www.google.com/maps?q=-11.290739, -41.849573</v>
      </c>
      <c r="L367" s="5" t="str">
        <f t="shared" si="11"/>
        <v>Abrir no Maps</v>
      </c>
      <c r="M367" t="s">
        <v>455</v>
      </c>
      <c r="N367" s="5"/>
      <c r="O367" t="str">
        <f>VLOOKUP(G367,'[1]CONFIG.'!$B:$C,2,0)</f>
        <v>ANDRE</v>
      </c>
      <c r="P367" t="str">
        <f>VLOOKUP(O367,'[1]CONFIG.'!$C:$D,2,0)</f>
        <v>74 99916877</v>
      </c>
    </row>
    <row r="368" spans="1:16" x14ac:dyDescent="0.3">
      <c r="A368" t="s">
        <v>2623</v>
      </c>
      <c r="B368" t="s">
        <v>2624</v>
      </c>
      <c r="C368" t="s">
        <v>2625</v>
      </c>
      <c r="D368" t="s">
        <v>36</v>
      </c>
      <c r="E368" t="s">
        <v>2626</v>
      </c>
      <c r="F368" t="s">
        <v>395</v>
      </c>
      <c r="G368">
        <v>211</v>
      </c>
      <c r="H368">
        <v>500</v>
      </c>
      <c r="I368" s="5" t="s">
        <v>2627</v>
      </c>
      <c r="J368" s="5" t="s">
        <v>2628</v>
      </c>
      <c r="K368" s="5" t="str">
        <f t="shared" si="10"/>
        <v>https://www.google.com/maps?q=-11.311615, -41.873520</v>
      </c>
      <c r="L368" s="5" t="str">
        <f t="shared" si="11"/>
        <v>Abrir no Maps</v>
      </c>
      <c r="M368" t="s">
        <v>2629</v>
      </c>
      <c r="N368" s="5"/>
      <c r="O368" t="str">
        <f>VLOOKUP(G368,'[1]CONFIG.'!$B:$C,2,0)</f>
        <v>DAIANE</v>
      </c>
      <c r="P368" t="str">
        <f>VLOOKUP(O368,'[1]CONFIG.'!$C:$D,2,0)</f>
        <v>74 99298866</v>
      </c>
    </row>
    <row r="369" spans="1:16" x14ac:dyDescent="0.3">
      <c r="A369" t="s">
        <v>2630</v>
      </c>
      <c r="B369" t="s">
        <v>2631</v>
      </c>
      <c r="C369" t="s">
        <v>2632</v>
      </c>
      <c r="D369" t="s">
        <v>36</v>
      </c>
      <c r="E369" t="s">
        <v>2633</v>
      </c>
      <c r="F369" t="s">
        <v>62</v>
      </c>
      <c r="G369">
        <v>211</v>
      </c>
      <c r="H369">
        <v>500</v>
      </c>
      <c r="I369" s="5" t="s">
        <v>2634</v>
      </c>
      <c r="J369" s="5" t="s">
        <v>2635</v>
      </c>
      <c r="K369" s="5" t="str">
        <f t="shared" si="10"/>
        <v>https://www.google.com/maps?q=-11.291115, -41.853200</v>
      </c>
      <c r="L369" s="5" t="str">
        <f t="shared" si="11"/>
        <v>Abrir no Maps</v>
      </c>
      <c r="M369" t="s">
        <v>2636</v>
      </c>
      <c r="N369" s="5"/>
      <c r="O369" t="str">
        <f>VLOOKUP(G369,'[1]CONFIG.'!$B:$C,2,0)</f>
        <v>DAIANE</v>
      </c>
      <c r="P369" t="str">
        <f>VLOOKUP(O369,'[1]CONFIG.'!$C:$D,2,0)</f>
        <v>74 99298866</v>
      </c>
    </row>
    <row r="370" spans="1:16" x14ac:dyDescent="0.3">
      <c r="A370" t="s">
        <v>2637</v>
      </c>
      <c r="B370" t="s">
        <v>2638</v>
      </c>
      <c r="C370" t="s">
        <v>2639</v>
      </c>
      <c r="D370" t="s">
        <v>36</v>
      </c>
      <c r="E370" t="s">
        <v>2640</v>
      </c>
      <c r="F370" t="s">
        <v>342</v>
      </c>
      <c r="G370">
        <v>209</v>
      </c>
      <c r="H370">
        <v>500</v>
      </c>
      <c r="I370" s="5" t="s">
        <v>2641</v>
      </c>
      <c r="J370" s="5" t="s">
        <v>2642</v>
      </c>
      <c r="K370" s="5" t="str">
        <f t="shared" si="10"/>
        <v>https://www.google.com/maps?q=-11.310004, -41.852284</v>
      </c>
      <c r="L370" s="5" t="str">
        <f t="shared" si="11"/>
        <v>Abrir no Maps</v>
      </c>
      <c r="M370" t="s">
        <v>2643</v>
      </c>
      <c r="N370" s="5"/>
      <c r="O370" t="str">
        <f>VLOOKUP(G370,'[1]CONFIG.'!$B:$C,2,0)</f>
        <v>IGOR</v>
      </c>
      <c r="P370" t="str">
        <f>VLOOKUP(O370,'[1]CONFIG.'!$C:$D,2,0)</f>
        <v>74 99590346</v>
      </c>
    </row>
    <row r="371" spans="1:16" x14ac:dyDescent="0.3">
      <c r="A371" t="s">
        <v>2644</v>
      </c>
      <c r="B371" t="s">
        <v>2645</v>
      </c>
      <c r="C371" t="s">
        <v>2646</v>
      </c>
      <c r="D371" t="s">
        <v>36</v>
      </c>
      <c r="E371" t="s">
        <v>2647</v>
      </c>
      <c r="F371" t="s">
        <v>137</v>
      </c>
      <c r="G371">
        <v>209</v>
      </c>
      <c r="H371">
        <v>500</v>
      </c>
      <c r="I371" s="5" t="s">
        <v>2648</v>
      </c>
      <c r="J371" s="5" t="s">
        <v>2649</v>
      </c>
      <c r="K371" s="5" t="str">
        <f t="shared" si="10"/>
        <v>https://www.google.com/maps?q=-11.303380, -41.857416</v>
      </c>
      <c r="L371" s="5" t="str">
        <f t="shared" si="11"/>
        <v>Abrir no Maps</v>
      </c>
      <c r="M371" t="s">
        <v>2650</v>
      </c>
      <c r="N371" s="5"/>
      <c r="O371" t="str">
        <f>VLOOKUP(G371,'[1]CONFIG.'!$B:$C,2,0)</f>
        <v>IGOR</v>
      </c>
      <c r="P371" t="str">
        <f>VLOOKUP(O371,'[1]CONFIG.'!$C:$D,2,0)</f>
        <v>74 99590346</v>
      </c>
    </row>
    <row r="372" spans="1:16" x14ac:dyDescent="0.3">
      <c r="A372" t="s">
        <v>2651</v>
      </c>
      <c r="B372" t="s">
        <v>2652</v>
      </c>
      <c r="C372" t="s">
        <v>2653</v>
      </c>
      <c r="D372" t="s">
        <v>36</v>
      </c>
      <c r="E372" t="s">
        <v>2654</v>
      </c>
      <c r="F372" t="s">
        <v>137</v>
      </c>
      <c r="G372">
        <v>212</v>
      </c>
      <c r="H372">
        <v>200</v>
      </c>
      <c r="I372" s="5" t="s">
        <v>2655</v>
      </c>
      <c r="J372" s="5" t="s">
        <v>2656</v>
      </c>
      <c r="K372" s="5" t="str">
        <f t="shared" si="10"/>
        <v>https://www.google.com/maps?q=-11.303995, -41.848657</v>
      </c>
      <c r="L372" s="5" t="str">
        <f t="shared" si="11"/>
        <v>Abrir no Maps</v>
      </c>
      <c r="M372" t="s">
        <v>2657</v>
      </c>
      <c r="N372" s="5"/>
      <c r="O372" t="str">
        <f>VLOOKUP(G372,'[1]CONFIG.'!$B:$C,2,0)</f>
        <v>ANDRE</v>
      </c>
      <c r="P372" t="str">
        <f>VLOOKUP(O372,'[1]CONFIG.'!$C:$D,2,0)</f>
        <v>74 99916877</v>
      </c>
    </row>
    <row r="373" spans="1:16" x14ac:dyDescent="0.3">
      <c r="A373" t="s">
        <v>2658</v>
      </c>
      <c r="B373" t="s">
        <v>2659</v>
      </c>
      <c r="C373" t="s">
        <v>2660</v>
      </c>
      <c r="D373" t="s">
        <v>36</v>
      </c>
      <c r="E373" t="s">
        <v>2661</v>
      </c>
      <c r="F373" t="s">
        <v>137</v>
      </c>
      <c r="G373">
        <v>212</v>
      </c>
      <c r="H373">
        <v>200</v>
      </c>
      <c r="I373" s="5" t="s">
        <v>2662</v>
      </c>
      <c r="J373" s="5" t="s">
        <v>2663</v>
      </c>
      <c r="K373" s="5" t="str">
        <f t="shared" si="10"/>
        <v>https://www.google.com/maps?q=-11.304297, -41.854958</v>
      </c>
      <c r="L373" s="5" t="str">
        <f t="shared" si="11"/>
        <v>Abrir no Maps</v>
      </c>
      <c r="M373" t="s">
        <v>2664</v>
      </c>
      <c r="N373" s="5"/>
      <c r="O373" t="str">
        <f>VLOOKUP(G373,'[1]CONFIG.'!$B:$C,2,0)</f>
        <v>ANDRE</v>
      </c>
      <c r="P373" t="str">
        <f>VLOOKUP(O373,'[1]CONFIG.'!$C:$D,2,0)</f>
        <v>74 99916877</v>
      </c>
    </row>
    <row r="374" spans="1:16" x14ac:dyDescent="0.3">
      <c r="A374" t="s">
        <v>2665</v>
      </c>
      <c r="B374" t="s">
        <v>2666</v>
      </c>
      <c r="C374" t="s">
        <v>2667</v>
      </c>
      <c r="D374" t="s">
        <v>36</v>
      </c>
      <c r="E374" t="s">
        <v>2668</v>
      </c>
      <c r="F374" t="s">
        <v>137</v>
      </c>
      <c r="G374">
        <v>212</v>
      </c>
      <c r="H374">
        <v>200</v>
      </c>
      <c r="I374" s="5" t="s">
        <v>2669</v>
      </c>
      <c r="J374" s="5" t="s">
        <v>2670</v>
      </c>
      <c r="K374" s="5" t="str">
        <f t="shared" si="10"/>
        <v>https://www.google.com/maps?q=-11.302090, -41.857694</v>
      </c>
      <c r="L374" s="5" t="str">
        <f t="shared" si="11"/>
        <v>Abrir no Maps</v>
      </c>
      <c r="M374" t="s">
        <v>2671</v>
      </c>
      <c r="N374" s="5"/>
      <c r="O374" t="str">
        <f>VLOOKUP(G374,'[1]CONFIG.'!$B:$C,2,0)</f>
        <v>ANDRE</v>
      </c>
      <c r="P374" t="str">
        <f>VLOOKUP(O374,'[1]CONFIG.'!$C:$D,2,0)</f>
        <v>74 99916877</v>
      </c>
    </row>
    <row r="375" spans="1:16" x14ac:dyDescent="0.3">
      <c r="A375" t="s">
        <v>2672</v>
      </c>
      <c r="B375" t="s">
        <v>2673</v>
      </c>
      <c r="C375" t="s">
        <v>2674</v>
      </c>
      <c r="D375" t="s">
        <v>36</v>
      </c>
      <c r="E375" t="s">
        <v>2675</v>
      </c>
      <c r="F375" t="s">
        <v>137</v>
      </c>
      <c r="G375">
        <v>204</v>
      </c>
      <c r="H375">
        <v>500</v>
      </c>
      <c r="I375" s="5" t="s">
        <v>2676</v>
      </c>
      <c r="J375" s="5" t="s">
        <v>2677</v>
      </c>
      <c r="K375" s="5" t="str">
        <f t="shared" si="10"/>
        <v>https://www.google.com/maps?q=-11.301862, -41.870816</v>
      </c>
      <c r="L375" s="5" t="str">
        <f t="shared" si="11"/>
        <v>Abrir no Maps</v>
      </c>
      <c r="M375" t="s">
        <v>2678</v>
      </c>
      <c r="N375" s="5"/>
      <c r="O375" t="str">
        <f>VLOOKUP(G375,'[1]CONFIG.'!$B:$C,2,0)</f>
        <v>EVA</v>
      </c>
      <c r="P375" t="str">
        <f>VLOOKUP(O375,'[1]CONFIG.'!$C:$D,2,0)</f>
        <v>74 98046078</v>
      </c>
    </row>
    <row r="376" spans="1:16" x14ac:dyDescent="0.3">
      <c r="A376" t="s">
        <v>2679</v>
      </c>
      <c r="B376" t="s">
        <v>2680</v>
      </c>
      <c r="C376" t="s">
        <v>2681</v>
      </c>
      <c r="D376" t="s">
        <v>36</v>
      </c>
      <c r="E376" t="s">
        <v>2682</v>
      </c>
      <c r="F376" t="s">
        <v>108</v>
      </c>
      <c r="G376">
        <v>207</v>
      </c>
      <c r="H376">
        <v>500</v>
      </c>
      <c r="I376" s="5" t="s">
        <v>2683</v>
      </c>
      <c r="J376" s="5" t="s">
        <v>2684</v>
      </c>
      <c r="K376" s="5" t="str">
        <f t="shared" si="10"/>
        <v>https://www.google.com/maps?q=-11.312649, -41.858013</v>
      </c>
      <c r="L376" s="5" t="str">
        <f t="shared" si="11"/>
        <v>Abrir no Maps</v>
      </c>
      <c r="M376" t="s">
        <v>2685</v>
      </c>
      <c r="N376" s="5"/>
      <c r="O376" t="str">
        <f>VLOOKUP(G376,'[1]CONFIG.'!$B:$C,2,0)</f>
        <v>HIAGO</v>
      </c>
      <c r="P376" t="str">
        <f>VLOOKUP(O376,'[1]CONFIG.'!$C:$D,2,0)</f>
        <v>74 99872571</v>
      </c>
    </row>
    <row r="377" spans="1:16" x14ac:dyDescent="0.3">
      <c r="A377" t="s">
        <v>2686</v>
      </c>
      <c r="B377" t="s">
        <v>2687</v>
      </c>
      <c r="C377" t="s">
        <v>2688</v>
      </c>
      <c r="D377" t="s">
        <v>36</v>
      </c>
      <c r="E377" t="s">
        <v>2689</v>
      </c>
      <c r="F377" t="s">
        <v>137</v>
      </c>
      <c r="G377">
        <v>212</v>
      </c>
      <c r="H377">
        <v>200</v>
      </c>
      <c r="I377" s="5" t="s">
        <v>2690</v>
      </c>
      <c r="J377" s="5" t="s">
        <v>2691</v>
      </c>
      <c r="K377" s="5" t="str">
        <f t="shared" si="10"/>
        <v>https://www.google.com/maps?q=-11.304751, -41.849206</v>
      </c>
      <c r="L377" s="5" t="str">
        <f t="shared" si="11"/>
        <v>Abrir no Maps</v>
      </c>
      <c r="M377" t="s">
        <v>805</v>
      </c>
      <c r="N377" s="5"/>
      <c r="O377" t="str">
        <f>VLOOKUP(G377,'[1]CONFIG.'!$B:$C,2,0)</f>
        <v>ANDRE</v>
      </c>
      <c r="P377" t="str">
        <f>VLOOKUP(O377,'[1]CONFIG.'!$C:$D,2,0)</f>
        <v>74 99916877</v>
      </c>
    </row>
    <row r="378" spans="1:16" x14ac:dyDescent="0.3">
      <c r="A378" t="s">
        <v>2692</v>
      </c>
      <c r="B378" t="s">
        <v>2693</v>
      </c>
      <c r="C378" t="s">
        <v>2694</v>
      </c>
      <c r="D378" t="s">
        <v>36</v>
      </c>
      <c r="E378" t="s">
        <v>2695</v>
      </c>
      <c r="F378" t="s">
        <v>137</v>
      </c>
      <c r="G378">
        <v>204</v>
      </c>
      <c r="H378">
        <v>500</v>
      </c>
      <c r="I378" s="5" t="s">
        <v>2696</v>
      </c>
      <c r="J378" s="5" t="s">
        <v>2697</v>
      </c>
      <c r="K378" s="5" t="str">
        <f t="shared" si="10"/>
        <v>https://www.google.com/maps?q=-11.301762, -41.854721</v>
      </c>
      <c r="L378" s="5" t="str">
        <f t="shared" si="11"/>
        <v>Abrir no Maps</v>
      </c>
      <c r="M378" t="s">
        <v>2698</v>
      </c>
      <c r="N378" s="5"/>
      <c r="O378" t="str">
        <f>VLOOKUP(G378,'[1]CONFIG.'!$B:$C,2,0)</f>
        <v>EVA</v>
      </c>
      <c r="P378" t="str">
        <f>VLOOKUP(O378,'[1]CONFIG.'!$C:$D,2,0)</f>
        <v>74 98046078</v>
      </c>
    </row>
    <row r="379" spans="1:16" x14ac:dyDescent="0.3">
      <c r="A379" t="s">
        <v>2699</v>
      </c>
      <c r="B379" t="s">
        <v>2700</v>
      </c>
      <c r="C379" t="s">
        <v>2701</v>
      </c>
      <c r="D379" t="s">
        <v>36</v>
      </c>
      <c r="E379" t="s">
        <v>2702</v>
      </c>
      <c r="F379" t="s">
        <v>77</v>
      </c>
      <c r="G379">
        <v>204</v>
      </c>
      <c r="H379">
        <v>500</v>
      </c>
      <c r="I379" s="5" t="s">
        <v>2703</v>
      </c>
      <c r="J379" s="5" t="s">
        <v>2704</v>
      </c>
      <c r="K379" s="5" t="str">
        <f t="shared" si="10"/>
        <v>https://www.google.com/maps?q=-11.302141, -41.855597</v>
      </c>
      <c r="L379" s="5" t="str">
        <f t="shared" si="11"/>
        <v>Abrir no Maps</v>
      </c>
      <c r="M379" t="s">
        <v>2705</v>
      </c>
      <c r="N379" s="5"/>
      <c r="O379" t="str">
        <f>VLOOKUP(G379,'[1]CONFIG.'!$B:$C,2,0)</f>
        <v>EVA</v>
      </c>
      <c r="P379" t="str">
        <f>VLOOKUP(O379,'[1]CONFIG.'!$C:$D,2,0)</f>
        <v>74 98046078</v>
      </c>
    </row>
    <row r="380" spans="1:16" x14ac:dyDescent="0.3">
      <c r="A380" t="s">
        <v>2706</v>
      </c>
      <c r="B380" t="s">
        <v>2707</v>
      </c>
      <c r="C380" t="s">
        <v>2708</v>
      </c>
      <c r="D380" t="s">
        <v>36</v>
      </c>
      <c r="E380" t="s">
        <v>2709</v>
      </c>
      <c r="F380" t="s">
        <v>108</v>
      </c>
      <c r="G380">
        <v>203</v>
      </c>
      <c r="H380">
        <v>200</v>
      </c>
      <c r="I380" s="5" t="s">
        <v>2710</v>
      </c>
      <c r="J380" s="5" t="s">
        <v>2711</v>
      </c>
      <c r="K380" s="5" t="str">
        <f t="shared" si="10"/>
        <v>https://www.google.com/maps?q=-11.309580, -41.863965</v>
      </c>
      <c r="L380" s="5" t="str">
        <f t="shared" si="11"/>
        <v>Abrir no Maps</v>
      </c>
      <c r="M380" t="s">
        <v>2712</v>
      </c>
      <c r="N380" s="5"/>
      <c r="O380" t="str">
        <f>VLOOKUP(G380,'[1]CONFIG.'!$B:$C,2,0)</f>
        <v>ALEXANDRE</v>
      </c>
      <c r="P380" t="str">
        <f>VLOOKUP(O380,'[1]CONFIG.'!$C:$D,2,0)</f>
        <v>74 99653478</v>
      </c>
    </row>
    <row r="381" spans="1:16" x14ac:dyDescent="0.3">
      <c r="A381" t="s">
        <v>2713</v>
      </c>
      <c r="B381" t="s">
        <v>2714</v>
      </c>
      <c r="C381" t="s">
        <v>2715</v>
      </c>
      <c r="D381" t="s">
        <v>36</v>
      </c>
      <c r="E381" t="s">
        <v>2716</v>
      </c>
      <c r="F381" t="s">
        <v>137</v>
      </c>
      <c r="G381">
        <v>204</v>
      </c>
      <c r="H381">
        <v>500</v>
      </c>
      <c r="I381" s="5" t="s">
        <v>2717</v>
      </c>
      <c r="J381" s="5" t="s">
        <v>2718</v>
      </c>
      <c r="K381" s="5" t="str">
        <f t="shared" si="10"/>
        <v>https://www.google.com/maps?q=-11.303655, -41.864584</v>
      </c>
      <c r="L381" s="5" t="str">
        <f t="shared" si="11"/>
        <v>Abrir no Maps</v>
      </c>
      <c r="M381" t="s">
        <v>2312</v>
      </c>
      <c r="N381" s="5"/>
      <c r="O381" t="str">
        <f>VLOOKUP(G381,'[1]CONFIG.'!$B:$C,2,0)</f>
        <v>EVA</v>
      </c>
      <c r="P381" t="str">
        <f>VLOOKUP(O381,'[1]CONFIG.'!$C:$D,2,0)</f>
        <v>74 98046078</v>
      </c>
    </row>
    <row r="382" spans="1:16" x14ac:dyDescent="0.3">
      <c r="A382" t="s">
        <v>2719</v>
      </c>
      <c r="B382" t="s">
        <v>2720</v>
      </c>
      <c r="C382" t="s">
        <v>2721</v>
      </c>
      <c r="D382" t="s">
        <v>36</v>
      </c>
      <c r="E382" t="s">
        <v>2722</v>
      </c>
      <c r="F382" t="s">
        <v>585</v>
      </c>
      <c r="G382">
        <v>203</v>
      </c>
      <c r="H382">
        <v>200</v>
      </c>
      <c r="I382" s="5" t="s">
        <v>2723</v>
      </c>
      <c r="J382" s="5" t="s">
        <v>2724</v>
      </c>
      <c r="K382" s="5" t="str">
        <f t="shared" si="10"/>
        <v>https://www.google.com/maps?q=-11.295274, -41.878219</v>
      </c>
      <c r="L382" s="5" t="str">
        <f t="shared" si="11"/>
        <v>Abrir no Maps</v>
      </c>
      <c r="M382" t="s">
        <v>2725</v>
      </c>
      <c r="N382" s="5"/>
      <c r="O382" t="str">
        <f>VLOOKUP(G382,'[1]CONFIG.'!$B:$C,2,0)</f>
        <v>ALEXANDRE</v>
      </c>
      <c r="P382" t="str">
        <f>VLOOKUP(O382,'[1]CONFIG.'!$C:$D,2,0)</f>
        <v>74 99653478</v>
      </c>
    </row>
    <row r="383" spans="1:16" x14ac:dyDescent="0.3">
      <c r="A383" t="s">
        <v>2726</v>
      </c>
      <c r="B383" t="s">
        <v>2727</v>
      </c>
      <c r="C383" t="s">
        <v>2728</v>
      </c>
      <c r="D383" t="s">
        <v>36</v>
      </c>
      <c r="E383" t="s">
        <v>2729</v>
      </c>
      <c r="F383" t="s">
        <v>327</v>
      </c>
      <c r="G383">
        <v>209</v>
      </c>
      <c r="H383">
        <v>500</v>
      </c>
      <c r="I383" s="5" t="s">
        <v>2730</v>
      </c>
      <c r="J383" s="5" t="s">
        <v>2731</v>
      </c>
      <c r="K383" s="5" t="str">
        <f t="shared" si="10"/>
        <v>https://www.google.com/maps?q=-11.302515, -41.845024</v>
      </c>
      <c r="L383" s="5" t="str">
        <f t="shared" si="11"/>
        <v>Abrir no Maps</v>
      </c>
      <c r="M383" t="s">
        <v>2732</v>
      </c>
      <c r="N383" s="5"/>
      <c r="O383" t="str">
        <f>VLOOKUP(G383,'[1]CONFIG.'!$B:$C,2,0)</f>
        <v>IGOR</v>
      </c>
      <c r="P383" t="str">
        <f>VLOOKUP(O383,'[1]CONFIG.'!$C:$D,2,0)</f>
        <v>74 99590346</v>
      </c>
    </row>
    <row r="384" spans="1:16" x14ac:dyDescent="0.3">
      <c r="A384" t="s">
        <v>2733</v>
      </c>
      <c r="B384" t="s">
        <v>2734</v>
      </c>
      <c r="C384" t="s">
        <v>2735</v>
      </c>
      <c r="D384" t="s">
        <v>36</v>
      </c>
      <c r="E384" t="s">
        <v>2736</v>
      </c>
      <c r="F384" t="s">
        <v>342</v>
      </c>
      <c r="G384">
        <v>209</v>
      </c>
      <c r="H384">
        <v>500</v>
      </c>
      <c r="I384" s="5" t="s">
        <v>2737</v>
      </c>
      <c r="J384" s="5" t="s">
        <v>2738</v>
      </c>
      <c r="K384" s="5" t="str">
        <f t="shared" si="10"/>
        <v>https://www.google.com/maps?q=-11.312640, -41.856534</v>
      </c>
      <c r="L384" s="5" t="str">
        <f t="shared" si="11"/>
        <v>Abrir no Maps</v>
      </c>
      <c r="M384" t="s">
        <v>2739</v>
      </c>
      <c r="N384" s="5"/>
      <c r="O384" t="str">
        <f>VLOOKUP(G384,'[1]CONFIG.'!$B:$C,2,0)</f>
        <v>IGOR</v>
      </c>
      <c r="P384" t="str">
        <f>VLOOKUP(O384,'[1]CONFIG.'!$C:$D,2,0)</f>
        <v>74 99590346</v>
      </c>
    </row>
    <row r="385" spans="1:16" x14ac:dyDescent="0.3">
      <c r="A385" t="s">
        <v>2740</v>
      </c>
      <c r="B385" t="s">
        <v>2741</v>
      </c>
      <c r="C385" t="s">
        <v>2742</v>
      </c>
      <c r="D385" t="s">
        <v>36</v>
      </c>
      <c r="E385" t="s">
        <v>2743</v>
      </c>
      <c r="F385" t="s">
        <v>108</v>
      </c>
      <c r="G385">
        <v>212</v>
      </c>
      <c r="H385">
        <v>200</v>
      </c>
      <c r="I385" s="5" t="s">
        <v>2744</v>
      </c>
      <c r="J385" s="5" t="s">
        <v>2745</v>
      </c>
      <c r="K385" s="5" t="str">
        <f t="shared" si="10"/>
        <v>https://www.google.com/maps?q=-11.315081, -41.862902</v>
      </c>
      <c r="L385" s="5" t="str">
        <f t="shared" si="11"/>
        <v>Abrir no Maps</v>
      </c>
      <c r="M385" t="s">
        <v>2746</v>
      </c>
      <c r="N385" s="5"/>
      <c r="O385" t="str">
        <f>VLOOKUP(G385,'[1]CONFIG.'!$B:$C,2,0)</f>
        <v>ANDRE</v>
      </c>
      <c r="P385" t="str">
        <f>VLOOKUP(O385,'[1]CONFIG.'!$C:$D,2,0)</f>
        <v>74 99916877</v>
      </c>
    </row>
    <row r="386" spans="1:16" x14ac:dyDescent="0.3">
      <c r="A386" t="s">
        <v>2747</v>
      </c>
      <c r="B386" t="s">
        <v>2748</v>
      </c>
      <c r="C386" t="s">
        <v>2749</v>
      </c>
      <c r="D386" t="s">
        <v>36</v>
      </c>
      <c r="E386" t="s">
        <v>2750</v>
      </c>
      <c r="F386" t="s">
        <v>217</v>
      </c>
      <c r="G386">
        <v>212</v>
      </c>
      <c r="H386">
        <v>200</v>
      </c>
      <c r="I386" s="5" t="s">
        <v>2751</v>
      </c>
      <c r="J386" s="5" t="s">
        <v>2752</v>
      </c>
      <c r="K386" s="5" t="str">
        <f t="shared" si="10"/>
        <v>https://www.google.com/maps?q=-11.305636, -41.849742</v>
      </c>
      <c r="L386" s="5" t="str">
        <f t="shared" si="11"/>
        <v>Abrir no Maps</v>
      </c>
      <c r="M386" t="s">
        <v>2753</v>
      </c>
      <c r="N386" s="5"/>
      <c r="O386" t="str">
        <f>VLOOKUP(G386,'[1]CONFIG.'!$B:$C,2,0)</f>
        <v>ANDRE</v>
      </c>
      <c r="P386" t="str">
        <f>VLOOKUP(O386,'[1]CONFIG.'!$C:$D,2,0)</f>
        <v>74 99916877</v>
      </c>
    </row>
    <row r="387" spans="1:16" x14ac:dyDescent="0.3">
      <c r="A387" t="s">
        <v>2754</v>
      </c>
      <c r="B387" t="s">
        <v>2755</v>
      </c>
      <c r="C387" t="s">
        <v>2756</v>
      </c>
      <c r="D387" t="s">
        <v>36</v>
      </c>
      <c r="E387" t="s">
        <v>2757</v>
      </c>
      <c r="F387" t="s">
        <v>108</v>
      </c>
      <c r="G387">
        <v>207</v>
      </c>
      <c r="H387">
        <v>500</v>
      </c>
      <c r="I387" s="5" t="s">
        <v>2758</v>
      </c>
      <c r="J387" s="5" t="s">
        <v>2759</v>
      </c>
      <c r="K387" s="5" t="str">
        <f t="shared" si="10"/>
        <v>https://www.google.com/maps?q=-11.306195, -41.860144</v>
      </c>
      <c r="L387" s="5" t="str">
        <f t="shared" si="11"/>
        <v>Abrir no Maps</v>
      </c>
      <c r="M387" t="s">
        <v>2760</v>
      </c>
      <c r="N387" s="5"/>
      <c r="O387" t="str">
        <f>VLOOKUP(G387,'[1]CONFIG.'!$B:$C,2,0)</f>
        <v>HIAGO</v>
      </c>
      <c r="P387" t="str">
        <f>VLOOKUP(O387,'[1]CONFIG.'!$C:$D,2,0)</f>
        <v>74 99872571</v>
      </c>
    </row>
    <row r="388" spans="1:16" x14ac:dyDescent="0.3">
      <c r="A388" t="s">
        <v>2761</v>
      </c>
      <c r="B388" t="s">
        <v>2762</v>
      </c>
      <c r="C388" t="s">
        <v>2763</v>
      </c>
      <c r="D388" t="s">
        <v>36</v>
      </c>
      <c r="E388" t="s">
        <v>2764</v>
      </c>
      <c r="F388" t="s">
        <v>137</v>
      </c>
      <c r="G388">
        <v>210</v>
      </c>
      <c r="H388">
        <v>500</v>
      </c>
      <c r="I388" s="5" t="s">
        <v>2765</v>
      </c>
      <c r="J388" s="5" t="s">
        <v>2766</v>
      </c>
      <c r="K388" s="5" t="str">
        <f t="shared" ref="K388:K451" si="12">"https://www.google.com/maps?q="&amp;""&amp;LEFT(I388,3)&amp;"."&amp;RIGHT(I388,6)&amp;", "&amp;LEFT(J388,3)&amp;"."&amp;RIGHT(J388,6)</f>
        <v>https://www.google.com/maps?q=-11.302634, -41.849981</v>
      </c>
      <c r="L388" s="5" t="str">
        <f t="shared" ref="L388:L451" si="13">HYPERLINK(K388,"Abrir no Maps")</f>
        <v>Abrir no Maps</v>
      </c>
      <c r="M388" t="s">
        <v>2767</v>
      </c>
      <c r="N388" s="5"/>
      <c r="O388" t="str">
        <f>VLOOKUP(G388,'[1]CONFIG.'!$B:$C,2,0)</f>
        <v>SILAS</v>
      </c>
      <c r="P388" t="str">
        <f>VLOOKUP(O388,'[1]CONFIG.'!$C:$D,2,0)</f>
        <v>74 98041875</v>
      </c>
    </row>
    <row r="389" spans="1:16" x14ac:dyDescent="0.3">
      <c r="A389" t="s">
        <v>2768</v>
      </c>
      <c r="B389" t="s">
        <v>2769</v>
      </c>
      <c r="C389" t="s">
        <v>2770</v>
      </c>
      <c r="D389" t="s">
        <v>36</v>
      </c>
      <c r="E389" t="s">
        <v>2771</v>
      </c>
      <c r="F389" t="s">
        <v>1212</v>
      </c>
      <c r="G389">
        <v>212</v>
      </c>
      <c r="H389">
        <v>200</v>
      </c>
      <c r="I389" s="5" t="s">
        <v>2772</v>
      </c>
      <c r="J389" s="5" t="s">
        <v>2773</v>
      </c>
      <c r="K389" s="5" t="str">
        <f t="shared" si="12"/>
        <v>https://www.google.com/maps?q=-11.302290, -41.847549</v>
      </c>
      <c r="L389" s="5" t="str">
        <f t="shared" si="13"/>
        <v>Abrir no Maps</v>
      </c>
      <c r="M389" t="s">
        <v>2774</v>
      </c>
      <c r="N389" s="5"/>
      <c r="O389" t="str">
        <f>VLOOKUP(G389,'[1]CONFIG.'!$B:$C,2,0)</f>
        <v>ANDRE</v>
      </c>
      <c r="P389" t="str">
        <f>VLOOKUP(O389,'[1]CONFIG.'!$C:$D,2,0)</f>
        <v>74 99916877</v>
      </c>
    </row>
    <row r="390" spans="1:16" x14ac:dyDescent="0.3">
      <c r="A390" t="s">
        <v>2775</v>
      </c>
      <c r="B390" t="s">
        <v>2776</v>
      </c>
      <c r="C390" t="s">
        <v>2777</v>
      </c>
      <c r="D390" t="s">
        <v>36</v>
      </c>
      <c r="E390" t="s">
        <v>2778</v>
      </c>
      <c r="F390" t="s">
        <v>137</v>
      </c>
      <c r="G390">
        <v>209</v>
      </c>
      <c r="H390">
        <v>500</v>
      </c>
      <c r="I390" s="5" t="s">
        <v>2779</v>
      </c>
      <c r="J390" s="5" t="s">
        <v>2780</v>
      </c>
      <c r="K390" s="5" t="str">
        <f t="shared" si="12"/>
        <v>https://www.google.com/maps?q=-11.303737, -41.850527</v>
      </c>
      <c r="L390" s="5" t="str">
        <f t="shared" si="13"/>
        <v>Abrir no Maps</v>
      </c>
      <c r="M390" t="s">
        <v>2781</v>
      </c>
      <c r="N390" s="5"/>
      <c r="O390" t="str">
        <f>VLOOKUP(G390,'[1]CONFIG.'!$B:$C,2,0)</f>
        <v>IGOR</v>
      </c>
      <c r="P390" t="str">
        <f>VLOOKUP(O390,'[1]CONFIG.'!$C:$D,2,0)</f>
        <v>74 99590346</v>
      </c>
    </row>
    <row r="391" spans="1:16" x14ac:dyDescent="0.3">
      <c r="A391" t="s">
        <v>2782</v>
      </c>
      <c r="B391" t="s">
        <v>2783</v>
      </c>
      <c r="C391" t="s">
        <v>2784</v>
      </c>
      <c r="D391" t="s">
        <v>36</v>
      </c>
      <c r="E391" t="s">
        <v>2785</v>
      </c>
      <c r="F391" t="s">
        <v>108</v>
      </c>
      <c r="G391">
        <v>203</v>
      </c>
      <c r="H391">
        <v>200</v>
      </c>
      <c r="I391" s="5" t="s">
        <v>2786</v>
      </c>
      <c r="J391" s="5" t="s">
        <v>2787</v>
      </c>
      <c r="K391" s="5" t="str">
        <f t="shared" si="12"/>
        <v>https://www.google.com/maps?q=-11.314643, -41.861330</v>
      </c>
      <c r="L391" s="5" t="str">
        <f t="shared" si="13"/>
        <v>Abrir no Maps</v>
      </c>
      <c r="M391" t="s">
        <v>2788</v>
      </c>
      <c r="N391" s="5"/>
      <c r="O391" t="str">
        <f>VLOOKUP(G391,'[1]CONFIG.'!$B:$C,2,0)</f>
        <v>ALEXANDRE</v>
      </c>
      <c r="P391" t="str">
        <f>VLOOKUP(O391,'[1]CONFIG.'!$C:$D,2,0)</f>
        <v>74 99653478</v>
      </c>
    </row>
    <row r="392" spans="1:16" x14ac:dyDescent="0.3">
      <c r="A392" t="s">
        <v>2789</v>
      </c>
      <c r="B392" t="s">
        <v>2790</v>
      </c>
      <c r="C392" t="s">
        <v>2791</v>
      </c>
      <c r="D392" t="s">
        <v>36</v>
      </c>
      <c r="E392" t="s">
        <v>2792</v>
      </c>
      <c r="F392" t="s">
        <v>137</v>
      </c>
      <c r="G392">
        <v>212</v>
      </c>
      <c r="H392">
        <v>200</v>
      </c>
      <c r="I392" s="5" t="s">
        <v>2793</v>
      </c>
      <c r="J392" s="5" t="s">
        <v>2794</v>
      </c>
      <c r="K392" s="5" t="str">
        <f t="shared" si="12"/>
        <v>https://www.google.com/maps?q=-11.297005, -41.844667</v>
      </c>
      <c r="L392" s="5" t="str">
        <f t="shared" si="13"/>
        <v>Abrir no Maps</v>
      </c>
      <c r="M392" t="s">
        <v>2795</v>
      </c>
      <c r="N392" s="5"/>
      <c r="O392" t="str">
        <f>VLOOKUP(G392,'[1]CONFIG.'!$B:$C,2,0)</f>
        <v>ANDRE</v>
      </c>
      <c r="P392" t="str">
        <f>VLOOKUP(O392,'[1]CONFIG.'!$C:$D,2,0)</f>
        <v>74 99916877</v>
      </c>
    </row>
    <row r="393" spans="1:16" x14ac:dyDescent="0.3">
      <c r="A393" t="s">
        <v>2796</v>
      </c>
      <c r="B393" t="s">
        <v>2797</v>
      </c>
      <c r="C393" t="s">
        <v>2798</v>
      </c>
      <c r="D393" t="s">
        <v>36</v>
      </c>
      <c r="E393" t="s">
        <v>2799</v>
      </c>
      <c r="F393" t="s">
        <v>46</v>
      </c>
      <c r="G393">
        <v>203</v>
      </c>
      <c r="H393">
        <v>200</v>
      </c>
      <c r="I393" s="5" t="s">
        <v>2800</v>
      </c>
      <c r="J393" s="5" t="s">
        <v>2801</v>
      </c>
      <c r="K393" s="5" t="str">
        <f t="shared" si="12"/>
        <v>https://www.google.com/maps?q=-11.240897, -41.755966</v>
      </c>
      <c r="L393" s="5" t="str">
        <f t="shared" si="13"/>
        <v>Abrir no Maps</v>
      </c>
      <c r="M393" t="s">
        <v>2802</v>
      </c>
      <c r="N393" s="5"/>
      <c r="O393" t="str">
        <f>VLOOKUP(G393,'[1]CONFIG.'!$B:$C,2,0)</f>
        <v>ALEXANDRE</v>
      </c>
      <c r="P393" t="str">
        <f>VLOOKUP(O393,'[1]CONFIG.'!$C:$D,2,0)</f>
        <v>74 99653478</v>
      </c>
    </row>
    <row r="394" spans="1:16" x14ac:dyDescent="0.3">
      <c r="A394" t="s">
        <v>2803</v>
      </c>
      <c r="B394" t="s">
        <v>2804</v>
      </c>
      <c r="C394" t="s">
        <v>2805</v>
      </c>
      <c r="D394" t="s">
        <v>36</v>
      </c>
      <c r="E394" t="s">
        <v>2806</v>
      </c>
      <c r="F394" t="s">
        <v>77</v>
      </c>
      <c r="G394">
        <v>203</v>
      </c>
      <c r="H394">
        <v>200</v>
      </c>
      <c r="I394" s="5" t="s">
        <v>2807</v>
      </c>
      <c r="J394" s="5" t="s">
        <v>2808</v>
      </c>
      <c r="K394" s="5" t="str">
        <f t="shared" si="12"/>
        <v>https://www.google.com/maps?q=-11.298848, -41.854552</v>
      </c>
      <c r="L394" s="5" t="str">
        <f t="shared" si="13"/>
        <v>Abrir no Maps</v>
      </c>
      <c r="M394" t="s">
        <v>2809</v>
      </c>
      <c r="N394" s="5"/>
      <c r="O394" t="str">
        <f>VLOOKUP(G394,'[1]CONFIG.'!$B:$C,2,0)</f>
        <v>ALEXANDRE</v>
      </c>
      <c r="P394" t="str">
        <f>VLOOKUP(O394,'[1]CONFIG.'!$C:$D,2,0)</f>
        <v>74 99653478</v>
      </c>
    </row>
    <row r="395" spans="1:16" x14ac:dyDescent="0.3">
      <c r="A395" t="s">
        <v>2810</v>
      </c>
      <c r="B395" t="s">
        <v>2811</v>
      </c>
      <c r="C395" t="s">
        <v>2812</v>
      </c>
      <c r="D395" t="s">
        <v>36</v>
      </c>
      <c r="E395" t="s">
        <v>2813</v>
      </c>
      <c r="F395" t="s">
        <v>137</v>
      </c>
      <c r="G395">
        <v>212</v>
      </c>
      <c r="H395">
        <v>200</v>
      </c>
      <c r="I395" s="5" t="s">
        <v>2814</v>
      </c>
      <c r="J395" s="5" t="s">
        <v>2815</v>
      </c>
      <c r="K395" s="5" t="str">
        <f t="shared" si="12"/>
        <v>https://www.google.com/maps?q=-11.304520, -41.856108</v>
      </c>
      <c r="L395" s="5" t="str">
        <f t="shared" si="13"/>
        <v>Abrir no Maps</v>
      </c>
      <c r="M395" t="s">
        <v>2816</v>
      </c>
      <c r="N395" s="5"/>
      <c r="O395" t="str">
        <f>VLOOKUP(G395,'[1]CONFIG.'!$B:$C,2,0)</f>
        <v>ANDRE</v>
      </c>
      <c r="P395" t="str">
        <f>VLOOKUP(O395,'[1]CONFIG.'!$C:$D,2,0)</f>
        <v>74 99916877</v>
      </c>
    </row>
    <row r="396" spans="1:16" x14ac:dyDescent="0.3">
      <c r="A396" t="s">
        <v>2817</v>
      </c>
      <c r="B396" t="s">
        <v>2818</v>
      </c>
      <c r="C396" t="s">
        <v>2819</v>
      </c>
      <c r="D396" t="s">
        <v>36</v>
      </c>
      <c r="E396" t="s">
        <v>2820</v>
      </c>
      <c r="F396" t="s">
        <v>232</v>
      </c>
      <c r="G396">
        <v>211</v>
      </c>
      <c r="H396">
        <v>500</v>
      </c>
      <c r="I396" s="5" t="s">
        <v>2821</v>
      </c>
      <c r="J396" s="5" t="s">
        <v>2822</v>
      </c>
      <c r="K396" s="5" t="str">
        <f t="shared" si="12"/>
        <v>https://www.google.com/maps?q=-11.294681, -41.819245</v>
      </c>
      <c r="L396" s="5" t="str">
        <f t="shared" si="13"/>
        <v>Abrir no Maps</v>
      </c>
      <c r="M396" t="s">
        <v>2823</v>
      </c>
      <c r="N396" s="5"/>
      <c r="O396" t="str">
        <f>VLOOKUP(G396,'[1]CONFIG.'!$B:$C,2,0)</f>
        <v>DAIANE</v>
      </c>
      <c r="P396" t="str">
        <f>VLOOKUP(O396,'[1]CONFIG.'!$C:$D,2,0)</f>
        <v>74 99298866</v>
      </c>
    </row>
    <row r="397" spans="1:16" x14ac:dyDescent="0.3">
      <c r="A397" t="s">
        <v>2824</v>
      </c>
      <c r="B397" t="s">
        <v>2825</v>
      </c>
      <c r="C397" t="s">
        <v>2826</v>
      </c>
      <c r="D397" t="s">
        <v>36</v>
      </c>
      <c r="E397" t="s">
        <v>2827</v>
      </c>
      <c r="F397" t="s">
        <v>350</v>
      </c>
      <c r="G397">
        <v>210</v>
      </c>
      <c r="H397">
        <v>500</v>
      </c>
      <c r="I397" s="5" t="s">
        <v>2828</v>
      </c>
      <c r="J397" s="5" t="s">
        <v>2829</v>
      </c>
      <c r="K397" s="5" t="str">
        <f t="shared" si="12"/>
        <v>https://www.google.com/maps?q=-11.336429, -41.930615</v>
      </c>
      <c r="L397" s="5" t="str">
        <f t="shared" si="13"/>
        <v>Abrir no Maps</v>
      </c>
      <c r="M397" t="s">
        <v>2830</v>
      </c>
      <c r="N397" s="5"/>
      <c r="O397" t="str">
        <f>VLOOKUP(G397,'[1]CONFIG.'!$B:$C,2,0)</f>
        <v>SILAS</v>
      </c>
      <c r="P397" t="str">
        <f>VLOOKUP(O397,'[1]CONFIG.'!$C:$D,2,0)</f>
        <v>74 98041875</v>
      </c>
    </row>
    <row r="398" spans="1:16" x14ac:dyDescent="0.3">
      <c r="A398" t="s">
        <v>2831</v>
      </c>
      <c r="B398" t="s">
        <v>2832</v>
      </c>
      <c r="C398" t="s">
        <v>2833</v>
      </c>
      <c r="D398" t="s">
        <v>36</v>
      </c>
      <c r="E398" t="s">
        <v>2834</v>
      </c>
      <c r="F398" t="s">
        <v>319</v>
      </c>
      <c r="G398">
        <v>211</v>
      </c>
      <c r="H398">
        <v>500</v>
      </c>
      <c r="I398" s="5" t="s">
        <v>2835</v>
      </c>
      <c r="J398" s="5" t="s">
        <v>2836</v>
      </c>
      <c r="K398" s="5" t="str">
        <f t="shared" si="12"/>
        <v>https://www.google.com/maps?q=-11.305593, -41.866648</v>
      </c>
      <c r="L398" s="5" t="str">
        <f t="shared" si="13"/>
        <v>Abrir no Maps</v>
      </c>
      <c r="M398" t="s">
        <v>2837</v>
      </c>
      <c r="N398" s="5"/>
      <c r="O398" t="str">
        <f>VLOOKUP(G398,'[1]CONFIG.'!$B:$C,2,0)</f>
        <v>DAIANE</v>
      </c>
      <c r="P398" t="str">
        <f>VLOOKUP(O398,'[1]CONFIG.'!$C:$D,2,0)</f>
        <v>74 99298866</v>
      </c>
    </row>
    <row r="399" spans="1:16" x14ac:dyDescent="0.3">
      <c r="A399" t="s">
        <v>2838</v>
      </c>
      <c r="B399" t="s">
        <v>2839</v>
      </c>
      <c r="C399" t="s">
        <v>2840</v>
      </c>
      <c r="D399" t="s">
        <v>36</v>
      </c>
      <c r="E399" t="s">
        <v>2841</v>
      </c>
      <c r="F399" t="s">
        <v>217</v>
      </c>
      <c r="G399">
        <v>210</v>
      </c>
      <c r="H399">
        <v>500</v>
      </c>
      <c r="I399" s="5" t="s">
        <v>2842</v>
      </c>
      <c r="J399" s="5" t="s">
        <v>2843</v>
      </c>
      <c r="K399" s="5" t="str">
        <f t="shared" si="12"/>
        <v>https://www.google.com/maps?q=-11.307288, -41.851493</v>
      </c>
      <c r="L399" s="5" t="str">
        <f t="shared" si="13"/>
        <v>Abrir no Maps</v>
      </c>
      <c r="M399" t="s">
        <v>2844</v>
      </c>
      <c r="N399" s="5"/>
      <c r="O399" t="str">
        <f>VLOOKUP(G399,'[1]CONFIG.'!$B:$C,2,0)</f>
        <v>SILAS</v>
      </c>
      <c r="P399" t="str">
        <f>VLOOKUP(O399,'[1]CONFIG.'!$C:$D,2,0)</f>
        <v>74 98041875</v>
      </c>
    </row>
    <row r="400" spans="1:16" x14ac:dyDescent="0.3">
      <c r="A400" t="s">
        <v>2845</v>
      </c>
      <c r="B400" t="s">
        <v>2846</v>
      </c>
      <c r="C400" t="s">
        <v>2847</v>
      </c>
      <c r="D400" t="s">
        <v>36</v>
      </c>
      <c r="E400" t="s">
        <v>2848</v>
      </c>
      <c r="F400" t="s">
        <v>137</v>
      </c>
      <c r="G400">
        <v>212</v>
      </c>
      <c r="H400">
        <v>200</v>
      </c>
      <c r="I400" s="5" t="s">
        <v>2849</v>
      </c>
      <c r="J400" s="5" t="s">
        <v>2850</v>
      </c>
      <c r="K400" s="5" t="str">
        <f t="shared" si="12"/>
        <v>https://www.google.com/maps?q=-11.305215, -41.857859</v>
      </c>
      <c r="L400" s="5" t="str">
        <f t="shared" si="13"/>
        <v>Abrir no Maps</v>
      </c>
      <c r="M400" t="s">
        <v>2851</v>
      </c>
      <c r="N400" s="5"/>
      <c r="O400" t="str">
        <f>VLOOKUP(G400,'[1]CONFIG.'!$B:$C,2,0)</f>
        <v>ANDRE</v>
      </c>
      <c r="P400" t="str">
        <f>VLOOKUP(O400,'[1]CONFIG.'!$C:$D,2,0)</f>
        <v>74 99916877</v>
      </c>
    </row>
    <row r="401" spans="1:16" x14ac:dyDescent="0.3">
      <c r="A401" t="s">
        <v>2852</v>
      </c>
      <c r="B401" t="s">
        <v>2853</v>
      </c>
      <c r="C401" t="s">
        <v>2854</v>
      </c>
      <c r="D401" t="s">
        <v>36</v>
      </c>
      <c r="E401" t="s">
        <v>2855</v>
      </c>
      <c r="F401" t="s">
        <v>327</v>
      </c>
      <c r="G401">
        <v>212</v>
      </c>
      <c r="H401">
        <v>200</v>
      </c>
      <c r="I401" s="5" t="s">
        <v>2856</v>
      </c>
      <c r="J401" s="5" t="s">
        <v>2857</v>
      </c>
      <c r="K401" s="5" t="str">
        <f t="shared" si="12"/>
        <v>https://www.google.com/maps?q=-11.301472, -41.842107</v>
      </c>
      <c r="L401" s="5" t="str">
        <f t="shared" si="13"/>
        <v>Abrir no Maps</v>
      </c>
      <c r="M401" t="s">
        <v>2858</v>
      </c>
      <c r="N401" s="5"/>
      <c r="O401" t="str">
        <f>VLOOKUP(G401,'[1]CONFIG.'!$B:$C,2,0)</f>
        <v>ANDRE</v>
      </c>
      <c r="P401" t="str">
        <f>VLOOKUP(O401,'[1]CONFIG.'!$C:$D,2,0)</f>
        <v>74 99916877</v>
      </c>
    </row>
    <row r="402" spans="1:16" x14ac:dyDescent="0.3">
      <c r="A402" t="s">
        <v>2859</v>
      </c>
      <c r="B402" t="s">
        <v>2860</v>
      </c>
      <c r="C402" t="s">
        <v>2861</v>
      </c>
      <c r="D402" t="s">
        <v>36</v>
      </c>
      <c r="E402" t="s">
        <v>2862</v>
      </c>
      <c r="F402" t="s">
        <v>395</v>
      </c>
      <c r="G402">
        <v>211</v>
      </c>
      <c r="H402">
        <v>500</v>
      </c>
      <c r="I402" s="5" t="s">
        <v>2863</v>
      </c>
      <c r="J402" s="5" t="s">
        <v>2864</v>
      </c>
      <c r="K402" s="5" t="str">
        <f t="shared" si="12"/>
        <v>https://www.google.com/maps?q=-11.311848, -41.873826</v>
      </c>
      <c r="L402" s="5" t="str">
        <f t="shared" si="13"/>
        <v>Abrir no Maps</v>
      </c>
      <c r="M402" t="s">
        <v>2865</v>
      </c>
      <c r="N402" s="5"/>
      <c r="O402" t="str">
        <f>VLOOKUP(G402,'[1]CONFIG.'!$B:$C,2,0)</f>
        <v>DAIANE</v>
      </c>
      <c r="P402" t="str">
        <f>VLOOKUP(O402,'[1]CONFIG.'!$C:$D,2,0)</f>
        <v>74 99298866</v>
      </c>
    </row>
    <row r="403" spans="1:16" x14ac:dyDescent="0.3">
      <c r="A403" t="s">
        <v>2866</v>
      </c>
      <c r="B403" t="s">
        <v>2867</v>
      </c>
      <c r="C403" t="s">
        <v>2868</v>
      </c>
      <c r="D403" t="s">
        <v>36</v>
      </c>
      <c r="E403" t="s">
        <v>2869</v>
      </c>
      <c r="F403" t="s">
        <v>85</v>
      </c>
      <c r="G403">
        <v>210</v>
      </c>
      <c r="H403">
        <v>500</v>
      </c>
      <c r="I403" s="5" t="s">
        <v>2870</v>
      </c>
      <c r="J403" s="5" t="s">
        <v>2871</v>
      </c>
      <c r="K403" s="5" t="str">
        <f t="shared" si="12"/>
        <v>https://www.google.com/maps?q=-11.302729, -41.871974</v>
      </c>
      <c r="L403" s="5" t="str">
        <f t="shared" si="13"/>
        <v>Abrir no Maps</v>
      </c>
      <c r="M403" t="s">
        <v>2872</v>
      </c>
      <c r="N403" s="5"/>
      <c r="O403" t="str">
        <f>VLOOKUP(G403,'[1]CONFIG.'!$B:$C,2,0)</f>
        <v>SILAS</v>
      </c>
      <c r="P403" t="str">
        <f>VLOOKUP(O403,'[1]CONFIG.'!$C:$D,2,0)</f>
        <v>74 98041875</v>
      </c>
    </row>
    <row r="404" spans="1:16" x14ac:dyDescent="0.3">
      <c r="A404" t="s">
        <v>2873</v>
      </c>
      <c r="B404" t="s">
        <v>2874</v>
      </c>
      <c r="C404" t="s">
        <v>2875</v>
      </c>
      <c r="D404" t="s">
        <v>36</v>
      </c>
      <c r="E404" t="s">
        <v>2876</v>
      </c>
      <c r="F404" t="s">
        <v>137</v>
      </c>
      <c r="G404">
        <v>209</v>
      </c>
      <c r="H404">
        <v>500</v>
      </c>
      <c r="I404" s="5" t="s">
        <v>2877</v>
      </c>
      <c r="J404" s="5" t="s">
        <v>2878</v>
      </c>
      <c r="K404" s="5" t="str">
        <f t="shared" si="12"/>
        <v>https://www.google.com/maps?q=-11.298602, -41.845496</v>
      </c>
      <c r="L404" s="5" t="str">
        <f t="shared" si="13"/>
        <v>Abrir no Maps</v>
      </c>
      <c r="M404" t="s">
        <v>2879</v>
      </c>
      <c r="N404" s="5"/>
      <c r="O404" t="str">
        <f>VLOOKUP(G404,'[1]CONFIG.'!$B:$C,2,0)</f>
        <v>IGOR</v>
      </c>
      <c r="P404" t="str">
        <f>VLOOKUP(O404,'[1]CONFIG.'!$C:$D,2,0)</f>
        <v>74 99590346</v>
      </c>
    </row>
    <row r="405" spans="1:16" x14ac:dyDescent="0.3">
      <c r="A405" t="s">
        <v>2880</v>
      </c>
      <c r="B405" t="s">
        <v>2881</v>
      </c>
      <c r="C405" t="s">
        <v>2882</v>
      </c>
      <c r="D405" t="s">
        <v>36</v>
      </c>
      <c r="E405" t="s">
        <v>2883</v>
      </c>
      <c r="F405" t="s">
        <v>342</v>
      </c>
      <c r="G405">
        <v>204</v>
      </c>
      <c r="H405">
        <v>500</v>
      </c>
      <c r="I405" s="5" t="s">
        <v>2884</v>
      </c>
      <c r="J405" s="5" t="s">
        <v>2885</v>
      </c>
      <c r="K405" s="5" t="str">
        <f t="shared" si="12"/>
        <v>https://www.google.com/maps?q=-11.315638, -41.853877</v>
      </c>
      <c r="L405" s="5" t="str">
        <f t="shared" si="13"/>
        <v>Abrir no Maps</v>
      </c>
      <c r="M405" t="s">
        <v>2886</v>
      </c>
      <c r="N405" s="5"/>
      <c r="O405" t="str">
        <f>VLOOKUP(G405,'[1]CONFIG.'!$B:$C,2,0)</f>
        <v>EVA</v>
      </c>
      <c r="P405" t="str">
        <f>VLOOKUP(O405,'[1]CONFIG.'!$C:$D,2,0)</f>
        <v>74 98046078</v>
      </c>
    </row>
    <row r="406" spans="1:16" x14ac:dyDescent="0.3">
      <c r="A406" t="s">
        <v>2887</v>
      </c>
      <c r="B406" t="s">
        <v>2888</v>
      </c>
      <c r="C406" t="s">
        <v>2889</v>
      </c>
      <c r="D406" t="s">
        <v>36</v>
      </c>
      <c r="E406" t="s">
        <v>2890</v>
      </c>
      <c r="F406" t="s">
        <v>137</v>
      </c>
      <c r="G406">
        <v>204</v>
      </c>
      <c r="H406">
        <v>500</v>
      </c>
      <c r="I406" s="5" t="s">
        <v>2891</v>
      </c>
      <c r="J406" s="5" t="s">
        <v>2892</v>
      </c>
      <c r="K406" s="5" t="str">
        <f t="shared" si="12"/>
        <v>https://www.google.com/maps?q=-11.302089, -41.858810</v>
      </c>
      <c r="L406" s="5" t="str">
        <f t="shared" si="13"/>
        <v>Abrir no Maps</v>
      </c>
      <c r="M406" t="s">
        <v>2893</v>
      </c>
      <c r="N406" s="5"/>
      <c r="O406" t="str">
        <f>VLOOKUP(G406,'[1]CONFIG.'!$B:$C,2,0)</f>
        <v>EVA</v>
      </c>
      <c r="P406" t="str">
        <f>VLOOKUP(O406,'[1]CONFIG.'!$C:$D,2,0)</f>
        <v>74 98046078</v>
      </c>
    </row>
    <row r="407" spans="1:16" x14ac:dyDescent="0.3">
      <c r="A407" t="s">
        <v>2894</v>
      </c>
      <c r="B407" t="s">
        <v>2895</v>
      </c>
      <c r="C407" t="s">
        <v>2896</v>
      </c>
      <c r="D407" t="s">
        <v>36</v>
      </c>
      <c r="E407" t="s">
        <v>2897</v>
      </c>
      <c r="F407" t="s">
        <v>350</v>
      </c>
      <c r="G407">
        <v>210</v>
      </c>
      <c r="H407">
        <v>500</v>
      </c>
      <c r="I407" s="5" t="s">
        <v>2898</v>
      </c>
      <c r="J407" s="5" t="s">
        <v>2899</v>
      </c>
      <c r="K407" s="5" t="str">
        <f t="shared" si="12"/>
        <v>https://www.google.com/maps?q=-11.336296, -41.936394</v>
      </c>
      <c r="L407" s="5" t="str">
        <f t="shared" si="13"/>
        <v>Abrir no Maps</v>
      </c>
      <c r="M407" t="s">
        <v>2900</v>
      </c>
      <c r="N407" s="5"/>
      <c r="O407" t="str">
        <f>VLOOKUP(G407,'[1]CONFIG.'!$B:$C,2,0)</f>
        <v>SILAS</v>
      </c>
      <c r="P407" t="str">
        <f>VLOOKUP(O407,'[1]CONFIG.'!$C:$D,2,0)</f>
        <v>74 98041875</v>
      </c>
    </row>
    <row r="408" spans="1:16" x14ac:dyDescent="0.3">
      <c r="A408" t="s">
        <v>2901</v>
      </c>
      <c r="B408" t="s">
        <v>2902</v>
      </c>
      <c r="C408" t="s">
        <v>2903</v>
      </c>
      <c r="D408" t="s">
        <v>36</v>
      </c>
      <c r="E408" t="s">
        <v>2904</v>
      </c>
      <c r="F408" t="s">
        <v>46</v>
      </c>
      <c r="G408">
        <v>211</v>
      </c>
      <c r="H408">
        <v>500</v>
      </c>
      <c r="I408" s="5" t="s">
        <v>2905</v>
      </c>
      <c r="J408" s="5" t="s">
        <v>2906</v>
      </c>
      <c r="K408" s="5" t="str">
        <f t="shared" si="12"/>
        <v>https://www.google.com/maps?q=-11.242155, -41.757389</v>
      </c>
      <c r="L408" s="5" t="str">
        <f t="shared" si="13"/>
        <v>Abrir no Maps</v>
      </c>
      <c r="M408" t="s">
        <v>2907</v>
      </c>
      <c r="N408" s="5"/>
      <c r="O408" t="str">
        <f>VLOOKUP(G408,'[1]CONFIG.'!$B:$C,2,0)</f>
        <v>DAIANE</v>
      </c>
      <c r="P408" t="str">
        <f>VLOOKUP(O408,'[1]CONFIG.'!$C:$D,2,0)</f>
        <v>74 99298866</v>
      </c>
    </row>
    <row r="409" spans="1:16" x14ac:dyDescent="0.3">
      <c r="A409" t="s">
        <v>2908</v>
      </c>
      <c r="B409" t="s">
        <v>2909</v>
      </c>
      <c r="C409" t="s">
        <v>2910</v>
      </c>
      <c r="D409" t="s">
        <v>36</v>
      </c>
      <c r="E409" t="s">
        <v>2911</v>
      </c>
      <c r="F409" t="s">
        <v>137</v>
      </c>
      <c r="G409">
        <v>210</v>
      </c>
      <c r="H409">
        <v>500</v>
      </c>
      <c r="I409" s="5" t="s">
        <v>2912</v>
      </c>
      <c r="J409" s="5" t="s">
        <v>2913</v>
      </c>
      <c r="K409" s="5" t="str">
        <f t="shared" si="12"/>
        <v>https://www.google.com/maps?q=-11.303458, -41.868974</v>
      </c>
      <c r="L409" s="5" t="str">
        <f t="shared" si="13"/>
        <v>Abrir no Maps</v>
      </c>
      <c r="M409" t="s">
        <v>2914</v>
      </c>
      <c r="N409" s="5"/>
      <c r="O409" t="str">
        <f>VLOOKUP(G409,'[1]CONFIG.'!$B:$C,2,0)</f>
        <v>SILAS</v>
      </c>
      <c r="P409" t="str">
        <f>VLOOKUP(O409,'[1]CONFIG.'!$C:$D,2,0)</f>
        <v>74 98041875</v>
      </c>
    </row>
    <row r="410" spans="1:16" x14ac:dyDescent="0.3">
      <c r="A410" t="s">
        <v>2915</v>
      </c>
      <c r="B410" t="s">
        <v>2916</v>
      </c>
      <c r="C410" t="s">
        <v>2917</v>
      </c>
      <c r="D410" t="s">
        <v>36</v>
      </c>
      <c r="E410" t="s">
        <v>2918</v>
      </c>
      <c r="F410" t="s">
        <v>422</v>
      </c>
      <c r="G410">
        <v>210</v>
      </c>
      <c r="H410">
        <v>500</v>
      </c>
      <c r="I410" s="5" t="s">
        <v>2919</v>
      </c>
      <c r="J410" s="5" t="s">
        <v>2920</v>
      </c>
      <c r="K410" s="5" t="str">
        <f t="shared" si="12"/>
        <v>https://www.google.com/maps?q=-11.297491, -41.851491</v>
      </c>
      <c r="L410" s="5" t="str">
        <f t="shared" si="13"/>
        <v>Abrir no Maps</v>
      </c>
      <c r="M410" t="s">
        <v>2921</v>
      </c>
      <c r="N410" s="5"/>
      <c r="O410" t="str">
        <f>VLOOKUP(G410,'[1]CONFIG.'!$B:$C,2,0)</f>
        <v>SILAS</v>
      </c>
      <c r="P410" t="str">
        <f>VLOOKUP(O410,'[1]CONFIG.'!$C:$D,2,0)</f>
        <v>74 98041875</v>
      </c>
    </row>
    <row r="411" spans="1:16" x14ac:dyDescent="0.3">
      <c r="A411" t="s">
        <v>2922</v>
      </c>
      <c r="B411" t="s">
        <v>2923</v>
      </c>
      <c r="C411" t="s">
        <v>2924</v>
      </c>
      <c r="D411" t="s">
        <v>36</v>
      </c>
      <c r="E411" t="s">
        <v>2925</v>
      </c>
      <c r="F411" t="s">
        <v>2458</v>
      </c>
      <c r="G411">
        <v>212</v>
      </c>
      <c r="H411">
        <v>200</v>
      </c>
      <c r="I411" s="5" t="s">
        <v>2926</v>
      </c>
      <c r="J411" s="5" t="s">
        <v>2927</v>
      </c>
      <c r="K411" s="5" t="str">
        <f t="shared" si="12"/>
        <v>https://www.google.com/maps?q=-11.307501, -41.854299</v>
      </c>
      <c r="L411" s="5" t="str">
        <f t="shared" si="13"/>
        <v>Abrir no Maps</v>
      </c>
      <c r="M411" t="s">
        <v>2928</v>
      </c>
      <c r="N411" s="5"/>
      <c r="O411" t="str">
        <f>VLOOKUP(G411,'[1]CONFIG.'!$B:$C,2,0)</f>
        <v>ANDRE</v>
      </c>
      <c r="P411" t="str">
        <f>VLOOKUP(O411,'[1]CONFIG.'!$C:$D,2,0)</f>
        <v>74 99916877</v>
      </c>
    </row>
    <row r="412" spans="1:16" x14ac:dyDescent="0.3">
      <c r="A412" t="s">
        <v>2929</v>
      </c>
      <c r="B412" t="s">
        <v>2930</v>
      </c>
      <c r="C412" t="s">
        <v>2931</v>
      </c>
      <c r="D412" t="s">
        <v>36</v>
      </c>
      <c r="E412" t="s">
        <v>2932</v>
      </c>
      <c r="F412" t="s">
        <v>366</v>
      </c>
      <c r="G412">
        <v>211</v>
      </c>
      <c r="H412">
        <v>500</v>
      </c>
      <c r="I412" s="5" t="s">
        <v>2933</v>
      </c>
      <c r="J412" s="5" t="s">
        <v>2934</v>
      </c>
      <c r="K412" s="5" t="str">
        <f t="shared" si="12"/>
        <v>https://www.google.com/maps?q=-11.271239, -41.874754</v>
      </c>
      <c r="L412" s="5" t="str">
        <f t="shared" si="13"/>
        <v>Abrir no Maps</v>
      </c>
      <c r="M412" t="s">
        <v>2935</v>
      </c>
      <c r="N412" s="5"/>
      <c r="O412" t="str">
        <f>VLOOKUP(G412,'[1]CONFIG.'!$B:$C,2,0)</f>
        <v>DAIANE</v>
      </c>
      <c r="P412" t="str">
        <f>VLOOKUP(O412,'[1]CONFIG.'!$C:$D,2,0)</f>
        <v>74 99298866</v>
      </c>
    </row>
    <row r="413" spans="1:16" x14ac:dyDescent="0.3">
      <c r="A413" t="s">
        <v>2936</v>
      </c>
      <c r="B413" t="s">
        <v>2937</v>
      </c>
      <c r="C413" t="s">
        <v>2938</v>
      </c>
      <c r="D413" t="s">
        <v>36</v>
      </c>
      <c r="E413" t="s">
        <v>2939</v>
      </c>
      <c r="F413" t="s">
        <v>137</v>
      </c>
      <c r="G413">
        <v>210</v>
      </c>
      <c r="H413">
        <v>500</v>
      </c>
      <c r="I413" s="5" t="s">
        <v>2940</v>
      </c>
      <c r="J413" s="5" t="s">
        <v>2941</v>
      </c>
      <c r="K413" s="5" t="str">
        <f t="shared" si="12"/>
        <v>https://www.google.com/maps?q=-11.302702, -41.850888</v>
      </c>
      <c r="L413" s="5" t="str">
        <f t="shared" si="13"/>
        <v>Abrir no Maps</v>
      </c>
      <c r="M413" t="s">
        <v>2942</v>
      </c>
      <c r="N413" s="5"/>
      <c r="O413" t="str">
        <f>VLOOKUP(G413,'[1]CONFIG.'!$B:$C,2,0)</f>
        <v>SILAS</v>
      </c>
      <c r="P413" t="str">
        <f>VLOOKUP(O413,'[1]CONFIG.'!$C:$D,2,0)</f>
        <v>74 98041875</v>
      </c>
    </row>
    <row r="414" spans="1:16" x14ac:dyDescent="0.3">
      <c r="A414" t="s">
        <v>2943</v>
      </c>
      <c r="B414" t="s">
        <v>2944</v>
      </c>
      <c r="C414" t="s">
        <v>2945</v>
      </c>
      <c r="D414" t="s">
        <v>36</v>
      </c>
      <c r="E414" t="s">
        <v>2946</v>
      </c>
      <c r="F414" t="s">
        <v>2947</v>
      </c>
      <c r="G414">
        <v>207</v>
      </c>
      <c r="H414">
        <v>500</v>
      </c>
      <c r="I414" s="5" t="s">
        <v>2948</v>
      </c>
      <c r="J414" s="5" t="s">
        <v>2949</v>
      </c>
      <c r="K414" s="5" t="str">
        <f t="shared" si="12"/>
        <v>https://www.google.com/maps?q=-11.318703, -41.864377</v>
      </c>
      <c r="L414" s="5" t="str">
        <f t="shared" si="13"/>
        <v>Abrir no Maps</v>
      </c>
      <c r="M414" t="s">
        <v>2446</v>
      </c>
      <c r="N414" s="5"/>
      <c r="O414" t="str">
        <f>VLOOKUP(G414,'[1]CONFIG.'!$B:$C,2,0)</f>
        <v>HIAGO</v>
      </c>
      <c r="P414" t="str">
        <f>VLOOKUP(O414,'[1]CONFIG.'!$C:$D,2,0)</f>
        <v>74 99872571</v>
      </c>
    </row>
    <row r="415" spans="1:16" x14ac:dyDescent="0.3">
      <c r="A415" t="s">
        <v>2950</v>
      </c>
      <c r="B415" t="s">
        <v>2951</v>
      </c>
      <c r="C415" t="s">
        <v>2952</v>
      </c>
      <c r="D415" t="s">
        <v>36</v>
      </c>
      <c r="E415" t="s">
        <v>2953</v>
      </c>
      <c r="F415" t="s">
        <v>422</v>
      </c>
      <c r="G415">
        <v>212</v>
      </c>
      <c r="H415">
        <v>200</v>
      </c>
      <c r="I415" s="5" t="s">
        <v>78</v>
      </c>
      <c r="J415" s="5" t="s">
        <v>2954</v>
      </c>
      <c r="K415" s="5" t="str">
        <f t="shared" si="12"/>
        <v>https://www.google.com/maps?q=-11.299548, -41.851401</v>
      </c>
      <c r="L415" s="5" t="str">
        <f t="shared" si="13"/>
        <v>Abrir no Maps</v>
      </c>
      <c r="M415">
        <v>0</v>
      </c>
      <c r="N415" s="5"/>
      <c r="O415" t="str">
        <f>VLOOKUP(G415,'[1]CONFIG.'!$B:$C,2,0)</f>
        <v>ANDRE</v>
      </c>
      <c r="P415" t="str">
        <f>VLOOKUP(O415,'[1]CONFIG.'!$C:$D,2,0)</f>
        <v>74 99916877</v>
      </c>
    </row>
    <row r="416" spans="1:16" x14ac:dyDescent="0.3">
      <c r="A416" t="s">
        <v>2955</v>
      </c>
      <c r="B416" t="s">
        <v>2956</v>
      </c>
      <c r="C416" t="s">
        <v>2957</v>
      </c>
      <c r="D416" t="s">
        <v>36</v>
      </c>
      <c r="E416" t="s">
        <v>2958</v>
      </c>
      <c r="F416" t="s">
        <v>2959</v>
      </c>
      <c r="G416">
        <v>210</v>
      </c>
      <c r="H416">
        <v>500</v>
      </c>
      <c r="I416" s="5" t="s">
        <v>2960</v>
      </c>
      <c r="J416" s="5" t="s">
        <v>2961</v>
      </c>
      <c r="K416" s="5" t="str">
        <f t="shared" si="12"/>
        <v>https://www.google.com/maps?q=-11.301158, -41.861145</v>
      </c>
      <c r="L416" s="5" t="str">
        <f t="shared" si="13"/>
        <v>Abrir no Maps</v>
      </c>
      <c r="M416" t="s">
        <v>2962</v>
      </c>
      <c r="N416" s="5"/>
      <c r="O416" t="str">
        <f>VLOOKUP(G416,'[1]CONFIG.'!$B:$C,2,0)</f>
        <v>SILAS</v>
      </c>
      <c r="P416" t="str">
        <f>VLOOKUP(O416,'[1]CONFIG.'!$C:$D,2,0)</f>
        <v>74 98041875</v>
      </c>
    </row>
    <row r="417" spans="1:16" x14ac:dyDescent="0.3">
      <c r="A417" t="s">
        <v>2963</v>
      </c>
      <c r="B417" t="s">
        <v>2964</v>
      </c>
      <c r="C417" t="s">
        <v>2965</v>
      </c>
      <c r="D417" t="s">
        <v>36</v>
      </c>
      <c r="E417" t="s">
        <v>2966</v>
      </c>
      <c r="F417" t="s">
        <v>2967</v>
      </c>
      <c r="G417">
        <v>212</v>
      </c>
      <c r="H417">
        <v>200</v>
      </c>
      <c r="I417" s="5" t="s">
        <v>2968</v>
      </c>
      <c r="J417" s="5" t="s">
        <v>2969</v>
      </c>
      <c r="K417" s="5" t="str">
        <f t="shared" si="12"/>
        <v>https://www.google.com/maps?q=-11.308883, -41.853503</v>
      </c>
      <c r="L417" s="5" t="str">
        <f t="shared" si="13"/>
        <v>Abrir no Maps</v>
      </c>
      <c r="M417" t="s">
        <v>2970</v>
      </c>
      <c r="N417" s="5"/>
      <c r="O417" t="str">
        <f>VLOOKUP(G417,'[1]CONFIG.'!$B:$C,2,0)</f>
        <v>ANDRE</v>
      </c>
      <c r="P417" t="str">
        <f>VLOOKUP(O417,'[1]CONFIG.'!$C:$D,2,0)</f>
        <v>74 99916877</v>
      </c>
    </row>
    <row r="418" spans="1:16" x14ac:dyDescent="0.3">
      <c r="A418" t="s">
        <v>2971</v>
      </c>
      <c r="B418" t="s">
        <v>2972</v>
      </c>
      <c r="C418" t="s">
        <v>2973</v>
      </c>
      <c r="D418" t="s">
        <v>36</v>
      </c>
      <c r="E418" t="s">
        <v>2974</v>
      </c>
      <c r="F418" t="s">
        <v>137</v>
      </c>
      <c r="G418">
        <v>210</v>
      </c>
      <c r="H418">
        <v>500</v>
      </c>
      <c r="I418" s="5" t="s">
        <v>2975</v>
      </c>
      <c r="J418" s="5" t="s">
        <v>2976</v>
      </c>
      <c r="K418" s="5" t="str">
        <f t="shared" si="12"/>
        <v>https://www.google.com/maps?q=-11.302214, -41.865922</v>
      </c>
      <c r="L418" s="5" t="str">
        <f t="shared" si="13"/>
        <v>Abrir no Maps</v>
      </c>
      <c r="M418" t="s">
        <v>2977</v>
      </c>
      <c r="N418" s="5"/>
      <c r="O418" t="str">
        <f>VLOOKUP(G418,'[1]CONFIG.'!$B:$C,2,0)</f>
        <v>SILAS</v>
      </c>
      <c r="P418" t="str">
        <f>VLOOKUP(O418,'[1]CONFIG.'!$C:$D,2,0)</f>
        <v>74 98041875</v>
      </c>
    </row>
    <row r="419" spans="1:16" x14ac:dyDescent="0.3">
      <c r="A419" t="s">
        <v>2978</v>
      </c>
      <c r="B419" t="s">
        <v>2979</v>
      </c>
      <c r="C419" t="s">
        <v>2980</v>
      </c>
      <c r="D419" t="s">
        <v>36</v>
      </c>
      <c r="E419" t="s">
        <v>2981</v>
      </c>
      <c r="F419" t="s">
        <v>137</v>
      </c>
      <c r="G419">
        <v>203</v>
      </c>
      <c r="H419">
        <v>200</v>
      </c>
      <c r="I419" s="5" t="s">
        <v>2982</v>
      </c>
      <c r="J419" s="5" t="s">
        <v>2983</v>
      </c>
      <c r="K419" s="5" t="str">
        <f t="shared" si="12"/>
        <v>https://www.google.com/maps?q=-11.303783, -41.851060</v>
      </c>
      <c r="L419" s="5" t="str">
        <f t="shared" si="13"/>
        <v>Abrir no Maps</v>
      </c>
      <c r="M419" t="s">
        <v>2984</v>
      </c>
      <c r="N419" s="5"/>
      <c r="O419" t="str">
        <f>VLOOKUP(G419,'[1]CONFIG.'!$B:$C,2,0)</f>
        <v>ALEXANDRE</v>
      </c>
      <c r="P419" t="str">
        <f>VLOOKUP(O419,'[1]CONFIG.'!$C:$D,2,0)</f>
        <v>74 99653478</v>
      </c>
    </row>
    <row r="420" spans="1:16" x14ac:dyDescent="0.3">
      <c r="A420" t="s">
        <v>2985</v>
      </c>
      <c r="B420" t="s">
        <v>2986</v>
      </c>
      <c r="C420" t="s">
        <v>2987</v>
      </c>
      <c r="D420" t="s">
        <v>36</v>
      </c>
      <c r="E420" t="s">
        <v>2988</v>
      </c>
      <c r="F420" t="s">
        <v>217</v>
      </c>
      <c r="G420">
        <v>209</v>
      </c>
      <c r="H420">
        <v>500</v>
      </c>
      <c r="I420" s="5" t="s">
        <v>2989</v>
      </c>
      <c r="J420" s="5" t="s">
        <v>2990</v>
      </c>
      <c r="K420" s="5" t="str">
        <f t="shared" si="12"/>
        <v>https://www.google.com/maps?q=-11.303392, -41.842907</v>
      </c>
      <c r="L420" s="5" t="str">
        <f t="shared" si="13"/>
        <v>Abrir no Maps</v>
      </c>
      <c r="M420" t="s">
        <v>2991</v>
      </c>
      <c r="N420" s="5"/>
      <c r="O420" t="str">
        <f>VLOOKUP(G420,'[1]CONFIG.'!$B:$C,2,0)</f>
        <v>IGOR</v>
      </c>
      <c r="P420" t="str">
        <f>VLOOKUP(O420,'[1]CONFIG.'!$C:$D,2,0)</f>
        <v>74 99590346</v>
      </c>
    </row>
    <row r="421" spans="1:16" x14ac:dyDescent="0.3">
      <c r="A421" t="s">
        <v>2992</v>
      </c>
      <c r="B421" t="s">
        <v>2993</v>
      </c>
      <c r="C421" t="s">
        <v>2994</v>
      </c>
      <c r="D421" t="s">
        <v>36</v>
      </c>
      <c r="E421" t="s">
        <v>2995</v>
      </c>
      <c r="F421" t="s">
        <v>2996</v>
      </c>
      <c r="G421">
        <v>212</v>
      </c>
      <c r="H421">
        <v>200</v>
      </c>
      <c r="I421" s="5" t="s">
        <v>2997</v>
      </c>
      <c r="J421" s="5" t="s">
        <v>2998</v>
      </c>
      <c r="K421" s="5" t="str">
        <f t="shared" si="12"/>
        <v>https://www.google.com/maps?q=-11.289297, -41.841860</v>
      </c>
      <c r="L421" s="5" t="str">
        <f t="shared" si="13"/>
        <v>Abrir no Maps</v>
      </c>
      <c r="M421" t="s">
        <v>2999</v>
      </c>
      <c r="N421" s="5"/>
      <c r="O421" t="str">
        <f>VLOOKUP(G421,'[1]CONFIG.'!$B:$C,2,0)</f>
        <v>ANDRE</v>
      </c>
      <c r="P421" t="str">
        <f>VLOOKUP(O421,'[1]CONFIG.'!$C:$D,2,0)</f>
        <v>74 99916877</v>
      </c>
    </row>
    <row r="422" spans="1:16" x14ac:dyDescent="0.3">
      <c r="A422" t="s">
        <v>3000</v>
      </c>
      <c r="B422" t="s">
        <v>3001</v>
      </c>
      <c r="C422" t="s">
        <v>3002</v>
      </c>
      <c r="D422" t="s">
        <v>36</v>
      </c>
      <c r="E422" t="s">
        <v>3003</v>
      </c>
      <c r="F422" t="s">
        <v>137</v>
      </c>
      <c r="G422">
        <v>210</v>
      </c>
      <c r="H422">
        <v>500</v>
      </c>
      <c r="I422" s="5" t="s">
        <v>3004</v>
      </c>
      <c r="J422" s="5" t="s">
        <v>3005</v>
      </c>
      <c r="K422" s="5" t="str">
        <f t="shared" si="12"/>
        <v>https://www.google.com/maps?q=-11.303389, -41.848627</v>
      </c>
      <c r="L422" s="5" t="str">
        <f t="shared" si="13"/>
        <v>Abrir no Maps</v>
      </c>
      <c r="M422" t="s">
        <v>3006</v>
      </c>
      <c r="N422" s="5"/>
      <c r="O422" t="str">
        <f>VLOOKUP(G422,'[1]CONFIG.'!$B:$C,2,0)</f>
        <v>SILAS</v>
      </c>
      <c r="P422" t="str">
        <f>VLOOKUP(O422,'[1]CONFIG.'!$C:$D,2,0)</f>
        <v>74 98041875</v>
      </c>
    </row>
    <row r="423" spans="1:16" x14ac:dyDescent="0.3">
      <c r="A423" t="s">
        <v>3007</v>
      </c>
      <c r="B423" t="s">
        <v>3008</v>
      </c>
      <c r="C423" t="s">
        <v>3009</v>
      </c>
      <c r="D423" t="s">
        <v>36</v>
      </c>
      <c r="E423" t="s">
        <v>3010</v>
      </c>
      <c r="F423" t="s">
        <v>350</v>
      </c>
      <c r="G423">
        <v>210</v>
      </c>
      <c r="H423">
        <v>500</v>
      </c>
      <c r="I423" s="5" t="s">
        <v>3011</v>
      </c>
      <c r="J423" s="5" t="s">
        <v>3012</v>
      </c>
      <c r="K423" s="5" t="str">
        <f t="shared" si="12"/>
        <v>https://www.google.com/maps?q=-11.336501, -41.930779</v>
      </c>
      <c r="L423" s="5" t="str">
        <f t="shared" si="13"/>
        <v>Abrir no Maps</v>
      </c>
      <c r="M423" t="s">
        <v>3013</v>
      </c>
      <c r="N423" s="5"/>
      <c r="O423" t="str">
        <f>VLOOKUP(G423,'[1]CONFIG.'!$B:$C,2,0)</f>
        <v>SILAS</v>
      </c>
      <c r="P423" t="str">
        <f>VLOOKUP(O423,'[1]CONFIG.'!$C:$D,2,0)</f>
        <v>74 98041875</v>
      </c>
    </row>
    <row r="424" spans="1:16" x14ac:dyDescent="0.3">
      <c r="A424" t="s">
        <v>3014</v>
      </c>
      <c r="B424" t="s">
        <v>3015</v>
      </c>
      <c r="C424" t="s">
        <v>3016</v>
      </c>
      <c r="D424" t="s">
        <v>36</v>
      </c>
      <c r="E424" t="s">
        <v>3017</v>
      </c>
      <c r="F424" t="s">
        <v>358</v>
      </c>
      <c r="G424">
        <v>207</v>
      </c>
      <c r="H424">
        <v>500</v>
      </c>
      <c r="I424" s="5" t="s">
        <v>3018</v>
      </c>
      <c r="J424" s="5" t="s">
        <v>3019</v>
      </c>
      <c r="K424" s="5" t="str">
        <f t="shared" si="12"/>
        <v>https://www.google.com/maps?q=-11.302919, -41.875169</v>
      </c>
      <c r="L424" s="5" t="str">
        <f t="shared" si="13"/>
        <v>Abrir no Maps</v>
      </c>
      <c r="M424" t="s">
        <v>3020</v>
      </c>
      <c r="N424" s="5"/>
      <c r="O424" t="str">
        <f>VLOOKUP(G424,'[1]CONFIG.'!$B:$C,2,0)</f>
        <v>HIAGO</v>
      </c>
      <c r="P424" t="str">
        <f>VLOOKUP(O424,'[1]CONFIG.'!$C:$D,2,0)</f>
        <v>74 99872571</v>
      </c>
    </row>
    <row r="425" spans="1:16" x14ac:dyDescent="0.3">
      <c r="A425" t="s">
        <v>3021</v>
      </c>
      <c r="B425" t="s">
        <v>3022</v>
      </c>
      <c r="C425" t="s">
        <v>3023</v>
      </c>
      <c r="D425" t="s">
        <v>36</v>
      </c>
      <c r="E425" t="s">
        <v>3024</v>
      </c>
      <c r="F425" t="s">
        <v>1605</v>
      </c>
      <c r="G425">
        <v>209</v>
      </c>
      <c r="H425">
        <v>500</v>
      </c>
      <c r="I425" s="5" t="s">
        <v>3025</v>
      </c>
      <c r="J425" s="5" t="s">
        <v>3026</v>
      </c>
      <c r="K425" s="5" t="str">
        <f t="shared" si="12"/>
        <v>https://www.google.com/maps?q=-11.308928, -41.853512</v>
      </c>
      <c r="L425" s="5" t="str">
        <f t="shared" si="13"/>
        <v>Abrir no Maps</v>
      </c>
      <c r="M425" t="s">
        <v>3027</v>
      </c>
      <c r="N425" s="5"/>
      <c r="O425" t="str">
        <f>VLOOKUP(G425,'[1]CONFIG.'!$B:$C,2,0)</f>
        <v>IGOR</v>
      </c>
      <c r="P425" t="str">
        <f>VLOOKUP(O425,'[1]CONFIG.'!$C:$D,2,0)</f>
        <v>74 99590346</v>
      </c>
    </row>
    <row r="426" spans="1:16" x14ac:dyDescent="0.3">
      <c r="A426" t="s">
        <v>3028</v>
      </c>
      <c r="B426" t="s">
        <v>3029</v>
      </c>
      <c r="C426" t="s">
        <v>3030</v>
      </c>
      <c r="D426" t="s">
        <v>36</v>
      </c>
      <c r="E426" t="s">
        <v>3031</v>
      </c>
      <c r="F426" t="s">
        <v>137</v>
      </c>
      <c r="G426">
        <v>210</v>
      </c>
      <c r="H426">
        <v>500</v>
      </c>
      <c r="I426" s="5" t="s">
        <v>3032</v>
      </c>
      <c r="J426" s="5" t="s">
        <v>3033</v>
      </c>
      <c r="K426" s="5" t="str">
        <f t="shared" si="12"/>
        <v>https://www.google.com/maps?q=-11.303961, -41.857638</v>
      </c>
      <c r="L426" s="5" t="str">
        <f t="shared" si="13"/>
        <v>Abrir no Maps</v>
      </c>
      <c r="M426" t="s">
        <v>2126</v>
      </c>
      <c r="N426" s="5"/>
      <c r="O426" t="str">
        <f>VLOOKUP(G426,'[1]CONFIG.'!$B:$C,2,0)</f>
        <v>SILAS</v>
      </c>
      <c r="P426" t="str">
        <f>VLOOKUP(O426,'[1]CONFIG.'!$C:$D,2,0)</f>
        <v>74 98041875</v>
      </c>
    </row>
    <row r="427" spans="1:16" x14ac:dyDescent="0.3">
      <c r="A427" t="s">
        <v>3034</v>
      </c>
      <c r="B427" t="s">
        <v>2527</v>
      </c>
      <c r="C427" t="s">
        <v>3035</v>
      </c>
      <c r="D427" t="s">
        <v>36</v>
      </c>
      <c r="E427" t="s">
        <v>3036</v>
      </c>
      <c r="F427" t="s">
        <v>358</v>
      </c>
      <c r="G427">
        <v>211</v>
      </c>
      <c r="H427">
        <v>500</v>
      </c>
      <c r="I427" s="5" t="s">
        <v>3037</v>
      </c>
      <c r="J427" s="5" t="s">
        <v>3038</v>
      </c>
      <c r="K427" s="5" t="str">
        <f t="shared" si="12"/>
        <v>https://www.google.com/maps?q=-11.304515, -41.874894</v>
      </c>
      <c r="L427" s="5" t="str">
        <f t="shared" si="13"/>
        <v>Abrir no Maps</v>
      </c>
      <c r="M427" t="s">
        <v>3039</v>
      </c>
      <c r="N427" s="5"/>
      <c r="O427" t="str">
        <f>VLOOKUP(G427,'[1]CONFIG.'!$B:$C,2,0)</f>
        <v>DAIANE</v>
      </c>
      <c r="P427" t="str">
        <f>VLOOKUP(O427,'[1]CONFIG.'!$C:$D,2,0)</f>
        <v>74 99298866</v>
      </c>
    </row>
    <row r="428" spans="1:16" x14ac:dyDescent="0.3">
      <c r="A428" t="s">
        <v>3040</v>
      </c>
      <c r="B428" t="s">
        <v>3041</v>
      </c>
      <c r="C428" t="s">
        <v>3042</v>
      </c>
      <c r="D428" t="s">
        <v>36</v>
      </c>
      <c r="E428" t="s">
        <v>3043</v>
      </c>
      <c r="F428" t="s">
        <v>3044</v>
      </c>
      <c r="G428">
        <v>210</v>
      </c>
      <c r="H428">
        <v>500</v>
      </c>
      <c r="I428" s="5" t="s">
        <v>3045</v>
      </c>
      <c r="J428" s="5" t="s">
        <v>3046</v>
      </c>
      <c r="K428" s="5" t="str">
        <f t="shared" si="12"/>
        <v>https://www.google.com/maps?q=-11.308693, -41.871906</v>
      </c>
      <c r="L428" s="5" t="str">
        <f t="shared" si="13"/>
        <v>Abrir no Maps</v>
      </c>
      <c r="M428" t="s">
        <v>3047</v>
      </c>
      <c r="N428" s="5"/>
      <c r="O428" t="str">
        <f>VLOOKUP(G428,'[1]CONFIG.'!$B:$C,2,0)</f>
        <v>SILAS</v>
      </c>
      <c r="P428" t="str">
        <f>VLOOKUP(O428,'[1]CONFIG.'!$C:$D,2,0)</f>
        <v>74 98041875</v>
      </c>
    </row>
    <row r="429" spans="1:16" x14ac:dyDescent="0.3">
      <c r="A429" t="s">
        <v>3048</v>
      </c>
      <c r="B429" t="s">
        <v>3049</v>
      </c>
      <c r="C429" t="s">
        <v>3050</v>
      </c>
      <c r="D429" t="s">
        <v>36</v>
      </c>
      <c r="E429" t="s">
        <v>3051</v>
      </c>
      <c r="F429" t="s">
        <v>137</v>
      </c>
      <c r="G429">
        <v>209</v>
      </c>
      <c r="H429">
        <v>500</v>
      </c>
      <c r="I429" s="5" t="s">
        <v>3052</v>
      </c>
      <c r="J429" s="5" t="s">
        <v>3053</v>
      </c>
      <c r="K429" s="5" t="str">
        <f t="shared" si="12"/>
        <v>https://www.google.com/maps?q=-11.302684, -41.853580</v>
      </c>
      <c r="L429" s="5" t="str">
        <f t="shared" si="13"/>
        <v>Abrir no Maps</v>
      </c>
      <c r="M429" t="s">
        <v>3054</v>
      </c>
      <c r="N429" s="5"/>
      <c r="O429" t="str">
        <f>VLOOKUP(G429,'[1]CONFIG.'!$B:$C,2,0)</f>
        <v>IGOR</v>
      </c>
      <c r="P429" t="str">
        <f>VLOOKUP(O429,'[1]CONFIG.'!$C:$D,2,0)</f>
        <v>74 99590346</v>
      </c>
    </row>
    <row r="430" spans="1:16" x14ac:dyDescent="0.3">
      <c r="A430" t="s">
        <v>3055</v>
      </c>
      <c r="B430" t="s">
        <v>3056</v>
      </c>
      <c r="C430" t="s">
        <v>3057</v>
      </c>
      <c r="D430" t="s">
        <v>36</v>
      </c>
      <c r="E430" t="s">
        <v>3058</v>
      </c>
      <c r="F430" t="s">
        <v>3059</v>
      </c>
      <c r="G430">
        <v>206</v>
      </c>
      <c r="H430">
        <v>200</v>
      </c>
      <c r="I430" s="5" t="s">
        <v>3060</v>
      </c>
      <c r="J430" s="5" t="s">
        <v>3061</v>
      </c>
      <c r="K430" s="5" t="str">
        <f t="shared" si="12"/>
        <v>https://www.google.com/maps?q=-11.323631, -41.797675</v>
      </c>
      <c r="L430" s="5" t="str">
        <f t="shared" si="13"/>
        <v>Abrir no Maps</v>
      </c>
      <c r="M430" t="s">
        <v>3062</v>
      </c>
      <c r="N430" s="5"/>
      <c r="O430" t="str">
        <f>VLOOKUP(G430,'[1]CONFIG.'!$B:$C,2,0)</f>
        <v>ROBERTO</v>
      </c>
      <c r="P430" t="str">
        <f>VLOOKUP(O430,'[1]CONFIG.'!$C:$D,2,0)</f>
        <v>74 99551147</v>
      </c>
    </row>
    <row r="431" spans="1:16" x14ac:dyDescent="0.3">
      <c r="A431" t="s">
        <v>3063</v>
      </c>
      <c r="B431" t="s">
        <v>3064</v>
      </c>
      <c r="C431" t="s">
        <v>3065</v>
      </c>
      <c r="D431" t="s">
        <v>36</v>
      </c>
      <c r="E431" t="s">
        <v>3066</v>
      </c>
      <c r="F431" t="s">
        <v>77</v>
      </c>
      <c r="G431">
        <v>204</v>
      </c>
      <c r="H431">
        <v>500</v>
      </c>
      <c r="I431" s="5" t="s">
        <v>3067</v>
      </c>
      <c r="J431" s="5" t="s">
        <v>3068</v>
      </c>
      <c r="K431" s="5" t="str">
        <f t="shared" si="12"/>
        <v>https://www.google.com/maps?q=-11.297363, -41.855525</v>
      </c>
      <c r="L431" s="5" t="str">
        <f t="shared" si="13"/>
        <v>Abrir no Maps</v>
      </c>
      <c r="M431" t="s">
        <v>3069</v>
      </c>
      <c r="N431" s="5"/>
      <c r="O431" t="str">
        <f>VLOOKUP(G431,'[1]CONFIG.'!$B:$C,2,0)</f>
        <v>EVA</v>
      </c>
      <c r="P431" t="str">
        <f>VLOOKUP(O431,'[1]CONFIG.'!$C:$D,2,0)</f>
        <v>74 98046078</v>
      </c>
    </row>
    <row r="432" spans="1:16" x14ac:dyDescent="0.3">
      <c r="A432" t="s">
        <v>3070</v>
      </c>
      <c r="B432" t="s">
        <v>3071</v>
      </c>
      <c r="C432" t="s">
        <v>3072</v>
      </c>
      <c r="D432" t="s">
        <v>36</v>
      </c>
      <c r="E432" t="s">
        <v>3073</v>
      </c>
      <c r="F432" t="s">
        <v>108</v>
      </c>
      <c r="G432">
        <v>207</v>
      </c>
      <c r="H432">
        <v>500</v>
      </c>
      <c r="I432" s="5" t="s">
        <v>3074</v>
      </c>
      <c r="J432" s="5" t="s">
        <v>3075</v>
      </c>
      <c r="K432" s="5" t="str">
        <f t="shared" si="12"/>
        <v>https://www.google.com/maps?q=-11.308891, -41.863628</v>
      </c>
      <c r="L432" s="5" t="str">
        <f t="shared" si="13"/>
        <v>Abrir no Maps</v>
      </c>
      <c r="M432" t="s">
        <v>3076</v>
      </c>
      <c r="N432" s="5"/>
      <c r="O432" t="str">
        <f>VLOOKUP(G432,'[1]CONFIG.'!$B:$C,2,0)</f>
        <v>HIAGO</v>
      </c>
      <c r="P432" t="str">
        <f>VLOOKUP(O432,'[1]CONFIG.'!$C:$D,2,0)</f>
        <v>74 99872571</v>
      </c>
    </row>
    <row r="433" spans="1:16" x14ac:dyDescent="0.3">
      <c r="A433" t="s">
        <v>3077</v>
      </c>
      <c r="B433" t="s">
        <v>3078</v>
      </c>
      <c r="C433" t="s">
        <v>3079</v>
      </c>
      <c r="D433" t="s">
        <v>36</v>
      </c>
      <c r="E433" t="s">
        <v>3080</v>
      </c>
      <c r="F433" t="s">
        <v>108</v>
      </c>
      <c r="G433">
        <v>204</v>
      </c>
      <c r="H433">
        <v>500</v>
      </c>
      <c r="I433" s="5" t="s">
        <v>3081</v>
      </c>
      <c r="J433" s="5" t="s">
        <v>3082</v>
      </c>
      <c r="K433" s="5" t="str">
        <f t="shared" si="12"/>
        <v>https://www.google.com/maps?q=-11.310492, -41.858414</v>
      </c>
      <c r="L433" s="5" t="str">
        <f t="shared" si="13"/>
        <v>Abrir no Maps</v>
      </c>
      <c r="M433" t="s">
        <v>3083</v>
      </c>
      <c r="N433" s="5"/>
      <c r="O433" t="str">
        <f>VLOOKUP(G433,'[1]CONFIG.'!$B:$C,2,0)</f>
        <v>EVA</v>
      </c>
      <c r="P433" t="str">
        <f>VLOOKUP(O433,'[1]CONFIG.'!$C:$D,2,0)</f>
        <v>74 98046078</v>
      </c>
    </row>
    <row r="434" spans="1:16" x14ac:dyDescent="0.3">
      <c r="A434" t="s">
        <v>3084</v>
      </c>
      <c r="B434" t="s">
        <v>3085</v>
      </c>
      <c r="C434" t="s">
        <v>3086</v>
      </c>
      <c r="D434" t="s">
        <v>36</v>
      </c>
      <c r="E434" t="s">
        <v>3087</v>
      </c>
      <c r="F434" t="s">
        <v>137</v>
      </c>
      <c r="G434">
        <v>210</v>
      </c>
      <c r="H434">
        <v>500</v>
      </c>
      <c r="I434" s="5" t="s">
        <v>3088</v>
      </c>
      <c r="J434" s="5" t="s">
        <v>3089</v>
      </c>
      <c r="K434" s="5" t="str">
        <f t="shared" si="12"/>
        <v>https://www.google.com/maps?q=-11.300900, -41.860789</v>
      </c>
      <c r="L434" s="5" t="str">
        <f t="shared" si="13"/>
        <v>Abrir no Maps</v>
      </c>
      <c r="M434" t="s">
        <v>3090</v>
      </c>
      <c r="N434" s="5"/>
      <c r="O434" t="str">
        <f>VLOOKUP(G434,'[1]CONFIG.'!$B:$C,2,0)</f>
        <v>SILAS</v>
      </c>
      <c r="P434" t="str">
        <f>VLOOKUP(O434,'[1]CONFIG.'!$C:$D,2,0)</f>
        <v>74 98041875</v>
      </c>
    </row>
    <row r="435" spans="1:16" x14ac:dyDescent="0.3">
      <c r="A435" t="s">
        <v>3091</v>
      </c>
      <c r="B435" t="s">
        <v>3092</v>
      </c>
      <c r="C435" t="s">
        <v>3093</v>
      </c>
      <c r="D435" t="s">
        <v>36</v>
      </c>
      <c r="E435" t="s">
        <v>3094</v>
      </c>
      <c r="F435" t="s">
        <v>853</v>
      </c>
      <c r="G435">
        <v>209</v>
      </c>
      <c r="H435">
        <v>500</v>
      </c>
      <c r="I435" s="5" t="s">
        <v>3095</v>
      </c>
      <c r="J435" s="5" t="s">
        <v>3096</v>
      </c>
      <c r="K435" s="5" t="str">
        <f t="shared" si="12"/>
        <v>https://www.google.com/maps?q=-11.310818, -41.851855</v>
      </c>
      <c r="L435" s="5" t="str">
        <f t="shared" si="13"/>
        <v>Abrir no Maps</v>
      </c>
      <c r="M435" t="s">
        <v>3097</v>
      </c>
      <c r="N435" s="5"/>
      <c r="O435" t="str">
        <f>VLOOKUP(G435,'[1]CONFIG.'!$B:$C,2,0)</f>
        <v>IGOR</v>
      </c>
      <c r="P435" t="str">
        <f>VLOOKUP(O435,'[1]CONFIG.'!$C:$D,2,0)</f>
        <v>74 99590346</v>
      </c>
    </row>
    <row r="436" spans="1:16" x14ac:dyDescent="0.3">
      <c r="A436" t="s">
        <v>3098</v>
      </c>
      <c r="B436" t="s">
        <v>3099</v>
      </c>
      <c r="C436" t="s">
        <v>3100</v>
      </c>
      <c r="D436" t="s">
        <v>36</v>
      </c>
      <c r="E436" t="s">
        <v>3101</v>
      </c>
      <c r="F436" t="s">
        <v>319</v>
      </c>
      <c r="G436">
        <v>209</v>
      </c>
      <c r="H436">
        <v>500</v>
      </c>
      <c r="I436" s="5" t="s">
        <v>3102</v>
      </c>
      <c r="J436" s="5" t="s">
        <v>3103</v>
      </c>
      <c r="K436" s="5" t="str">
        <f t="shared" si="12"/>
        <v>https://www.google.com/maps?q=-11.305538, -41.866095</v>
      </c>
      <c r="L436" s="5" t="str">
        <f t="shared" si="13"/>
        <v>Abrir no Maps</v>
      </c>
      <c r="M436" t="s">
        <v>3104</v>
      </c>
      <c r="N436" s="5"/>
      <c r="O436" t="str">
        <f>VLOOKUP(G436,'[1]CONFIG.'!$B:$C,2,0)</f>
        <v>IGOR</v>
      </c>
      <c r="P436" t="str">
        <f>VLOOKUP(O436,'[1]CONFIG.'!$C:$D,2,0)</f>
        <v>74 99590346</v>
      </c>
    </row>
    <row r="437" spans="1:16" x14ac:dyDescent="0.3">
      <c r="A437" t="s">
        <v>3105</v>
      </c>
      <c r="B437" t="s">
        <v>3106</v>
      </c>
      <c r="C437" t="s">
        <v>3107</v>
      </c>
      <c r="D437" t="s">
        <v>36</v>
      </c>
      <c r="E437" t="s">
        <v>3108</v>
      </c>
      <c r="F437" t="s">
        <v>3109</v>
      </c>
      <c r="G437">
        <v>211</v>
      </c>
      <c r="H437">
        <v>500</v>
      </c>
      <c r="I437" s="5" t="s">
        <v>3110</v>
      </c>
      <c r="J437" s="5" t="s">
        <v>3111</v>
      </c>
      <c r="K437" s="5" t="str">
        <f t="shared" si="12"/>
        <v>https://www.google.com/maps?q=-11.304421, -41.874383</v>
      </c>
      <c r="L437" s="5" t="str">
        <f t="shared" si="13"/>
        <v>Abrir no Maps</v>
      </c>
      <c r="M437" t="s">
        <v>3112</v>
      </c>
      <c r="N437" s="5"/>
      <c r="O437" t="str">
        <f>VLOOKUP(G437,'[1]CONFIG.'!$B:$C,2,0)</f>
        <v>DAIANE</v>
      </c>
      <c r="P437" t="str">
        <f>VLOOKUP(O437,'[1]CONFIG.'!$C:$D,2,0)</f>
        <v>74 99298866</v>
      </c>
    </row>
    <row r="438" spans="1:16" x14ac:dyDescent="0.3">
      <c r="A438" t="s">
        <v>3113</v>
      </c>
      <c r="B438" t="s">
        <v>3114</v>
      </c>
      <c r="C438" t="s">
        <v>3115</v>
      </c>
      <c r="D438" t="s">
        <v>36</v>
      </c>
      <c r="E438" t="s">
        <v>3116</v>
      </c>
      <c r="F438" t="s">
        <v>327</v>
      </c>
      <c r="G438">
        <v>209</v>
      </c>
      <c r="H438">
        <v>500</v>
      </c>
      <c r="I438" s="5" t="s">
        <v>3117</v>
      </c>
      <c r="J438" s="5" t="s">
        <v>3118</v>
      </c>
      <c r="K438" s="5" t="str">
        <f t="shared" si="12"/>
        <v>https://www.google.com/maps?q=-11.301063, -41.844103</v>
      </c>
      <c r="L438" s="5" t="str">
        <f t="shared" si="13"/>
        <v>Abrir no Maps</v>
      </c>
      <c r="M438" t="s">
        <v>3119</v>
      </c>
      <c r="N438" s="5"/>
      <c r="O438" t="str">
        <f>VLOOKUP(G438,'[1]CONFIG.'!$B:$C,2,0)</f>
        <v>IGOR</v>
      </c>
      <c r="P438" t="str">
        <f>VLOOKUP(O438,'[1]CONFIG.'!$C:$D,2,0)</f>
        <v>74 99590346</v>
      </c>
    </row>
    <row r="439" spans="1:16" x14ac:dyDescent="0.3">
      <c r="A439" t="s">
        <v>3120</v>
      </c>
      <c r="B439" t="s">
        <v>3121</v>
      </c>
      <c r="C439" t="s">
        <v>3122</v>
      </c>
      <c r="D439" t="s">
        <v>36</v>
      </c>
      <c r="E439" t="s">
        <v>3123</v>
      </c>
      <c r="F439" t="s">
        <v>319</v>
      </c>
      <c r="G439">
        <v>211</v>
      </c>
      <c r="H439">
        <v>500</v>
      </c>
      <c r="I439" s="5" t="s">
        <v>3124</v>
      </c>
      <c r="J439" s="5" t="s">
        <v>3125</v>
      </c>
      <c r="K439" s="5" t="str">
        <f t="shared" si="12"/>
        <v>https://www.google.com/maps?q=-11.307476, -41.871404</v>
      </c>
      <c r="L439" s="5" t="str">
        <f t="shared" si="13"/>
        <v>Abrir no Maps</v>
      </c>
      <c r="M439" t="s">
        <v>3126</v>
      </c>
      <c r="N439" s="5"/>
      <c r="O439" t="str">
        <f>VLOOKUP(G439,'[1]CONFIG.'!$B:$C,2,0)</f>
        <v>DAIANE</v>
      </c>
      <c r="P439" t="str">
        <f>VLOOKUP(O439,'[1]CONFIG.'!$C:$D,2,0)</f>
        <v>74 99298866</v>
      </c>
    </row>
    <row r="440" spans="1:16" x14ac:dyDescent="0.3">
      <c r="A440" t="s">
        <v>3127</v>
      </c>
      <c r="B440" t="s">
        <v>1531</v>
      </c>
      <c r="C440" t="s">
        <v>3128</v>
      </c>
      <c r="D440" t="s">
        <v>36</v>
      </c>
      <c r="E440" t="s">
        <v>3129</v>
      </c>
      <c r="F440" t="s">
        <v>217</v>
      </c>
      <c r="G440">
        <v>207</v>
      </c>
      <c r="H440">
        <v>500</v>
      </c>
      <c r="I440" s="5" t="s">
        <v>3130</v>
      </c>
      <c r="J440" s="5" t="s">
        <v>3131</v>
      </c>
      <c r="K440" s="5" t="str">
        <f t="shared" si="12"/>
        <v>https://www.google.com/maps?q=-11.309960, -41.854843</v>
      </c>
      <c r="L440" s="5" t="str">
        <f t="shared" si="13"/>
        <v>Abrir no Maps</v>
      </c>
      <c r="M440" t="s">
        <v>1536</v>
      </c>
      <c r="N440" s="5"/>
      <c r="O440" t="str">
        <f>VLOOKUP(G440,'[1]CONFIG.'!$B:$C,2,0)</f>
        <v>HIAGO</v>
      </c>
      <c r="P440" t="str">
        <f>VLOOKUP(O440,'[1]CONFIG.'!$C:$D,2,0)</f>
        <v>74 99872571</v>
      </c>
    </row>
    <row r="441" spans="1:16" x14ac:dyDescent="0.3">
      <c r="A441" t="s">
        <v>3132</v>
      </c>
      <c r="B441" t="s">
        <v>3133</v>
      </c>
      <c r="C441" t="s">
        <v>3134</v>
      </c>
      <c r="D441" t="s">
        <v>3135</v>
      </c>
      <c r="E441" t="s">
        <v>3136</v>
      </c>
      <c r="F441" t="s">
        <v>137</v>
      </c>
      <c r="G441">
        <v>204</v>
      </c>
      <c r="H441">
        <v>500</v>
      </c>
      <c r="I441" s="5" t="s">
        <v>3137</v>
      </c>
      <c r="J441" s="5" t="s">
        <v>3138</v>
      </c>
      <c r="K441" s="5" t="str">
        <f t="shared" si="12"/>
        <v>https://www.google.com/maps?q=-11.641640, -42.011050</v>
      </c>
      <c r="L441" s="5" t="str">
        <f t="shared" si="13"/>
        <v>Abrir no Maps</v>
      </c>
      <c r="M441" t="s">
        <v>3139</v>
      </c>
      <c r="N441" s="5"/>
      <c r="O441" t="str">
        <f>VLOOKUP(G441,'[1]CONFIG.'!$B:$C,2,0)</f>
        <v>EVA</v>
      </c>
      <c r="P441" t="str">
        <f>VLOOKUP(O441,'[1]CONFIG.'!$C:$D,2,0)</f>
        <v>74 98046078</v>
      </c>
    </row>
    <row r="442" spans="1:16" x14ac:dyDescent="0.3">
      <c r="A442" t="s">
        <v>3140</v>
      </c>
      <c r="B442" t="s">
        <v>3141</v>
      </c>
      <c r="C442" t="s">
        <v>3142</v>
      </c>
      <c r="D442" t="s">
        <v>3135</v>
      </c>
      <c r="E442" t="s">
        <v>3143</v>
      </c>
      <c r="F442" t="s">
        <v>3144</v>
      </c>
      <c r="G442">
        <v>204</v>
      </c>
      <c r="H442">
        <v>500</v>
      </c>
      <c r="I442" s="5" t="s">
        <v>3145</v>
      </c>
      <c r="J442" s="5" t="s">
        <v>3146</v>
      </c>
      <c r="K442" s="5" t="str">
        <f t="shared" si="12"/>
        <v>https://www.google.com/maps?q=-11.656855, -41.984303</v>
      </c>
      <c r="L442" s="5" t="str">
        <f t="shared" si="13"/>
        <v>Abrir no Maps</v>
      </c>
      <c r="M442" t="s">
        <v>3147</v>
      </c>
      <c r="N442" s="5"/>
      <c r="O442" t="str">
        <f>VLOOKUP(G442,'[1]CONFIG.'!$B:$C,2,0)</f>
        <v>EVA</v>
      </c>
      <c r="P442" t="str">
        <f>VLOOKUP(O442,'[1]CONFIG.'!$C:$D,2,0)</f>
        <v>74 98046078</v>
      </c>
    </row>
    <row r="443" spans="1:16" x14ac:dyDescent="0.3">
      <c r="A443" t="s">
        <v>3148</v>
      </c>
      <c r="B443" t="s">
        <v>3149</v>
      </c>
      <c r="C443" t="s">
        <v>3150</v>
      </c>
      <c r="D443" t="s">
        <v>3135</v>
      </c>
      <c r="E443" t="s">
        <v>3151</v>
      </c>
      <c r="F443" t="s">
        <v>137</v>
      </c>
      <c r="G443">
        <v>204</v>
      </c>
      <c r="H443">
        <v>500</v>
      </c>
      <c r="I443" s="5" t="s">
        <v>3152</v>
      </c>
      <c r="J443" s="5" t="s">
        <v>3153</v>
      </c>
      <c r="K443" s="5" t="str">
        <f t="shared" si="12"/>
        <v>https://www.google.com/maps?q=-11.641632, -42.008068</v>
      </c>
      <c r="L443" s="5" t="str">
        <f t="shared" si="13"/>
        <v>Abrir no Maps</v>
      </c>
      <c r="M443" t="s">
        <v>3154</v>
      </c>
      <c r="N443" s="5"/>
      <c r="O443" t="str">
        <f>VLOOKUP(G443,'[1]CONFIG.'!$B:$C,2,0)</f>
        <v>EVA</v>
      </c>
      <c r="P443" t="str">
        <f>VLOOKUP(O443,'[1]CONFIG.'!$C:$D,2,0)</f>
        <v>74 98046078</v>
      </c>
    </row>
    <row r="444" spans="1:16" x14ac:dyDescent="0.3">
      <c r="A444" t="s">
        <v>3155</v>
      </c>
      <c r="B444" t="s">
        <v>3156</v>
      </c>
      <c r="C444" t="s">
        <v>3157</v>
      </c>
      <c r="D444" t="s">
        <v>3135</v>
      </c>
      <c r="E444" t="s">
        <v>3158</v>
      </c>
      <c r="F444" t="s">
        <v>3159</v>
      </c>
      <c r="G444">
        <v>212</v>
      </c>
      <c r="H444">
        <v>200</v>
      </c>
      <c r="I444" s="5" t="s">
        <v>3160</v>
      </c>
      <c r="J444" s="5" t="s">
        <v>3161</v>
      </c>
      <c r="K444" s="5" t="str">
        <f t="shared" si="12"/>
        <v>https://www.google.com/maps?q=-11.436276, -42.314476</v>
      </c>
      <c r="L444" s="5" t="str">
        <f t="shared" si="13"/>
        <v>Abrir no Maps</v>
      </c>
      <c r="M444" t="s">
        <v>3162</v>
      </c>
      <c r="N444" s="5"/>
      <c r="O444" t="str">
        <f>VLOOKUP(G444,'[1]CONFIG.'!$B:$C,2,0)</f>
        <v>ANDRE</v>
      </c>
      <c r="P444" t="str">
        <f>VLOOKUP(O444,'[1]CONFIG.'!$C:$D,2,0)</f>
        <v>74 99916877</v>
      </c>
    </row>
    <row r="445" spans="1:16" x14ac:dyDescent="0.3">
      <c r="A445" t="s">
        <v>3163</v>
      </c>
      <c r="B445" t="s">
        <v>3164</v>
      </c>
      <c r="C445" t="s">
        <v>3165</v>
      </c>
      <c r="D445" t="s">
        <v>429</v>
      </c>
      <c r="E445" t="s">
        <v>3166</v>
      </c>
      <c r="F445" t="s">
        <v>137</v>
      </c>
      <c r="G445">
        <v>201</v>
      </c>
      <c r="H445">
        <v>300</v>
      </c>
      <c r="I445" s="5" t="s">
        <v>3167</v>
      </c>
      <c r="J445" s="5" t="s">
        <v>3168</v>
      </c>
      <c r="K445" s="5" t="str">
        <f t="shared" si="12"/>
        <v>https://www.google.com/maps?q=-11.546699, -41.165794</v>
      </c>
      <c r="L445" s="5" t="str">
        <f t="shared" si="13"/>
        <v>Abrir no Maps</v>
      </c>
      <c r="M445" t="s">
        <v>3169</v>
      </c>
      <c r="N445" s="5"/>
      <c r="O445" t="str">
        <f>VLOOKUP(G445,'[1]CONFIG.'!$B:$C,2,0)</f>
        <v>EDSON</v>
      </c>
      <c r="P445" t="str">
        <f>VLOOKUP(O445,'[1]CONFIG.'!$C:$D,2,0)</f>
        <v>74 99403278</v>
      </c>
    </row>
    <row r="446" spans="1:16" x14ac:dyDescent="0.3">
      <c r="A446" t="s">
        <v>3170</v>
      </c>
      <c r="B446" t="s">
        <v>3171</v>
      </c>
      <c r="C446" t="s">
        <v>3172</v>
      </c>
      <c r="D446" t="s">
        <v>3135</v>
      </c>
      <c r="E446" t="s">
        <v>3173</v>
      </c>
      <c r="F446" t="s">
        <v>3135</v>
      </c>
      <c r="G446">
        <v>212</v>
      </c>
      <c r="H446">
        <v>200</v>
      </c>
      <c r="I446" s="5" t="s">
        <v>3174</v>
      </c>
      <c r="J446" s="5" t="s">
        <v>3175</v>
      </c>
      <c r="K446" s="5" t="str">
        <f t="shared" si="12"/>
        <v>https://www.google.com/maps?q=-11.438313, -42.312958</v>
      </c>
      <c r="L446" s="5" t="str">
        <f t="shared" si="13"/>
        <v>Abrir no Maps</v>
      </c>
      <c r="M446" t="s">
        <v>3176</v>
      </c>
      <c r="N446" s="5"/>
      <c r="O446" t="str">
        <f>VLOOKUP(G446,'[1]CONFIG.'!$B:$C,2,0)</f>
        <v>ANDRE</v>
      </c>
      <c r="P446" t="str">
        <f>VLOOKUP(O446,'[1]CONFIG.'!$C:$D,2,0)</f>
        <v>74 99916877</v>
      </c>
    </row>
    <row r="447" spans="1:16" x14ac:dyDescent="0.3">
      <c r="A447" t="s">
        <v>3177</v>
      </c>
      <c r="B447" t="s">
        <v>3178</v>
      </c>
      <c r="C447" t="s">
        <v>3179</v>
      </c>
      <c r="D447" t="s">
        <v>3135</v>
      </c>
      <c r="E447" t="s">
        <v>3180</v>
      </c>
      <c r="F447" t="s">
        <v>3144</v>
      </c>
      <c r="G447">
        <v>204</v>
      </c>
      <c r="H447">
        <v>500</v>
      </c>
      <c r="I447" s="5" t="s">
        <v>3181</v>
      </c>
      <c r="J447" s="5" t="s">
        <v>3182</v>
      </c>
      <c r="K447" s="5" t="str">
        <f t="shared" si="12"/>
        <v>https://www.google.com/maps?q=-11.656843, -41.983677</v>
      </c>
      <c r="L447" s="5" t="str">
        <f t="shared" si="13"/>
        <v>Abrir no Maps</v>
      </c>
      <c r="M447" t="s">
        <v>3183</v>
      </c>
      <c r="N447" s="5"/>
      <c r="O447" t="str">
        <f>VLOOKUP(G447,'[1]CONFIG.'!$B:$C,2,0)</f>
        <v>EVA</v>
      </c>
      <c r="P447" t="str">
        <f>VLOOKUP(O447,'[1]CONFIG.'!$C:$D,2,0)</f>
        <v>74 98046078</v>
      </c>
    </row>
    <row r="448" spans="1:16" x14ac:dyDescent="0.3">
      <c r="A448" t="s">
        <v>3184</v>
      </c>
      <c r="B448" t="s">
        <v>3185</v>
      </c>
      <c r="C448" t="s">
        <v>3186</v>
      </c>
      <c r="D448" t="s">
        <v>3135</v>
      </c>
      <c r="E448" t="s">
        <v>3187</v>
      </c>
      <c r="F448" t="s">
        <v>137</v>
      </c>
      <c r="G448">
        <v>204</v>
      </c>
      <c r="H448">
        <v>500</v>
      </c>
      <c r="I448" s="5" t="s">
        <v>3188</v>
      </c>
      <c r="J448" s="5" t="s">
        <v>3189</v>
      </c>
      <c r="K448" s="5" t="str">
        <f t="shared" si="12"/>
        <v>https://www.google.com/maps?q=-11.640810, -42.015322</v>
      </c>
      <c r="L448" s="5" t="str">
        <f t="shared" si="13"/>
        <v>Abrir no Maps</v>
      </c>
      <c r="M448" t="s">
        <v>3190</v>
      </c>
      <c r="N448" s="5"/>
      <c r="O448" t="str">
        <f>VLOOKUP(G448,'[1]CONFIG.'!$B:$C,2,0)</f>
        <v>EVA</v>
      </c>
      <c r="P448" t="str">
        <f>VLOOKUP(O448,'[1]CONFIG.'!$C:$D,2,0)</f>
        <v>74 98046078</v>
      </c>
    </row>
    <row r="449" spans="1:16" x14ac:dyDescent="0.3">
      <c r="A449" t="s">
        <v>3191</v>
      </c>
      <c r="B449" t="s">
        <v>3192</v>
      </c>
      <c r="C449" t="s">
        <v>3193</v>
      </c>
      <c r="D449" t="s">
        <v>36</v>
      </c>
      <c r="E449" t="s">
        <v>3194</v>
      </c>
      <c r="F449" t="s">
        <v>988</v>
      </c>
      <c r="G449">
        <v>212</v>
      </c>
      <c r="H449">
        <v>200</v>
      </c>
      <c r="I449" s="5" t="s">
        <v>3195</v>
      </c>
      <c r="J449" s="5" t="s">
        <v>3196</v>
      </c>
      <c r="K449" s="5" t="str">
        <f t="shared" si="12"/>
        <v>https://www.google.com/maps?q=-11.304074, -41.839638</v>
      </c>
      <c r="L449" s="5" t="str">
        <f t="shared" si="13"/>
        <v>Abrir no Maps</v>
      </c>
      <c r="M449" t="s">
        <v>3197</v>
      </c>
      <c r="N449" s="5"/>
      <c r="O449" t="str">
        <f>VLOOKUP(G449,'[1]CONFIG.'!$B:$C,2,0)</f>
        <v>ANDRE</v>
      </c>
      <c r="P449" t="str">
        <f>VLOOKUP(O449,'[1]CONFIG.'!$C:$D,2,0)</f>
        <v>74 99916877</v>
      </c>
    </row>
    <row r="450" spans="1:16" x14ac:dyDescent="0.3">
      <c r="A450" t="s">
        <v>3198</v>
      </c>
      <c r="B450" t="s">
        <v>3199</v>
      </c>
      <c r="C450" t="s">
        <v>3200</v>
      </c>
      <c r="D450" t="s">
        <v>36</v>
      </c>
      <c r="E450" t="s">
        <v>3201</v>
      </c>
      <c r="F450" t="s">
        <v>159</v>
      </c>
      <c r="G450">
        <v>204</v>
      </c>
      <c r="H450">
        <v>500</v>
      </c>
      <c r="I450" s="5" t="s">
        <v>3202</v>
      </c>
      <c r="J450" s="5" t="s">
        <v>3203</v>
      </c>
      <c r="K450" s="5" t="str">
        <f t="shared" si="12"/>
        <v>https://www.google.com/maps?q=-11.301124, -41.854630</v>
      </c>
      <c r="L450" s="5" t="str">
        <f t="shared" si="13"/>
        <v>Abrir no Maps</v>
      </c>
      <c r="M450" t="s">
        <v>3204</v>
      </c>
      <c r="N450" s="5"/>
      <c r="O450" t="str">
        <f>VLOOKUP(G450,'[1]CONFIG.'!$B:$C,2,0)</f>
        <v>EVA</v>
      </c>
      <c r="P450" t="str">
        <f>VLOOKUP(O450,'[1]CONFIG.'!$C:$D,2,0)</f>
        <v>74 98046078</v>
      </c>
    </row>
    <row r="451" spans="1:16" x14ac:dyDescent="0.3">
      <c r="A451" t="s">
        <v>3205</v>
      </c>
      <c r="B451" t="s">
        <v>3206</v>
      </c>
      <c r="C451" t="s">
        <v>3207</v>
      </c>
      <c r="D451" t="s">
        <v>3208</v>
      </c>
      <c r="E451" t="s">
        <v>3209</v>
      </c>
      <c r="F451" t="s">
        <v>3210</v>
      </c>
      <c r="G451">
        <v>211</v>
      </c>
      <c r="H451">
        <v>500</v>
      </c>
      <c r="I451" s="5" t="s">
        <v>3211</v>
      </c>
      <c r="J451" s="5" t="s">
        <v>3212</v>
      </c>
      <c r="K451" s="5" t="str">
        <f t="shared" si="12"/>
        <v>https://www.google.com/maps?q=-11.807530, -42.059296</v>
      </c>
      <c r="L451" s="5" t="str">
        <f t="shared" si="13"/>
        <v>Abrir no Maps</v>
      </c>
      <c r="M451" t="s">
        <v>3213</v>
      </c>
      <c r="N451" s="5"/>
      <c r="O451" t="str">
        <f>VLOOKUP(G451,'[1]CONFIG.'!$B:$C,2,0)</f>
        <v>DAIANE</v>
      </c>
      <c r="P451" t="str">
        <f>VLOOKUP(O451,'[1]CONFIG.'!$C:$D,2,0)</f>
        <v>74 99298866</v>
      </c>
    </row>
    <row r="452" spans="1:16" x14ac:dyDescent="0.3">
      <c r="A452" t="s">
        <v>3214</v>
      </c>
      <c r="B452" t="s">
        <v>3215</v>
      </c>
      <c r="C452" t="s">
        <v>3216</v>
      </c>
      <c r="D452" t="s">
        <v>3217</v>
      </c>
      <c r="E452" t="s">
        <v>3218</v>
      </c>
      <c r="F452" t="s">
        <v>137</v>
      </c>
      <c r="G452">
        <v>205</v>
      </c>
      <c r="H452">
        <v>300</v>
      </c>
      <c r="I452" s="5" t="s">
        <v>3219</v>
      </c>
      <c r="J452" s="5" t="s">
        <v>3220</v>
      </c>
      <c r="K452" s="5" t="str">
        <f t="shared" ref="K452:K515" si="14">"https://www.google.com/maps?q="&amp;""&amp;LEFT(I452,3)&amp;"."&amp;RIGHT(I452,6)&amp;", "&amp;LEFT(J452,3)&amp;"."&amp;RIGHT(J452,6)</f>
        <v>https://www.google.com/maps?q=-11.252323, -40.945553</v>
      </c>
      <c r="L452" s="5" t="str">
        <f t="shared" ref="L452:L515" si="15">HYPERLINK(K452,"Abrir no Maps")</f>
        <v>Abrir no Maps</v>
      </c>
      <c r="M452" t="s">
        <v>3221</v>
      </c>
      <c r="N452" s="5"/>
      <c r="O452" t="str">
        <f>VLOOKUP(G452,'[1]CONFIG.'!$B:$C,2,0)</f>
        <v>EMETIO</v>
      </c>
      <c r="P452" t="str">
        <f>VLOOKUP(O452,'[1]CONFIG.'!$C:$D,2,0)</f>
        <v>74 98039589</v>
      </c>
    </row>
    <row r="453" spans="1:16" x14ac:dyDescent="0.3">
      <c r="A453" t="s">
        <v>3222</v>
      </c>
      <c r="B453" t="s">
        <v>3223</v>
      </c>
      <c r="C453" t="s">
        <v>3224</v>
      </c>
      <c r="D453" t="s">
        <v>3225</v>
      </c>
      <c r="E453" t="s">
        <v>3226</v>
      </c>
      <c r="F453" t="s">
        <v>137</v>
      </c>
      <c r="G453">
        <v>213</v>
      </c>
      <c r="H453">
        <v>300</v>
      </c>
      <c r="I453" s="5" t="s">
        <v>3227</v>
      </c>
      <c r="J453" s="5" t="s">
        <v>3228</v>
      </c>
      <c r="K453" s="5" t="str">
        <f t="shared" si="14"/>
        <v>https://www.google.com/maps?q=-12.083615, -41.095670</v>
      </c>
      <c r="L453" s="5" t="str">
        <f t="shared" si="15"/>
        <v>Abrir no Maps</v>
      </c>
      <c r="M453" t="s">
        <v>3229</v>
      </c>
      <c r="N453" s="5"/>
      <c r="O453" t="str">
        <f>VLOOKUP(G453,'[1]CONFIG.'!$B:$C,2,0)</f>
        <v>DANIEL</v>
      </c>
      <c r="P453" t="str">
        <f>VLOOKUP(O453,'[1]CONFIG.'!$C:$D,2,0)</f>
        <v>74 99461824</v>
      </c>
    </row>
    <row r="454" spans="1:16" x14ac:dyDescent="0.3">
      <c r="A454" t="s">
        <v>3230</v>
      </c>
      <c r="B454" t="s">
        <v>3231</v>
      </c>
      <c r="C454" t="s">
        <v>3232</v>
      </c>
      <c r="D454" t="s">
        <v>429</v>
      </c>
      <c r="E454" t="s">
        <v>3233</v>
      </c>
      <c r="F454" t="s">
        <v>137</v>
      </c>
      <c r="G454">
        <v>201</v>
      </c>
      <c r="H454">
        <v>300</v>
      </c>
      <c r="I454" s="5" t="s">
        <v>3234</v>
      </c>
      <c r="J454" s="5" t="s">
        <v>3235</v>
      </c>
      <c r="K454" s="5" t="str">
        <f t="shared" si="14"/>
        <v>https://www.google.com/maps?q=-11.548077, -41.162174</v>
      </c>
      <c r="L454" s="5" t="str">
        <f t="shared" si="15"/>
        <v>Abrir no Maps</v>
      </c>
      <c r="M454" t="s">
        <v>3236</v>
      </c>
      <c r="N454" s="5"/>
      <c r="O454" t="str">
        <f>VLOOKUP(G454,'[1]CONFIG.'!$B:$C,2,0)</f>
        <v>EDSON</v>
      </c>
      <c r="P454" t="str">
        <f>VLOOKUP(O454,'[1]CONFIG.'!$C:$D,2,0)</f>
        <v>74 99403278</v>
      </c>
    </row>
    <row r="455" spans="1:16" x14ac:dyDescent="0.3">
      <c r="A455" t="s">
        <v>3237</v>
      </c>
      <c r="B455" t="s">
        <v>3238</v>
      </c>
      <c r="C455" t="s">
        <v>3239</v>
      </c>
      <c r="D455" t="s">
        <v>3135</v>
      </c>
      <c r="E455" t="s">
        <v>3240</v>
      </c>
      <c r="F455" t="s">
        <v>3159</v>
      </c>
      <c r="G455">
        <v>212</v>
      </c>
      <c r="H455">
        <v>200</v>
      </c>
      <c r="I455" s="5" t="s">
        <v>3241</v>
      </c>
      <c r="J455" s="5" t="s">
        <v>3242</v>
      </c>
      <c r="K455" s="5" t="str">
        <f t="shared" si="14"/>
        <v>https://www.google.com/maps?q=-11.436726, -42.316540</v>
      </c>
      <c r="L455" s="5" t="str">
        <f t="shared" si="15"/>
        <v>Abrir no Maps</v>
      </c>
      <c r="M455" t="s">
        <v>3243</v>
      </c>
      <c r="N455" s="5"/>
      <c r="O455" t="str">
        <f>VLOOKUP(G455,'[1]CONFIG.'!$B:$C,2,0)</f>
        <v>ANDRE</v>
      </c>
      <c r="P455" t="str">
        <f>VLOOKUP(O455,'[1]CONFIG.'!$C:$D,2,0)</f>
        <v>74 99916877</v>
      </c>
    </row>
    <row r="456" spans="1:16" x14ac:dyDescent="0.3">
      <c r="A456" t="s">
        <v>3244</v>
      </c>
      <c r="B456" t="s">
        <v>3245</v>
      </c>
      <c r="C456" t="s">
        <v>3246</v>
      </c>
      <c r="D456" t="s">
        <v>3135</v>
      </c>
      <c r="E456" t="s">
        <v>3247</v>
      </c>
      <c r="F456" t="s">
        <v>137</v>
      </c>
      <c r="G456">
        <v>204</v>
      </c>
      <c r="H456">
        <v>500</v>
      </c>
      <c r="I456" s="5" t="s">
        <v>3248</v>
      </c>
      <c r="J456" s="5" t="s">
        <v>3249</v>
      </c>
      <c r="K456" s="5" t="str">
        <f t="shared" si="14"/>
        <v>https://www.google.com/maps?q=-11.644390, -42.009060</v>
      </c>
      <c r="L456" s="5" t="str">
        <f t="shared" si="15"/>
        <v>Abrir no Maps</v>
      </c>
      <c r="M456" t="s">
        <v>3250</v>
      </c>
      <c r="N456" s="5"/>
      <c r="O456" t="str">
        <f>VLOOKUP(G456,'[1]CONFIG.'!$B:$C,2,0)</f>
        <v>EVA</v>
      </c>
      <c r="P456" t="str">
        <f>VLOOKUP(O456,'[1]CONFIG.'!$C:$D,2,0)</f>
        <v>74 98046078</v>
      </c>
    </row>
    <row r="457" spans="1:16" x14ac:dyDescent="0.3">
      <c r="A457" t="s">
        <v>3251</v>
      </c>
      <c r="B457" t="s">
        <v>3252</v>
      </c>
      <c r="C457" t="s">
        <v>3253</v>
      </c>
      <c r="D457" t="s">
        <v>3135</v>
      </c>
      <c r="E457" t="s">
        <v>3254</v>
      </c>
      <c r="F457" t="s">
        <v>3255</v>
      </c>
      <c r="G457">
        <v>204</v>
      </c>
      <c r="H457">
        <v>500</v>
      </c>
      <c r="I457" s="5" t="s">
        <v>3256</v>
      </c>
      <c r="J457" s="5" t="s">
        <v>3257</v>
      </c>
      <c r="K457" s="5" t="str">
        <f t="shared" si="14"/>
        <v>https://www.google.com/maps?q=-11.708646, -42.065426</v>
      </c>
      <c r="L457" s="5" t="str">
        <f t="shared" si="15"/>
        <v>Abrir no Maps</v>
      </c>
      <c r="M457" t="s">
        <v>3258</v>
      </c>
      <c r="N457" s="5"/>
      <c r="O457" t="str">
        <f>VLOOKUP(G457,'[1]CONFIG.'!$B:$C,2,0)</f>
        <v>EVA</v>
      </c>
      <c r="P457" t="str">
        <f>VLOOKUP(O457,'[1]CONFIG.'!$C:$D,2,0)</f>
        <v>74 98046078</v>
      </c>
    </row>
    <row r="458" spans="1:16" x14ac:dyDescent="0.3">
      <c r="A458" t="s">
        <v>3259</v>
      </c>
      <c r="B458" t="s">
        <v>3260</v>
      </c>
      <c r="C458" t="s">
        <v>3261</v>
      </c>
      <c r="D458" t="s">
        <v>3135</v>
      </c>
      <c r="E458" t="s">
        <v>3262</v>
      </c>
      <c r="F458" t="s">
        <v>3263</v>
      </c>
      <c r="G458">
        <v>212</v>
      </c>
      <c r="H458">
        <v>200</v>
      </c>
      <c r="I458" s="5" t="s">
        <v>3264</v>
      </c>
      <c r="J458" s="5" t="s">
        <v>3265</v>
      </c>
      <c r="K458" s="5" t="str">
        <f t="shared" si="14"/>
        <v>https://www.google.com/maps?q=-11.503976, -42.208611</v>
      </c>
      <c r="L458" s="5" t="str">
        <f t="shared" si="15"/>
        <v>Abrir no Maps</v>
      </c>
      <c r="M458" t="s">
        <v>3266</v>
      </c>
      <c r="N458" s="5"/>
      <c r="O458" t="str">
        <f>VLOOKUP(G458,'[1]CONFIG.'!$B:$C,2,0)</f>
        <v>ANDRE</v>
      </c>
      <c r="P458" t="str">
        <f>VLOOKUP(O458,'[1]CONFIG.'!$C:$D,2,0)</f>
        <v>74 99916877</v>
      </c>
    </row>
    <row r="459" spans="1:16" x14ac:dyDescent="0.3">
      <c r="A459" t="s">
        <v>3267</v>
      </c>
      <c r="B459" t="s">
        <v>3268</v>
      </c>
      <c r="C459" t="s">
        <v>3269</v>
      </c>
      <c r="D459" t="s">
        <v>3135</v>
      </c>
      <c r="E459" t="s">
        <v>3270</v>
      </c>
      <c r="F459" t="s">
        <v>3271</v>
      </c>
      <c r="G459">
        <v>212</v>
      </c>
      <c r="H459">
        <v>200</v>
      </c>
      <c r="I459" s="5" t="s">
        <v>3272</v>
      </c>
      <c r="J459" s="5" t="s">
        <v>3273</v>
      </c>
      <c r="K459" s="5" t="str">
        <f t="shared" si="14"/>
        <v>https://www.google.com/maps?q=-11.435842, -42.316300</v>
      </c>
      <c r="L459" s="5" t="str">
        <f t="shared" si="15"/>
        <v>Abrir no Maps</v>
      </c>
      <c r="M459" t="s">
        <v>3274</v>
      </c>
      <c r="N459" s="5"/>
      <c r="O459" t="str">
        <f>VLOOKUP(G459,'[1]CONFIG.'!$B:$C,2,0)</f>
        <v>ANDRE</v>
      </c>
      <c r="P459" t="str">
        <f>VLOOKUP(O459,'[1]CONFIG.'!$C:$D,2,0)</f>
        <v>74 99916877</v>
      </c>
    </row>
    <row r="460" spans="1:16" x14ac:dyDescent="0.3">
      <c r="A460" t="s">
        <v>3275</v>
      </c>
      <c r="B460" t="s">
        <v>3276</v>
      </c>
      <c r="C460" t="s">
        <v>3277</v>
      </c>
      <c r="D460" t="s">
        <v>3135</v>
      </c>
      <c r="E460" t="s">
        <v>3278</v>
      </c>
      <c r="F460" t="s">
        <v>137</v>
      </c>
      <c r="G460">
        <v>204</v>
      </c>
      <c r="H460">
        <v>500</v>
      </c>
      <c r="I460" s="5" t="s">
        <v>3279</v>
      </c>
      <c r="J460" s="5" t="s">
        <v>3280</v>
      </c>
      <c r="K460" s="5" t="str">
        <f t="shared" si="14"/>
        <v>https://www.google.com/maps?q=-11.641014, -42.009613</v>
      </c>
      <c r="L460" s="5" t="str">
        <f t="shared" si="15"/>
        <v>Abrir no Maps</v>
      </c>
      <c r="M460" t="s">
        <v>3281</v>
      </c>
      <c r="N460" s="5"/>
      <c r="O460" t="str">
        <f>VLOOKUP(G460,'[1]CONFIG.'!$B:$C,2,0)</f>
        <v>EVA</v>
      </c>
      <c r="P460" t="str">
        <f>VLOOKUP(O460,'[1]CONFIG.'!$C:$D,2,0)</f>
        <v>74 98046078</v>
      </c>
    </row>
    <row r="461" spans="1:16" x14ac:dyDescent="0.3">
      <c r="A461" t="s">
        <v>3282</v>
      </c>
      <c r="B461" t="s">
        <v>3283</v>
      </c>
      <c r="C461" t="s">
        <v>3284</v>
      </c>
      <c r="D461" t="s">
        <v>3135</v>
      </c>
      <c r="E461" t="s">
        <v>3285</v>
      </c>
      <c r="F461" t="s">
        <v>137</v>
      </c>
      <c r="G461">
        <v>204</v>
      </c>
      <c r="H461">
        <v>500</v>
      </c>
      <c r="I461" s="5" t="s">
        <v>3286</v>
      </c>
      <c r="J461" s="5" t="s">
        <v>3287</v>
      </c>
      <c r="K461" s="5" t="str">
        <f t="shared" si="14"/>
        <v>https://www.google.com/maps?q=-11.639834, -42.008069</v>
      </c>
      <c r="L461" s="5" t="str">
        <f t="shared" si="15"/>
        <v>Abrir no Maps</v>
      </c>
      <c r="M461" t="s">
        <v>3288</v>
      </c>
      <c r="N461" s="5"/>
      <c r="O461" t="str">
        <f>VLOOKUP(G461,'[1]CONFIG.'!$B:$C,2,0)</f>
        <v>EVA</v>
      </c>
      <c r="P461" t="str">
        <f>VLOOKUP(O461,'[1]CONFIG.'!$C:$D,2,0)</f>
        <v>74 98046078</v>
      </c>
    </row>
    <row r="462" spans="1:16" x14ac:dyDescent="0.3">
      <c r="A462" t="s">
        <v>3289</v>
      </c>
      <c r="B462" t="s">
        <v>3290</v>
      </c>
      <c r="C462" t="s">
        <v>3291</v>
      </c>
      <c r="D462" t="s">
        <v>3135</v>
      </c>
      <c r="E462" t="s">
        <v>3292</v>
      </c>
      <c r="F462" t="s">
        <v>3271</v>
      </c>
      <c r="G462">
        <v>212</v>
      </c>
      <c r="H462">
        <v>200</v>
      </c>
      <c r="I462" s="5" t="s">
        <v>3293</v>
      </c>
      <c r="J462" s="5" t="s">
        <v>3294</v>
      </c>
      <c r="K462" s="5" t="str">
        <f t="shared" si="14"/>
        <v>https://www.google.com/maps?q=-11.436549, -42.316460</v>
      </c>
      <c r="L462" s="5" t="str">
        <f t="shared" si="15"/>
        <v>Abrir no Maps</v>
      </c>
      <c r="M462" t="s">
        <v>3295</v>
      </c>
      <c r="N462" s="5"/>
      <c r="O462" t="str">
        <f>VLOOKUP(G462,'[1]CONFIG.'!$B:$C,2,0)</f>
        <v>ANDRE</v>
      </c>
      <c r="P462" t="str">
        <f>VLOOKUP(O462,'[1]CONFIG.'!$C:$D,2,0)</f>
        <v>74 99916877</v>
      </c>
    </row>
    <row r="463" spans="1:16" x14ac:dyDescent="0.3">
      <c r="A463" t="s">
        <v>3296</v>
      </c>
      <c r="B463" t="s">
        <v>3297</v>
      </c>
      <c r="C463" t="s">
        <v>3298</v>
      </c>
      <c r="D463" t="s">
        <v>3135</v>
      </c>
      <c r="E463" t="s">
        <v>3299</v>
      </c>
      <c r="F463" t="s">
        <v>3300</v>
      </c>
      <c r="G463">
        <v>204</v>
      </c>
      <c r="H463">
        <v>500</v>
      </c>
      <c r="I463" s="5" t="s">
        <v>3301</v>
      </c>
      <c r="J463" s="5" t="s">
        <v>3302</v>
      </c>
      <c r="K463" s="5" t="str">
        <f t="shared" si="14"/>
        <v>https://www.google.com/maps?q=-11.653981, -41.988398</v>
      </c>
      <c r="L463" s="5" t="str">
        <f t="shared" si="15"/>
        <v>Abrir no Maps</v>
      </c>
      <c r="M463" t="s">
        <v>3303</v>
      </c>
      <c r="N463" s="5"/>
      <c r="O463" t="str">
        <f>VLOOKUP(G463,'[1]CONFIG.'!$B:$C,2,0)</f>
        <v>EVA</v>
      </c>
      <c r="P463" t="str">
        <f>VLOOKUP(O463,'[1]CONFIG.'!$C:$D,2,0)</f>
        <v>74 98046078</v>
      </c>
    </row>
    <row r="464" spans="1:16" x14ac:dyDescent="0.3">
      <c r="A464" t="s">
        <v>3304</v>
      </c>
      <c r="B464" t="s">
        <v>3305</v>
      </c>
      <c r="C464" t="s">
        <v>3306</v>
      </c>
      <c r="D464" t="s">
        <v>3135</v>
      </c>
      <c r="E464" t="s">
        <v>3307</v>
      </c>
      <c r="F464" t="s">
        <v>137</v>
      </c>
      <c r="G464">
        <v>212</v>
      </c>
      <c r="H464">
        <v>200</v>
      </c>
      <c r="I464" s="5" t="s">
        <v>3308</v>
      </c>
      <c r="J464" s="5" t="s">
        <v>3309</v>
      </c>
      <c r="K464" s="5" t="str">
        <f t="shared" si="14"/>
        <v>https://www.google.com/maps?q=-11.436111, -42.315000</v>
      </c>
      <c r="L464" s="5" t="str">
        <f t="shared" si="15"/>
        <v>Abrir no Maps</v>
      </c>
      <c r="M464" t="s">
        <v>3310</v>
      </c>
      <c r="N464" s="5"/>
      <c r="O464" t="str">
        <f>VLOOKUP(G464,'[1]CONFIG.'!$B:$C,2,0)</f>
        <v>ANDRE</v>
      </c>
      <c r="P464" t="str">
        <f>VLOOKUP(O464,'[1]CONFIG.'!$C:$D,2,0)</f>
        <v>74 99916877</v>
      </c>
    </row>
    <row r="465" spans="1:16" x14ac:dyDescent="0.3">
      <c r="A465" t="s">
        <v>3311</v>
      </c>
      <c r="B465" t="s">
        <v>3312</v>
      </c>
      <c r="C465" t="s">
        <v>3313</v>
      </c>
      <c r="D465" t="s">
        <v>3135</v>
      </c>
      <c r="E465" t="s">
        <v>3314</v>
      </c>
      <c r="F465" t="s">
        <v>137</v>
      </c>
      <c r="G465">
        <v>212</v>
      </c>
      <c r="H465">
        <v>200</v>
      </c>
      <c r="I465" s="5" t="s">
        <v>3315</v>
      </c>
      <c r="J465" s="5" t="s">
        <v>3316</v>
      </c>
      <c r="K465" s="5" t="str">
        <f t="shared" si="14"/>
        <v>https://www.google.com/maps?q=-11.437752, -42.316723</v>
      </c>
      <c r="L465" s="5" t="str">
        <f t="shared" si="15"/>
        <v>Abrir no Maps</v>
      </c>
      <c r="M465" t="s">
        <v>3317</v>
      </c>
      <c r="N465" s="5"/>
      <c r="O465" t="str">
        <f>VLOOKUP(G465,'[1]CONFIG.'!$B:$C,2,0)</f>
        <v>ANDRE</v>
      </c>
      <c r="P465" t="str">
        <f>VLOOKUP(O465,'[1]CONFIG.'!$C:$D,2,0)</f>
        <v>74 99916877</v>
      </c>
    </row>
    <row r="466" spans="1:16" x14ac:dyDescent="0.3">
      <c r="A466" t="s">
        <v>3318</v>
      </c>
      <c r="B466" t="s">
        <v>3319</v>
      </c>
      <c r="C466" t="s">
        <v>3320</v>
      </c>
      <c r="D466" t="s">
        <v>3135</v>
      </c>
      <c r="E466" t="s">
        <v>3321</v>
      </c>
      <c r="F466" t="s">
        <v>3159</v>
      </c>
      <c r="G466">
        <v>212</v>
      </c>
      <c r="H466">
        <v>200</v>
      </c>
      <c r="I466" s="5" t="s">
        <v>3322</v>
      </c>
      <c r="J466" s="5" t="s">
        <v>3323</v>
      </c>
      <c r="K466" s="5" t="str">
        <f t="shared" si="14"/>
        <v>https://www.google.com/maps?q=-11.435947, -42.315430</v>
      </c>
      <c r="L466" s="5" t="str">
        <f t="shared" si="15"/>
        <v>Abrir no Maps</v>
      </c>
      <c r="M466" t="s">
        <v>3324</v>
      </c>
      <c r="N466" s="5"/>
      <c r="O466" t="str">
        <f>VLOOKUP(G466,'[1]CONFIG.'!$B:$C,2,0)</f>
        <v>ANDRE</v>
      </c>
      <c r="P466" t="str">
        <f>VLOOKUP(O466,'[1]CONFIG.'!$C:$D,2,0)</f>
        <v>74 99916877</v>
      </c>
    </row>
    <row r="467" spans="1:16" x14ac:dyDescent="0.3">
      <c r="A467" t="s">
        <v>3325</v>
      </c>
      <c r="B467" t="s">
        <v>3326</v>
      </c>
      <c r="C467" t="s">
        <v>3327</v>
      </c>
      <c r="D467" t="s">
        <v>3135</v>
      </c>
      <c r="E467" t="s">
        <v>3328</v>
      </c>
      <c r="F467" t="s">
        <v>137</v>
      </c>
      <c r="G467">
        <v>204</v>
      </c>
      <c r="H467">
        <v>500</v>
      </c>
      <c r="I467" s="5" t="s">
        <v>3329</v>
      </c>
      <c r="J467" s="5" t="s">
        <v>3330</v>
      </c>
      <c r="K467" s="5" t="str">
        <f t="shared" si="14"/>
        <v>https://www.google.com/maps?q=-11.641822, -42.012440</v>
      </c>
      <c r="L467" s="5" t="str">
        <f t="shared" si="15"/>
        <v>Abrir no Maps</v>
      </c>
      <c r="M467" t="s">
        <v>3331</v>
      </c>
      <c r="N467" s="5"/>
      <c r="O467" t="str">
        <f>VLOOKUP(G467,'[1]CONFIG.'!$B:$C,2,0)</f>
        <v>EVA</v>
      </c>
      <c r="P467" t="str">
        <f>VLOOKUP(O467,'[1]CONFIG.'!$C:$D,2,0)</f>
        <v>74 98046078</v>
      </c>
    </row>
    <row r="468" spans="1:16" x14ac:dyDescent="0.3">
      <c r="A468" t="s">
        <v>3332</v>
      </c>
      <c r="B468" t="s">
        <v>3333</v>
      </c>
      <c r="C468" t="s">
        <v>3334</v>
      </c>
      <c r="D468" t="s">
        <v>3135</v>
      </c>
      <c r="E468" t="s">
        <v>3335</v>
      </c>
      <c r="F468" t="s">
        <v>137</v>
      </c>
      <c r="G468">
        <v>204</v>
      </c>
      <c r="H468">
        <v>500</v>
      </c>
      <c r="I468" s="5" t="s">
        <v>3336</v>
      </c>
      <c r="J468" s="5" t="s">
        <v>3337</v>
      </c>
      <c r="K468" s="5" t="str">
        <f t="shared" si="14"/>
        <v>https://www.google.com/maps?q=-11.643733, -42.008405</v>
      </c>
      <c r="L468" s="5" t="str">
        <f t="shared" si="15"/>
        <v>Abrir no Maps</v>
      </c>
      <c r="M468" t="s">
        <v>3338</v>
      </c>
      <c r="N468" s="5"/>
      <c r="O468" t="str">
        <f>VLOOKUP(G468,'[1]CONFIG.'!$B:$C,2,0)</f>
        <v>EVA</v>
      </c>
      <c r="P468" t="str">
        <f>VLOOKUP(O468,'[1]CONFIG.'!$C:$D,2,0)</f>
        <v>74 98046078</v>
      </c>
    </row>
    <row r="469" spans="1:16" x14ac:dyDescent="0.3">
      <c r="A469" t="s">
        <v>3339</v>
      </c>
      <c r="B469" t="s">
        <v>3340</v>
      </c>
      <c r="C469" t="s">
        <v>3341</v>
      </c>
      <c r="D469" t="s">
        <v>3135</v>
      </c>
      <c r="E469" t="s">
        <v>3342</v>
      </c>
      <c r="F469" t="s">
        <v>3343</v>
      </c>
      <c r="G469">
        <v>204</v>
      </c>
      <c r="H469">
        <v>500</v>
      </c>
      <c r="I469" s="5" t="s">
        <v>3344</v>
      </c>
      <c r="J469" s="5" t="s">
        <v>3345</v>
      </c>
      <c r="K469" s="5" t="str">
        <f t="shared" si="14"/>
        <v>https://www.google.com/maps?q=-11.708897, -42.064960</v>
      </c>
      <c r="L469" s="5" t="str">
        <f t="shared" si="15"/>
        <v>Abrir no Maps</v>
      </c>
      <c r="M469" t="s">
        <v>3346</v>
      </c>
      <c r="N469" s="5"/>
      <c r="O469" t="str">
        <f>VLOOKUP(G469,'[1]CONFIG.'!$B:$C,2,0)</f>
        <v>EVA</v>
      </c>
      <c r="P469" t="str">
        <f>VLOOKUP(O469,'[1]CONFIG.'!$C:$D,2,0)</f>
        <v>74 98046078</v>
      </c>
    </row>
    <row r="470" spans="1:16" x14ac:dyDescent="0.3">
      <c r="A470" t="s">
        <v>3347</v>
      </c>
      <c r="B470" t="s">
        <v>3348</v>
      </c>
      <c r="C470" t="s">
        <v>3349</v>
      </c>
      <c r="D470" t="s">
        <v>3135</v>
      </c>
      <c r="E470" t="s">
        <v>3350</v>
      </c>
      <c r="F470" t="s">
        <v>3351</v>
      </c>
      <c r="G470">
        <v>212</v>
      </c>
      <c r="H470">
        <v>200</v>
      </c>
      <c r="I470" s="5" t="s">
        <v>3352</v>
      </c>
      <c r="J470" s="5" t="s">
        <v>3353</v>
      </c>
      <c r="K470" s="5" t="str">
        <f t="shared" si="14"/>
        <v>https://www.google.com/maps?q=-11.436778, -42.312645</v>
      </c>
      <c r="L470" s="5" t="str">
        <f t="shared" si="15"/>
        <v>Abrir no Maps</v>
      </c>
      <c r="M470" t="s">
        <v>3354</v>
      </c>
      <c r="N470" s="5"/>
      <c r="O470" t="str">
        <f>VLOOKUP(G470,'[1]CONFIG.'!$B:$C,2,0)</f>
        <v>ANDRE</v>
      </c>
      <c r="P470" t="str">
        <f>VLOOKUP(O470,'[1]CONFIG.'!$C:$D,2,0)</f>
        <v>74 99916877</v>
      </c>
    </row>
    <row r="471" spans="1:16" x14ac:dyDescent="0.3">
      <c r="A471" t="s">
        <v>3355</v>
      </c>
      <c r="B471" t="s">
        <v>3356</v>
      </c>
      <c r="C471" t="s">
        <v>3357</v>
      </c>
      <c r="D471" t="s">
        <v>3135</v>
      </c>
      <c r="E471" t="s">
        <v>3358</v>
      </c>
      <c r="F471" t="s">
        <v>3135</v>
      </c>
      <c r="G471">
        <v>212</v>
      </c>
      <c r="H471">
        <v>200</v>
      </c>
      <c r="I471" s="5" t="s">
        <v>3359</v>
      </c>
      <c r="J471" s="5" t="s">
        <v>3360</v>
      </c>
      <c r="K471" s="5" t="str">
        <f t="shared" si="14"/>
        <v>https://www.google.com/maps?q=-11.434588, -42.315796</v>
      </c>
      <c r="L471" s="5" t="str">
        <f t="shared" si="15"/>
        <v>Abrir no Maps</v>
      </c>
      <c r="M471" t="s">
        <v>3361</v>
      </c>
      <c r="N471" s="5"/>
      <c r="O471" t="str">
        <f>VLOOKUP(G471,'[1]CONFIG.'!$B:$C,2,0)</f>
        <v>ANDRE</v>
      </c>
      <c r="P471" t="str">
        <f>VLOOKUP(O471,'[1]CONFIG.'!$C:$D,2,0)</f>
        <v>74 99916877</v>
      </c>
    </row>
    <row r="472" spans="1:16" x14ac:dyDescent="0.3">
      <c r="A472" t="s">
        <v>3362</v>
      </c>
      <c r="B472" t="s">
        <v>3363</v>
      </c>
      <c r="C472" t="s">
        <v>3364</v>
      </c>
      <c r="D472" t="s">
        <v>3135</v>
      </c>
      <c r="E472" t="s">
        <v>3365</v>
      </c>
      <c r="F472" t="s">
        <v>3366</v>
      </c>
      <c r="G472">
        <v>212</v>
      </c>
      <c r="H472">
        <v>200</v>
      </c>
      <c r="I472" s="5" t="s">
        <v>3367</v>
      </c>
      <c r="J472" s="5" t="s">
        <v>3368</v>
      </c>
      <c r="K472" s="5" t="str">
        <f t="shared" si="14"/>
        <v>https://www.google.com/maps?q=-11.437481, -42.316660</v>
      </c>
      <c r="L472" s="5" t="str">
        <f t="shared" si="15"/>
        <v>Abrir no Maps</v>
      </c>
      <c r="M472" t="s">
        <v>3369</v>
      </c>
      <c r="N472" s="5"/>
      <c r="O472" t="str">
        <f>VLOOKUP(G472,'[1]CONFIG.'!$B:$C,2,0)</f>
        <v>ANDRE</v>
      </c>
      <c r="P472" t="str">
        <f>VLOOKUP(O472,'[1]CONFIG.'!$C:$D,2,0)</f>
        <v>74 99916877</v>
      </c>
    </row>
    <row r="473" spans="1:16" x14ac:dyDescent="0.3">
      <c r="A473" t="s">
        <v>3370</v>
      </c>
      <c r="B473" t="s">
        <v>3371</v>
      </c>
      <c r="C473" t="s">
        <v>3372</v>
      </c>
      <c r="D473" t="s">
        <v>3135</v>
      </c>
      <c r="E473" t="s">
        <v>3373</v>
      </c>
      <c r="F473" t="s">
        <v>3374</v>
      </c>
      <c r="G473">
        <v>212</v>
      </c>
      <c r="H473">
        <v>200</v>
      </c>
      <c r="I473" s="5" t="s">
        <v>3375</v>
      </c>
      <c r="J473" s="5" t="s">
        <v>3376</v>
      </c>
      <c r="K473" s="5" t="str">
        <f t="shared" si="14"/>
        <v>https://www.google.com/maps?q=-11.612488, -42.104702</v>
      </c>
      <c r="L473" s="5" t="str">
        <f t="shared" si="15"/>
        <v>Abrir no Maps</v>
      </c>
      <c r="M473" t="s">
        <v>3377</v>
      </c>
      <c r="N473" s="5"/>
      <c r="O473" t="str">
        <f>VLOOKUP(G473,'[1]CONFIG.'!$B:$C,2,0)</f>
        <v>ANDRE</v>
      </c>
      <c r="P473" t="str">
        <f>VLOOKUP(O473,'[1]CONFIG.'!$C:$D,2,0)</f>
        <v>74 99916877</v>
      </c>
    </row>
    <row r="474" spans="1:16" x14ac:dyDescent="0.3">
      <c r="A474" t="s">
        <v>3378</v>
      </c>
      <c r="B474" t="s">
        <v>3379</v>
      </c>
      <c r="C474" t="s">
        <v>3380</v>
      </c>
      <c r="D474" t="s">
        <v>3135</v>
      </c>
      <c r="E474" t="s">
        <v>3381</v>
      </c>
      <c r="F474" t="s">
        <v>137</v>
      </c>
      <c r="G474">
        <v>204</v>
      </c>
      <c r="H474">
        <v>500</v>
      </c>
      <c r="I474" s="5" t="s">
        <v>3382</v>
      </c>
      <c r="J474" s="5" t="s">
        <v>3383</v>
      </c>
      <c r="K474" s="5" t="str">
        <f t="shared" si="14"/>
        <v>https://www.google.com/maps?q=-11.642755, -42.011517</v>
      </c>
      <c r="L474" s="5" t="str">
        <f t="shared" si="15"/>
        <v>Abrir no Maps</v>
      </c>
      <c r="M474" t="s">
        <v>3384</v>
      </c>
      <c r="N474" s="5"/>
      <c r="O474" t="str">
        <f>VLOOKUP(G474,'[1]CONFIG.'!$B:$C,2,0)</f>
        <v>EVA</v>
      </c>
      <c r="P474" t="str">
        <f>VLOOKUP(O474,'[1]CONFIG.'!$C:$D,2,0)</f>
        <v>74 98046078</v>
      </c>
    </row>
    <row r="475" spans="1:16" x14ac:dyDescent="0.3">
      <c r="A475" t="s">
        <v>3385</v>
      </c>
      <c r="B475" t="s">
        <v>3386</v>
      </c>
      <c r="C475" t="s">
        <v>3387</v>
      </c>
      <c r="D475" t="s">
        <v>3135</v>
      </c>
      <c r="E475" t="s">
        <v>3388</v>
      </c>
      <c r="F475" t="s">
        <v>3159</v>
      </c>
      <c r="G475">
        <v>212</v>
      </c>
      <c r="H475">
        <v>200</v>
      </c>
      <c r="I475" s="5" t="s">
        <v>3389</v>
      </c>
      <c r="J475" s="5" t="s">
        <v>3390</v>
      </c>
      <c r="K475" s="5" t="str">
        <f t="shared" si="14"/>
        <v>https://www.google.com/maps?q=-11.436272, -42.316690</v>
      </c>
      <c r="L475" s="5" t="str">
        <f t="shared" si="15"/>
        <v>Abrir no Maps</v>
      </c>
      <c r="M475" t="s">
        <v>3391</v>
      </c>
      <c r="N475" s="5"/>
      <c r="O475" t="str">
        <f>VLOOKUP(G475,'[1]CONFIG.'!$B:$C,2,0)</f>
        <v>ANDRE</v>
      </c>
      <c r="P475" t="str">
        <f>VLOOKUP(O475,'[1]CONFIG.'!$C:$D,2,0)</f>
        <v>74 99916877</v>
      </c>
    </row>
    <row r="476" spans="1:16" x14ac:dyDescent="0.3">
      <c r="A476" t="s">
        <v>3392</v>
      </c>
      <c r="B476" t="s">
        <v>3393</v>
      </c>
      <c r="C476" t="s">
        <v>3394</v>
      </c>
      <c r="D476" t="s">
        <v>3135</v>
      </c>
      <c r="E476" t="s">
        <v>3395</v>
      </c>
      <c r="F476" t="s">
        <v>3159</v>
      </c>
      <c r="G476">
        <v>212</v>
      </c>
      <c r="H476">
        <v>200</v>
      </c>
      <c r="I476" s="5" t="s">
        <v>3396</v>
      </c>
      <c r="J476" s="5" t="s">
        <v>3397</v>
      </c>
      <c r="K476" s="5" t="str">
        <f t="shared" si="14"/>
        <v>https://www.google.com/maps?q=-11.443193, -42.317856</v>
      </c>
      <c r="L476" s="5" t="str">
        <f t="shared" si="15"/>
        <v>Abrir no Maps</v>
      </c>
      <c r="M476" t="s">
        <v>3398</v>
      </c>
      <c r="N476" s="5"/>
      <c r="O476" t="str">
        <f>VLOOKUP(G476,'[1]CONFIG.'!$B:$C,2,0)</f>
        <v>ANDRE</v>
      </c>
      <c r="P476" t="str">
        <f>VLOOKUP(O476,'[1]CONFIG.'!$C:$D,2,0)</f>
        <v>74 99916877</v>
      </c>
    </row>
    <row r="477" spans="1:16" x14ac:dyDescent="0.3">
      <c r="A477" t="s">
        <v>3399</v>
      </c>
      <c r="B477" t="s">
        <v>3400</v>
      </c>
      <c r="C477" t="s">
        <v>3401</v>
      </c>
      <c r="D477" t="s">
        <v>3135</v>
      </c>
      <c r="E477" t="s">
        <v>3402</v>
      </c>
      <c r="F477" t="s">
        <v>3159</v>
      </c>
      <c r="G477">
        <v>212</v>
      </c>
      <c r="H477">
        <v>200</v>
      </c>
      <c r="I477" s="5" t="s">
        <v>3403</v>
      </c>
      <c r="J477" s="5" t="s">
        <v>3404</v>
      </c>
      <c r="K477" s="5" t="str">
        <f t="shared" si="14"/>
        <v>https://www.google.com/maps?q=-11.437650, -42.316666</v>
      </c>
      <c r="L477" s="5" t="str">
        <f t="shared" si="15"/>
        <v>Abrir no Maps</v>
      </c>
      <c r="M477" t="s">
        <v>3405</v>
      </c>
      <c r="N477" s="5"/>
      <c r="O477" t="str">
        <f>VLOOKUP(G477,'[1]CONFIG.'!$B:$C,2,0)</f>
        <v>ANDRE</v>
      </c>
      <c r="P477" t="str">
        <f>VLOOKUP(O477,'[1]CONFIG.'!$C:$D,2,0)</f>
        <v>74 99916877</v>
      </c>
    </row>
    <row r="478" spans="1:16" x14ac:dyDescent="0.3">
      <c r="A478" t="s">
        <v>3406</v>
      </c>
      <c r="B478" t="s">
        <v>3407</v>
      </c>
      <c r="C478" t="s">
        <v>3408</v>
      </c>
      <c r="D478" t="s">
        <v>3135</v>
      </c>
      <c r="E478" t="s">
        <v>3409</v>
      </c>
      <c r="F478" t="s">
        <v>3374</v>
      </c>
      <c r="G478">
        <v>212</v>
      </c>
      <c r="H478">
        <v>200</v>
      </c>
      <c r="I478" s="5" t="s">
        <v>3410</v>
      </c>
      <c r="J478" s="5" t="s">
        <v>3411</v>
      </c>
      <c r="K478" s="5" t="str">
        <f t="shared" si="14"/>
        <v>https://www.google.com/maps?q=-11.614127, -42.108780</v>
      </c>
      <c r="L478" s="5" t="str">
        <f t="shared" si="15"/>
        <v>Abrir no Maps</v>
      </c>
      <c r="M478" t="s">
        <v>3412</v>
      </c>
      <c r="N478" s="5"/>
      <c r="O478" t="str">
        <f>VLOOKUP(G478,'[1]CONFIG.'!$B:$C,2,0)</f>
        <v>ANDRE</v>
      </c>
      <c r="P478" t="str">
        <f>VLOOKUP(O478,'[1]CONFIG.'!$C:$D,2,0)</f>
        <v>74 99916877</v>
      </c>
    </row>
    <row r="479" spans="1:16" x14ac:dyDescent="0.3">
      <c r="A479" t="s">
        <v>3413</v>
      </c>
      <c r="B479" t="s">
        <v>3414</v>
      </c>
      <c r="C479" t="s">
        <v>3415</v>
      </c>
      <c r="D479" t="s">
        <v>3135</v>
      </c>
      <c r="E479" t="s">
        <v>3416</v>
      </c>
      <c r="F479" t="s">
        <v>137</v>
      </c>
      <c r="G479">
        <v>204</v>
      </c>
      <c r="H479">
        <v>500</v>
      </c>
      <c r="I479" s="5" t="s">
        <v>3417</v>
      </c>
      <c r="J479" s="5" t="s">
        <v>3418</v>
      </c>
      <c r="K479" s="5" t="str">
        <f t="shared" si="14"/>
        <v>https://www.google.com/maps?q=-11.643482, -42.010710</v>
      </c>
      <c r="L479" s="5" t="str">
        <f t="shared" si="15"/>
        <v>Abrir no Maps</v>
      </c>
      <c r="M479" t="s">
        <v>3419</v>
      </c>
      <c r="N479" s="5"/>
      <c r="O479" t="str">
        <f>VLOOKUP(G479,'[1]CONFIG.'!$B:$C,2,0)</f>
        <v>EVA</v>
      </c>
      <c r="P479" t="str">
        <f>VLOOKUP(O479,'[1]CONFIG.'!$C:$D,2,0)</f>
        <v>74 98046078</v>
      </c>
    </row>
    <row r="480" spans="1:16" x14ac:dyDescent="0.3">
      <c r="A480" t="s">
        <v>3420</v>
      </c>
      <c r="B480" t="s">
        <v>3421</v>
      </c>
      <c r="C480" t="s">
        <v>3422</v>
      </c>
      <c r="D480" t="s">
        <v>3135</v>
      </c>
      <c r="E480" t="s">
        <v>3423</v>
      </c>
      <c r="F480" t="s">
        <v>3374</v>
      </c>
      <c r="G480">
        <v>212</v>
      </c>
      <c r="H480">
        <v>200</v>
      </c>
      <c r="I480" s="5" t="s">
        <v>3424</v>
      </c>
      <c r="J480" s="5" t="s">
        <v>3425</v>
      </c>
      <c r="K480" s="5" t="str">
        <f t="shared" si="14"/>
        <v>https://www.google.com/maps?q=-11.612582, -42.108940</v>
      </c>
      <c r="L480" s="5" t="str">
        <f t="shared" si="15"/>
        <v>Abrir no Maps</v>
      </c>
      <c r="M480" t="s">
        <v>3426</v>
      </c>
      <c r="N480" s="5"/>
      <c r="O480" t="str">
        <f>VLOOKUP(G480,'[1]CONFIG.'!$B:$C,2,0)</f>
        <v>ANDRE</v>
      </c>
      <c r="P480" t="str">
        <f>VLOOKUP(O480,'[1]CONFIG.'!$C:$D,2,0)</f>
        <v>74 99916877</v>
      </c>
    </row>
    <row r="481" spans="1:16" x14ac:dyDescent="0.3">
      <c r="A481" t="s">
        <v>3427</v>
      </c>
      <c r="B481" t="s">
        <v>3428</v>
      </c>
      <c r="C481" t="s">
        <v>3429</v>
      </c>
      <c r="D481" t="s">
        <v>3135</v>
      </c>
      <c r="E481" t="s">
        <v>3430</v>
      </c>
      <c r="F481" t="s">
        <v>137</v>
      </c>
      <c r="G481">
        <v>204</v>
      </c>
      <c r="H481">
        <v>500</v>
      </c>
      <c r="I481" s="5" t="s">
        <v>3431</v>
      </c>
      <c r="J481" s="5" t="s">
        <v>3432</v>
      </c>
      <c r="K481" s="5" t="str">
        <f t="shared" si="14"/>
        <v>https://www.google.com/maps?q=-11.643315, -42.010845</v>
      </c>
      <c r="L481" s="5" t="str">
        <f t="shared" si="15"/>
        <v>Abrir no Maps</v>
      </c>
      <c r="M481" t="s">
        <v>2893</v>
      </c>
      <c r="N481" s="5"/>
      <c r="O481" t="str">
        <f>VLOOKUP(G481,'[1]CONFIG.'!$B:$C,2,0)</f>
        <v>EVA</v>
      </c>
      <c r="P481" t="str">
        <f>VLOOKUP(O481,'[1]CONFIG.'!$C:$D,2,0)</f>
        <v>74 98046078</v>
      </c>
    </row>
    <row r="482" spans="1:16" x14ac:dyDescent="0.3">
      <c r="A482" t="s">
        <v>3433</v>
      </c>
      <c r="B482" t="s">
        <v>3434</v>
      </c>
      <c r="C482" t="s">
        <v>3435</v>
      </c>
      <c r="D482" t="s">
        <v>3135</v>
      </c>
      <c r="E482" t="s">
        <v>3436</v>
      </c>
      <c r="F482" t="s">
        <v>137</v>
      </c>
      <c r="G482">
        <v>204</v>
      </c>
      <c r="H482">
        <v>500</v>
      </c>
      <c r="I482" s="5" t="s">
        <v>3437</v>
      </c>
      <c r="J482" s="5" t="s">
        <v>3438</v>
      </c>
      <c r="K482" s="5" t="str">
        <f t="shared" si="14"/>
        <v>https://www.google.com/maps?q=-11.643319, -42.010876</v>
      </c>
      <c r="L482" s="5" t="str">
        <f t="shared" si="15"/>
        <v>Abrir no Maps</v>
      </c>
      <c r="M482" t="s">
        <v>3439</v>
      </c>
      <c r="N482" s="5"/>
      <c r="O482" t="str">
        <f>VLOOKUP(G482,'[1]CONFIG.'!$B:$C,2,0)</f>
        <v>EVA</v>
      </c>
      <c r="P482" t="str">
        <f>VLOOKUP(O482,'[1]CONFIG.'!$C:$D,2,0)</f>
        <v>74 98046078</v>
      </c>
    </row>
    <row r="483" spans="1:16" x14ac:dyDescent="0.3">
      <c r="A483" t="s">
        <v>3440</v>
      </c>
      <c r="B483" t="s">
        <v>3441</v>
      </c>
      <c r="C483" t="s">
        <v>3442</v>
      </c>
      <c r="D483" t="s">
        <v>3135</v>
      </c>
      <c r="E483" t="s">
        <v>3443</v>
      </c>
      <c r="F483" t="s">
        <v>3444</v>
      </c>
      <c r="G483">
        <v>212</v>
      </c>
      <c r="H483">
        <v>200</v>
      </c>
      <c r="I483" s="5" t="s">
        <v>3445</v>
      </c>
      <c r="J483" s="5" t="s">
        <v>3446</v>
      </c>
      <c r="K483" s="5" t="str">
        <f t="shared" si="14"/>
        <v>https://www.google.com/maps?q=-11.482778, -42.211666</v>
      </c>
      <c r="L483" s="5" t="str">
        <f t="shared" si="15"/>
        <v>Abrir no Maps</v>
      </c>
      <c r="M483" t="s">
        <v>3447</v>
      </c>
      <c r="N483" s="5"/>
      <c r="O483" t="str">
        <f>VLOOKUP(G483,'[1]CONFIG.'!$B:$C,2,0)</f>
        <v>ANDRE</v>
      </c>
      <c r="P483" t="str">
        <f>VLOOKUP(O483,'[1]CONFIG.'!$C:$D,2,0)</f>
        <v>74 99916877</v>
      </c>
    </row>
    <row r="484" spans="1:16" x14ac:dyDescent="0.3">
      <c r="A484" t="s">
        <v>3448</v>
      </c>
      <c r="B484" t="s">
        <v>3449</v>
      </c>
      <c r="C484" t="s">
        <v>3450</v>
      </c>
      <c r="D484" t="s">
        <v>3135</v>
      </c>
      <c r="E484" t="s">
        <v>3451</v>
      </c>
      <c r="F484" t="s">
        <v>3452</v>
      </c>
      <c r="G484">
        <v>212</v>
      </c>
      <c r="H484">
        <v>200</v>
      </c>
      <c r="I484" s="5" t="s">
        <v>3453</v>
      </c>
      <c r="J484" s="5" t="s">
        <v>3454</v>
      </c>
      <c r="K484" s="5" t="str">
        <f t="shared" si="14"/>
        <v>https://www.google.com/maps?q=-11.550834, -42.175000</v>
      </c>
      <c r="L484" s="5" t="str">
        <f t="shared" si="15"/>
        <v>Abrir no Maps</v>
      </c>
      <c r="M484" t="s">
        <v>3455</v>
      </c>
      <c r="N484" s="5"/>
      <c r="O484" t="str">
        <f>VLOOKUP(G484,'[1]CONFIG.'!$B:$C,2,0)</f>
        <v>ANDRE</v>
      </c>
      <c r="P484" t="str">
        <f>VLOOKUP(O484,'[1]CONFIG.'!$C:$D,2,0)</f>
        <v>74 99916877</v>
      </c>
    </row>
    <row r="485" spans="1:16" x14ac:dyDescent="0.3">
      <c r="A485" t="s">
        <v>3456</v>
      </c>
      <c r="B485" t="s">
        <v>3457</v>
      </c>
      <c r="C485" t="s">
        <v>3458</v>
      </c>
      <c r="D485" t="s">
        <v>3135</v>
      </c>
      <c r="E485" t="s">
        <v>3459</v>
      </c>
      <c r="F485" t="s">
        <v>137</v>
      </c>
      <c r="G485">
        <v>204</v>
      </c>
      <c r="H485">
        <v>500</v>
      </c>
      <c r="I485" s="5" t="s">
        <v>3460</v>
      </c>
      <c r="J485" s="5" t="s">
        <v>3461</v>
      </c>
      <c r="K485" s="5" t="str">
        <f t="shared" si="14"/>
        <v>https://www.google.com/maps?q=-11.641666, -42.011390</v>
      </c>
      <c r="L485" s="5" t="str">
        <f t="shared" si="15"/>
        <v>Abrir no Maps</v>
      </c>
      <c r="M485" t="s">
        <v>3462</v>
      </c>
      <c r="N485" s="5"/>
      <c r="O485" t="str">
        <f>VLOOKUP(G485,'[1]CONFIG.'!$B:$C,2,0)</f>
        <v>EVA</v>
      </c>
      <c r="P485" t="str">
        <f>VLOOKUP(O485,'[1]CONFIG.'!$C:$D,2,0)</f>
        <v>74 98046078</v>
      </c>
    </row>
    <row r="486" spans="1:16" x14ac:dyDescent="0.3">
      <c r="A486" t="s">
        <v>3463</v>
      </c>
      <c r="B486" t="s">
        <v>3464</v>
      </c>
      <c r="C486" t="s">
        <v>3465</v>
      </c>
      <c r="D486" t="s">
        <v>3135</v>
      </c>
      <c r="E486" t="s">
        <v>3466</v>
      </c>
      <c r="F486" t="s">
        <v>3467</v>
      </c>
      <c r="G486">
        <v>212</v>
      </c>
      <c r="H486">
        <v>200</v>
      </c>
      <c r="I486" s="5" t="s">
        <v>3468</v>
      </c>
      <c r="J486" s="5" t="s">
        <v>3446</v>
      </c>
      <c r="K486" s="5" t="str">
        <f t="shared" si="14"/>
        <v>https://www.google.com/maps?q=-11.482500, -42.211666</v>
      </c>
      <c r="L486" s="5" t="str">
        <f t="shared" si="15"/>
        <v>Abrir no Maps</v>
      </c>
      <c r="M486" t="s">
        <v>3469</v>
      </c>
      <c r="N486" s="5"/>
      <c r="O486" t="str">
        <f>VLOOKUP(G486,'[1]CONFIG.'!$B:$C,2,0)</f>
        <v>ANDRE</v>
      </c>
      <c r="P486" t="str">
        <f>VLOOKUP(O486,'[1]CONFIG.'!$C:$D,2,0)</f>
        <v>74 99916877</v>
      </c>
    </row>
    <row r="487" spans="1:16" x14ac:dyDescent="0.3">
      <c r="A487" t="s">
        <v>3470</v>
      </c>
      <c r="B487" t="s">
        <v>3471</v>
      </c>
      <c r="C487" t="s">
        <v>3472</v>
      </c>
      <c r="D487" t="s">
        <v>3135</v>
      </c>
      <c r="E487" t="s">
        <v>3473</v>
      </c>
      <c r="F487" t="s">
        <v>137</v>
      </c>
      <c r="G487">
        <v>204</v>
      </c>
      <c r="H487">
        <v>500</v>
      </c>
      <c r="I487" s="5" t="s">
        <v>3474</v>
      </c>
      <c r="J487" s="5" t="s">
        <v>3475</v>
      </c>
      <c r="K487" s="5" t="str">
        <f t="shared" si="14"/>
        <v>https://www.google.com/maps?q=-11.644314, -42.009254</v>
      </c>
      <c r="L487" s="5" t="str">
        <f t="shared" si="15"/>
        <v>Abrir no Maps</v>
      </c>
      <c r="M487" t="s">
        <v>3476</v>
      </c>
      <c r="N487" s="5"/>
      <c r="O487" t="str">
        <f>VLOOKUP(G487,'[1]CONFIG.'!$B:$C,2,0)</f>
        <v>EVA</v>
      </c>
      <c r="P487" t="str">
        <f>VLOOKUP(O487,'[1]CONFIG.'!$C:$D,2,0)</f>
        <v>74 98046078</v>
      </c>
    </row>
    <row r="488" spans="1:16" x14ac:dyDescent="0.3">
      <c r="A488" t="s">
        <v>3477</v>
      </c>
      <c r="B488" t="s">
        <v>3478</v>
      </c>
      <c r="C488" t="s">
        <v>3479</v>
      </c>
      <c r="D488" t="s">
        <v>3135</v>
      </c>
      <c r="E488" t="s">
        <v>3480</v>
      </c>
      <c r="F488" t="s">
        <v>3300</v>
      </c>
      <c r="G488">
        <v>204</v>
      </c>
      <c r="H488">
        <v>500</v>
      </c>
      <c r="I488" s="5" t="s">
        <v>3481</v>
      </c>
      <c r="J488" s="5" t="s">
        <v>3482</v>
      </c>
      <c r="K488" s="5" t="str">
        <f t="shared" si="14"/>
        <v>https://www.google.com/maps?q=-11.654337, -41.988754</v>
      </c>
      <c r="L488" s="5" t="str">
        <f t="shared" si="15"/>
        <v>Abrir no Maps</v>
      </c>
      <c r="M488" t="s">
        <v>3483</v>
      </c>
      <c r="N488" s="5"/>
      <c r="O488" t="str">
        <f>VLOOKUP(G488,'[1]CONFIG.'!$B:$C,2,0)</f>
        <v>EVA</v>
      </c>
      <c r="P488" t="str">
        <f>VLOOKUP(O488,'[1]CONFIG.'!$C:$D,2,0)</f>
        <v>74 98046078</v>
      </c>
    </row>
    <row r="489" spans="1:16" x14ac:dyDescent="0.3">
      <c r="A489" t="s">
        <v>3484</v>
      </c>
      <c r="B489" t="s">
        <v>1702</v>
      </c>
      <c r="C489" t="s">
        <v>3485</v>
      </c>
      <c r="D489" t="s">
        <v>3135</v>
      </c>
      <c r="E489" t="s">
        <v>3486</v>
      </c>
      <c r="F489" t="s">
        <v>137</v>
      </c>
      <c r="G489">
        <v>204</v>
      </c>
      <c r="H489">
        <v>500</v>
      </c>
      <c r="I489" s="5" t="s">
        <v>3487</v>
      </c>
      <c r="J489" s="5" t="s">
        <v>3488</v>
      </c>
      <c r="K489" s="5" t="str">
        <f t="shared" si="14"/>
        <v>https://www.google.com/maps?q=-11.644854, -42.008530</v>
      </c>
      <c r="L489" s="5" t="str">
        <f t="shared" si="15"/>
        <v>Abrir no Maps</v>
      </c>
      <c r="M489" t="s">
        <v>3489</v>
      </c>
      <c r="N489" s="5"/>
      <c r="O489" t="str">
        <f>VLOOKUP(G489,'[1]CONFIG.'!$B:$C,2,0)</f>
        <v>EVA</v>
      </c>
      <c r="P489" t="str">
        <f>VLOOKUP(O489,'[1]CONFIG.'!$C:$D,2,0)</f>
        <v>74 98046078</v>
      </c>
    </row>
    <row r="490" spans="1:16" x14ac:dyDescent="0.3">
      <c r="A490" t="s">
        <v>3490</v>
      </c>
      <c r="B490" t="s">
        <v>3491</v>
      </c>
      <c r="C490" t="s">
        <v>3492</v>
      </c>
      <c r="D490" t="s">
        <v>3135</v>
      </c>
      <c r="E490" t="s">
        <v>3493</v>
      </c>
      <c r="F490" t="s">
        <v>137</v>
      </c>
      <c r="G490">
        <v>212</v>
      </c>
      <c r="H490">
        <v>200</v>
      </c>
      <c r="I490" s="5" t="s">
        <v>3494</v>
      </c>
      <c r="J490" s="5" t="s">
        <v>3495</v>
      </c>
      <c r="K490" s="5" t="str">
        <f t="shared" si="14"/>
        <v>https://www.google.com/maps?q=-11.435631, -42.316307</v>
      </c>
      <c r="L490" s="5" t="str">
        <f t="shared" si="15"/>
        <v>Abrir no Maps</v>
      </c>
      <c r="M490" t="s">
        <v>3496</v>
      </c>
      <c r="N490" s="5"/>
      <c r="O490" t="str">
        <f>VLOOKUP(G490,'[1]CONFIG.'!$B:$C,2,0)</f>
        <v>ANDRE</v>
      </c>
      <c r="P490" t="str">
        <f>VLOOKUP(O490,'[1]CONFIG.'!$C:$D,2,0)</f>
        <v>74 99916877</v>
      </c>
    </row>
    <row r="491" spans="1:16" x14ac:dyDescent="0.3">
      <c r="A491" t="s">
        <v>3497</v>
      </c>
      <c r="B491" t="s">
        <v>3498</v>
      </c>
      <c r="C491" t="s">
        <v>3499</v>
      </c>
      <c r="D491" t="s">
        <v>3135</v>
      </c>
      <c r="E491" t="s">
        <v>3500</v>
      </c>
      <c r="F491" t="s">
        <v>3501</v>
      </c>
      <c r="G491">
        <v>212</v>
      </c>
      <c r="H491">
        <v>200</v>
      </c>
      <c r="I491" s="5" t="s">
        <v>3502</v>
      </c>
      <c r="J491" s="5" t="s">
        <v>3503</v>
      </c>
      <c r="K491" s="5" t="str">
        <f t="shared" si="14"/>
        <v>https://www.google.com/maps?q=-11.416212, -42.260975</v>
      </c>
      <c r="L491" s="5" t="str">
        <f t="shared" si="15"/>
        <v>Abrir no Maps</v>
      </c>
      <c r="M491" t="s">
        <v>3504</v>
      </c>
      <c r="N491" s="5"/>
      <c r="O491" t="str">
        <f>VLOOKUP(G491,'[1]CONFIG.'!$B:$C,2,0)</f>
        <v>ANDRE</v>
      </c>
      <c r="P491" t="str">
        <f>VLOOKUP(O491,'[1]CONFIG.'!$C:$D,2,0)</f>
        <v>74 99916877</v>
      </c>
    </row>
    <row r="492" spans="1:16" x14ac:dyDescent="0.3">
      <c r="A492" t="s">
        <v>3505</v>
      </c>
      <c r="B492" t="s">
        <v>3506</v>
      </c>
      <c r="C492" t="s">
        <v>3507</v>
      </c>
      <c r="D492" t="s">
        <v>3135</v>
      </c>
      <c r="E492" t="s">
        <v>3508</v>
      </c>
      <c r="F492" t="s">
        <v>3509</v>
      </c>
      <c r="G492">
        <v>212</v>
      </c>
      <c r="H492">
        <v>200</v>
      </c>
      <c r="I492" s="5" t="s">
        <v>3510</v>
      </c>
      <c r="J492" s="5" t="s">
        <v>3511</v>
      </c>
      <c r="K492" s="5" t="str">
        <f t="shared" si="14"/>
        <v>https://www.google.com/maps?q=-11.415098, -42.262493</v>
      </c>
      <c r="L492" s="5" t="str">
        <f t="shared" si="15"/>
        <v>Abrir no Maps</v>
      </c>
      <c r="M492" t="s">
        <v>3512</v>
      </c>
      <c r="N492" s="5"/>
      <c r="O492" t="str">
        <f>VLOOKUP(G492,'[1]CONFIG.'!$B:$C,2,0)</f>
        <v>ANDRE</v>
      </c>
      <c r="P492" t="str">
        <f>VLOOKUP(O492,'[1]CONFIG.'!$C:$D,2,0)</f>
        <v>74 99916877</v>
      </c>
    </row>
    <row r="493" spans="1:16" x14ac:dyDescent="0.3">
      <c r="A493" t="s">
        <v>3513</v>
      </c>
      <c r="B493" t="s">
        <v>3514</v>
      </c>
      <c r="C493" t="s">
        <v>3515</v>
      </c>
      <c r="D493" t="s">
        <v>3135</v>
      </c>
      <c r="E493" t="s">
        <v>3516</v>
      </c>
      <c r="F493" t="s">
        <v>3517</v>
      </c>
      <c r="G493">
        <v>212</v>
      </c>
      <c r="H493">
        <v>200</v>
      </c>
      <c r="I493" s="5" t="s">
        <v>3518</v>
      </c>
      <c r="J493" s="5" t="s">
        <v>3519</v>
      </c>
      <c r="K493" s="5" t="str">
        <f t="shared" si="14"/>
        <v>https://www.google.com/maps?q=-11.436441, -42.313976</v>
      </c>
      <c r="L493" s="5" t="str">
        <f t="shared" si="15"/>
        <v>Abrir no Maps</v>
      </c>
      <c r="M493" t="s">
        <v>3520</v>
      </c>
      <c r="N493" s="5"/>
      <c r="O493" t="str">
        <f>VLOOKUP(G493,'[1]CONFIG.'!$B:$C,2,0)</f>
        <v>ANDRE</v>
      </c>
      <c r="P493" t="str">
        <f>VLOOKUP(O493,'[1]CONFIG.'!$C:$D,2,0)</f>
        <v>74 99916877</v>
      </c>
    </row>
    <row r="494" spans="1:16" x14ac:dyDescent="0.3">
      <c r="A494" t="s">
        <v>3521</v>
      </c>
      <c r="B494" t="s">
        <v>3522</v>
      </c>
      <c r="C494" t="s">
        <v>3523</v>
      </c>
      <c r="D494" t="s">
        <v>3135</v>
      </c>
      <c r="E494" t="s">
        <v>3524</v>
      </c>
      <c r="F494" t="s">
        <v>3501</v>
      </c>
      <c r="G494">
        <v>212</v>
      </c>
      <c r="H494">
        <v>200</v>
      </c>
      <c r="I494" s="5" t="s">
        <v>3525</v>
      </c>
      <c r="J494" s="5" t="s">
        <v>3526</v>
      </c>
      <c r="K494" s="5" t="str">
        <f t="shared" si="14"/>
        <v>https://www.google.com/maps?q=-11.436808, -42.312637</v>
      </c>
      <c r="L494" s="5" t="str">
        <f t="shared" si="15"/>
        <v>Abrir no Maps</v>
      </c>
      <c r="M494" t="s">
        <v>3527</v>
      </c>
      <c r="N494" s="5"/>
      <c r="O494" t="str">
        <f>VLOOKUP(G494,'[1]CONFIG.'!$B:$C,2,0)</f>
        <v>ANDRE</v>
      </c>
      <c r="P494" t="str">
        <f>VLOOKUP(O494,'[1]CONFIG.'!$C:$D,2,0)</f>
        <v>74 99916877</v>
      </c>
    </row>
    <row r="495" spans="1:16" x14ac:dyDescent="0.3">
      <c r="A495" t="s">
        <v>3528</v>
      </c>
      <c r="B495" t="s">
        <v>3529</v>
      </c>
      <c r="C495" t="s">
        <v>3530</v>
      </c>
      <c r="D495" t="s">
        <v>3135</v>
      </c>
      <c r="E495" t="s">
        <v>3531</v>
      </c>
      <c r="F495" t="s">
        <v>3300</v>
      </c>
      <c r="G495">
        <v>204</v>
      </c>
      <c r="H495">
        <v>500</v>
      </c>
      <c r="I495" s="5" t="s">
        <v>3532</v>
      </c>
      <c r="J495" s="5" t="s">
        <v>3533</v>
      </c>
      <c r="K495" s="5" t="str">
        <f t="shared" si="14"/>
        <v>https://www.google.com/maps?q=-11.656398, -41.983566</v>
      </c>
      <c r="L495" s="5" t="str">
        <f t="shared" si="15"/>
        <v>Abrir no Maps</v>
      </c>
      <c r="M495" t="s">
        <v>3534</v>
      </c>
      <c r="N495" s="5"/>
      <c r="O495" t="str">
        <f>VLOOKUP(G495,'[1]CONFIG.'!$B:$C,2,0)</f>
        <v>EVA</v>
      </c>
      <c r="P495" t="str">
        <f>VLOOKUP(O495,'[1]CONFIG.'!$C:$D,2,0)</f>
        <v>74 98046078</v>
      </c>
    </row>
    <row r="496" spans="1:16" x14ac:dyDescent="0.3">
      <c r="A496" t="s">
        <v>3535</v>
      </c>
      <c r="B496" t="s">
        <v>3536</v>
      </c>
      <c r="C496" t="s">
        <v>3537</v>
      </c>
      <c r="D496" t="s">
        <v>3135</v>
      </c>
      <c r="E496" t="s">
        <v>3538</v>
      </c>
      <c r="F496" t="s">
        <v>137</v>
      </c>
      <c r="G496">
        <v>204</v>
      </c>
      <c r="H496">
        <v>500</v>
      </c>
      <c r="I496" s="5" t="s">
        <v>3539</v>
      </c>
      <c r="J496" s="5" t="s">
        <v>3540</v>
      </c>
      <c r="K496" s="5" t="str">
        <f t="shared" si="14"/>
        <v>https://www.google.com/maps?q=-11.641143, -42.015766</v>
      </c>
      <c r="L496" s="5" t="str">
        <f t="shared" si="15"/>
        <v>Abrir no Maps</v>
      </c>
      <c r="M496" t="s">
        <v>3541</v>
      </c>
      <c r="N496" s="5"/>
      <c r="O496" t="str">
        <f>VLOOKUP(G496,'[1]CONFIG.'!$B:$C,2,0)</f>
        <v>EVA</v>
      </c>
      <c r="P496" t="str">
        <f>VLOOKUP(O496,'[1]CONFIG.'!$C:$D,2,0)</f>
        <v>74 98046078</v>
      </c>
    </row>
    <row r="497" spans="1:16" x14ac:dyDescent="0.3">
      <c r="A497" t="s">
        <v>3542</v>
      </c>
      <c r="B497" t="s">
        <v>3543</v>
      </c>
      <c r="C497" t="s">
        <v>3544</v>
      </c>
      <c r="D497" t="s">
        <v>3135</v>
      </c>
      <c r="E497" t="s">
        <v>3545</v>
      </c>
      <c r="F497" t="s">
        <v>137</v>
      </c>
      <c r="G497">
        <v>204</v>
      </c>
      <c r="H497">
        <v>500</v>
      </c>
      <c r="I497" s="5" t="s">
        <v>3546</v>
      </c>
      <c r="J497" s="5" t="s">
        <v>3547</v>
      </c>
      <c r="K497" s="5" t="str">
        <f t="shared" si="14"/>
        <v>https://www.google.com/maps?q=-11.641674, -42.010098</v>
      </c>
      <c r="L497" s="5" t="str">
        <f t="shared" si="15"/>
        <v>Abrir no Maps</v>
      </c>
      <c r="M497" t="s">
        <v>3548</v>
      </c>
      <c r="N497" s="5"/>
      <c r="O497" t="str">
        <f>VLOOKUP(G497,'[1]CONFIG.'!$B:$C,2,0)</f>
        <v>EVA</v>
      </c>
      <c r="P497" t="str">
        <f>VLOOKUP(O497,'[1]CONFIG.'!$C:$D,2,0)</f>
        <v>74 98046078</v>
      </c>
    </row>
    <row r="498" spans="1:16" x14ac:dyDescent="0.3">
      <c r="A498" t="s">
        <v>3549</v>
      </c>
      <c r="B498" t="s">
        <v>3550</v>
      </c>
      <c r="C498" t="s">
        <v>3551</v>
      </c>
      <c r="D498" t="s">
        <v>3135</v>
      </c>
      <c r="E498" t="s">
        <v>3552</v>
      </c>
      <c r="F498" t="s">
        <v>137</v>
      </c>
      <c r="G498">
        <v>204</v>
      </c>
      <c r="H498">
        <v>500</v>
      </c>
      <c r="I498" s="5" t="s">
        <v>3553</v>
      </c>
      <c r="J498" s="5" t="s">
        <v>3554</v>
      </c>
      <c r="K498" s="5" t="str">
        <f t="shared" si="14"/>
        <v>https://www.google.com/maps?q=-11.640188, -42.011930</v>
      </c>
      <c r="L498" s="5" t="str">
        <f t="shared" si="15"/>
        <v>Abrir no Maps</v>
      </c>
      <c r="M498" t="s">
        <v>3555</v>
      </c>
      <c r="N498" s="5"/>
      <c r="O498" t="str">
        <f>VLOOKUP(G498,'[1]CONFIG.'!$B:$C,2,0)</f>
        <v>EVA</v>
      </c>
      <c r="P498" t="str">
        <f>VLOOKUP(O498,'[1]CONFIG.'!$C:$D,2,0)</f>
        <v>74 98046078</v>
      </c>
    </row>
    <row r="499" spans="1:16" x14ac:dyDescent="0.3">
      <c r="A499" t="s">
        <v>3556</v>
      </c>
      <c r="B499" t="s">
        <v>3557</v>
      </c>
      <c r="C499" t="s">
        <v>3558</v>
      </c>
      <c r="D499" t="s">
        <v>3135</v>
      </c>
      <c r="E499" t="s">
        <v>3559</v>
      </c>
      <c r="F499" t="s">
        <v>137</v>
      </c>
      <c r="G499">
        <v>204</v>
      </c>
      <c r="H499">
        <v>500</v>
      </c>
      <c r="I499" s="5" t="s">
        <v>3560</v>
      </c>
      <c r="J499" s="5" t="s">
        <v>3561</v>
      </c>
      <c r="K499" s="5" t="str">
        <f t="shared" si="14"/>
        <v>https://www.google.com/maps?q=-11.641187, -42.011444</v>
      </c>
      <c r="L499" s="5" t="str">
        <f t="shared" si="15"/>
        <v>Abrir no Maps</v>
      </c>
      <c r="M499" t="s">
        <v>3562</v>
      </c>
      <c r="N499" s="5"/>
      <c r="O499" t="str">
        <f>VLOOKUP(G499,'[1]CONFIG.'!$B:$C,2,0)</f>
        <v>EVA</v>
      </c>
      <c r="P499" t="str">
        <f>VLOOKUP(O499,'[1]CONFIG.'!$C:$D,2,0)</f>
        <v>74 98046078</v>
      </c>
    </row>
    <row r="500" spans="1:16" x14ac:dyDescent="0.3">
      <c r="A500" t="s">
        <v>3563</v>
      </c>
      <c r="B500" t="s">
        <v>3564</v>
      </c>
      <c r="C500" t="s">
        <v>3565</v>
      </c>
      <c r="D500" t="s">
        <v>3135</v>
      </c>
      <c r="E500" t="s">
        <v>3566</v>
      </c>
      <c r="F500" t="s">
        <v>3517</v>
      </c>
      <c r="G500">
        <v>212</v>
      </c>
      <c r="H500">
        <v>200</v>
      </c>
      <c r="I500" s="5" t="s">
        <v>3567</v>
      </c>
      <c r="J500" s="5" t="s">
        <v>3568</v>
      </c>
      <c r="K500" s="5" t="str">
        <f t="shared" si="14"/>
        <v>https://www.google.com/maps?q=-11.437909, -42.315610</v>
      </c>
      <c r="L500" s="5" t="str">
        <f t="shared" si="15"/>
        <v>Abrir no Maps</v>
      </c>
      <c r="M500" t="s">
        <v>3569</v>
      </c>
      <c r="N500" s="5"/>
      <c r="O500" t="str">
        <f>VLOOKUP(G500,'[1]CONFIG.'!$B:$C,2,0)</f>
        <v>ANDRE</v>
      </c>
      <c r="P500" t="str">
        <f>VLOOKUP(O500,'[1]CONFIG.'!$C:$D,2,0)</f>
        <v>74 99916877</v>
      </c>
    </row>
    <row r="501" spans="1:16" x14ac:dyDescent="0.3">
      <c r="A501" t="s">
        <v>3570</v>
      </c>
      <c r="B501" t="s">
        <v>3571</v>
      </c>
      <c r="C501" t="s">
        <v>3572</v>
      </c>
      <c r="D501" t="s">
        <v>3135</v>
      </c>
      <c r="E501" t="s">
        <v>3573</v>
      </c>
      <c r="F501" t="s">
        <v>3374</v>
      </c>
      <c r="G501">
        <v>212</v>
      </c>
      <c r="H501">
        <v>200</v>
      </c>
      <c r="I501" s="5" t="s">
        <v>3574</v>
      </c>
      <c r="J501" s="5" t="s">
        <v>3575</v>
      </c>
      <c r="K501" s="5" t="str">
        <f t="shared" si="14"/>
        <v>https://www.google.com/maps?q=-11.614477, -42.108960</v>
      </c>
      <c r="L501" s="5" t="str">
        <f t="shared" si="15"/>
        <v>Abrir no Maps</v>
      </c>
      <c r="M501" t="s">
        <v>3576</v>
      </c>
      <c r="N501" s="5"/>
      <c r="O501" t="str">
        <f>VLOOKUP(G501,'[1]CONFIG.'!$B:$C,2,0)</f>
        <v>ANDRE</v>
      </c>
      <c r="P501" t="str">
        <f>VLOOKUP(O501,'[1]CONFIG.'!$C:$D,2,0)</f>
        <v>74 99916877</v>
      </c>
    </row>
    <row r="502" spans="1:16" x14ac:dyDescent="0.3">
      <c r="A502" t="s">
        <v>3577</v>
      </c>
      <c r="B502" t="s">
        <v>3578</v>
      </c>
      <c r="C502" t="s">
        <v>3579</v>
      </c>
      <c r="D502" t="s">
        <v>3135</v>
      </c>
      <c r="E502" t="s">
        <v>3580</v>
      </c>
      <c r="F502" t="s">
        <v>3517</v>
      </c>
      <c r="G502">
        <v>212</v>
      </c>
      <c r="H502">
        <v>200</v>
      </c>
      <c r="I502" s="5" t="s">
        <v>3581</v>
      </c>
      <c r="J502" s="5" t="s">
        <v>3582</v>
      </c>
      <c r="K502" s="5" t="str">
        <f t="shared" si="14"/>
        <v>https://www.google.com/maps?q=-11.440569, -42.316143</v>
      </c>
      <c r="L502" s="5" t="str">
        <f t="shared" si="15"/>
        <v>Abrir no Maps</v>
      </c>
      <c r="M502" t="s">
        <v>3583</v>
      </c>
      <c r="N502" s="5"/>
      <c r="O502" t="str">
        <f>VLOOKUP(G502,'[1]CONFIG.'!$B:$C,2,0)</f>
        <v>ANDRE</v>
      </c>
      <c r="P502" t="str">
        <f>VLOOKUP(O502,'[1]CONFIG.'!$C:$D,2,0)</f>
        <v>74 99916877</v>
      </c>
    </row>
    <row r="503" spans="1:16" x14ac:dyDescent="0.3">
      <c r="A503" t="s">
        <v>3584</v>
      </c>
      <c r="B503" t="s">
        <v>3585</v>
      </c>
      <c r="C503" t="s">
        <v>3586</v>
      </c>
      <c r="D503" t="s">
        <v>3135</v>
      </c>
      <c r="E503" t="s">
        <v>3587</v>
      </c>
      <c r="F503" t="s">
        <v>3374</v>
      </c>
      <c r="G503">
        <v>212</v>
      </c>
      <c r="H503">
        <v>200</v>
      </c>
      <c r="I503" s="5" t="s">
        <v>3588</v>
      </c>
      <c r="J503" s="5" t="s">
        <v>3589</v>
      </c>
      <c r="K503" s="5" t="str">
        <f t="shared" si="14"/>
        <v>https://www.google.com/maps?q=-11.611937, -42.108720</v>
      </c>
      <c r="L503" s="5" t="str">
        <f t="shared" si="15"/>
        <v>Abrir no Maps</v>
      </c>
      <c r="M503" t="s">
        <v>3590</v>
      </c>
      <c r="N503" s="5"/>
      <c r="O503" t="str">
        <f>VLOOKUP(G503,'[1]CONFIG.'!$B:$C,2,0)</f>
        <v>ANDRE</v>
      </c>
      <c r="P503" t="str">
        <f>VLOOKUP(O503,'[1]CONFIG.'!$C:$D,2,0)</f>
        <v>74 99916877</v>
      </c>
    </row>
    <row r="504" spans="1:16" x14ac:dyDescent="0.3">
      <c r="A504" t="s">
        <v>3591</v>
      </c>
      <c r="B504" t="s">
        <v>3592</v>
      </c>
      <c r="C504" t="s">
        <v>3593</v>
      </c>
      <c r="D504" t="s">
        <v>3135</v>
      </c>
      <c r="E504" t="s">
        <v>3594</v>
      </c>
      <c r="F504" t="s">
        <v>3517</v>
      </c>
      <c r="G504">
        <v>212</v>
      </c>
      <c r="H504">
        <v>200</v>
      </c>
      <c r="I504" s="5" t="s">
        <v>3595</v>
      </c>
      <c r="J504" s="5" t="s">
        <v>3596</v>
      </c>
      <c r="K504" s="5" t="str">
        <f t="shared" si="14"/>
        <v>https://www.google.com/maps?q=-11.442191, -42.317620</v>
      </c>
      <c r="L504" s="5" t="str">
        <f t="shared" si="15"/>
        <v>Abrir no Maps</v>
      </c>
      <c r="M504" t="s">
        <v>3597</v>
      </c>
      <c r="N504" s="5"/>
      <c r="O504" t="str">
        <f>VLOOKUP(G504,'[1]CONFIG.'!$B:$C,2,0)</f>
        <v>ANDRE</v>
      </c>
      <c r="P504" t="str">
        <f>VLOOKUP(O504,'[1]CONFIG.'!$C:$D,2,0)</f>
        <v>74 99916877</v>
      </c>
    </row>
    <row r="505" spans="1:16" x14ac:dyDescent="0.3">
      <c r="A505" t="s">
        <v>3598</v>
      </c>
      <c r="B505" t="s">
        <v>3599</v>
      </c>
      <c r="C505" t="s">
        <v>3600</v>
      </c>
      <c r="D505" t="s">
        <v>3135</v>
      </c>
      <c r="E505" t="s">
        <v>3601</v>
      </c>
      <c r="F505" t="s">
        <v>3517</v>
      </c>
      <c r="G505">
        <v>212</v>
      </c>
      <c r="H505">
        <v>200</v>
      </c>
      <c r="I505" s="5" t="s">
        <v>3602</v>
      </c>
      <c r="J505" s="5" t="s">
        <v>3603</v>
      </c>
      <c r="K505" s="5" t="str">
        <f t="shared" si="14"/>
        <v>https://www.google.com/maps?q=-11.437768, -42.316650</v>
      </c>
      <c r="L505" s="5" t="str">
        <f t="shared" si="15"/>
        <v>Abrir no Maps</v>
      </c>
      <c r="M505" t="s">
        <v>3604</v>
      </c>
      <c r="N505" s="5"/>
      <c r="O505" t="str">
        <f>VLOOKUP(G505,'[1]CONFIG.'!$B:$C,2,0)</f>
        <v>ANDRE</v>
      </c>
      <c r="P505" t="str">
        <f>VLOOKUP(O505,'[1]CONFIG.'!$C:$D,2,0)</f>
        <v>74 99916877</v>
      </c>
    </row>
    <row r="506" spans="1:16" x14ac:dyDescent="0.3">
      <c r="A506" t="s">
        <v>3605</v>
      </c>
      <c r="B506" t="s">
        <v>3606</v>
      </c>
      <c r="C506" t="s">
        <v>3607</v>
      </c>
      <c r="D506" t="s">
        <v>3135</v>
      </c>
      <c r="E506" t="s">
        <v>3608</v>
      </c>
      <c r="F506" t="s">
        <v>3374</v>
      </c>
      <c r="G506">
        <v>212</v>
      </c>
      <c r="H506">
        <v>200</v>
      </c>
      <c r="I506" s="5" t="s">
        <v>3609</v>
      </c>
      <c r="J506" s="5" t="s">
        <v>3610</v>
      </c>
      <c r="K506" s="5" t="str">
        <f t="shared" si="14"/>
        <v>https://www.google.com/maps?q=-11.611647, -42.108610</v>
      </c>
      <c r="L506" s="5" t="str">
        <f t="shared" si="15"/>
        <v>Abrir no Maps</v>
      </c>
      <c r="M506" t="s">
        <v>3611</v>
      </c>
      <c r="N506" s="5"/>
      <c r="O506" t="str">
        <f>VLOOKUP(G506,'[1]CONFIG.'!$B:$C,2,0)</f>
        <v>ANDRE</v>
      </c>
      <c r="P506" t="str">
        <f>VLOOKUP(O506,'[1]CONFIG.'!$C:$D,2,0)</f>
        <v>74 99916877</v>
      </c>
    </row>
    <row r="507" spans="1:16" x14ac:dyDescent="0.3">
      <c r="A507" t="s">
        <v>3612</v>
      </c>
      <c r="B507" t="s">
        <v>3613</v>
      </c>
      <c r="C507" t="s">
        <v>3614</v>
      </c>
      <c r="D507" t="s">
        <v>3135</v>
      </c>
      <c r="E507" t="s">
        <v>3615</v>
      </c>
      <c r="F507" t="s">
        <v>3517</v>
      </c>
      <c r="G507">
        <v>212</v>
      </c>
      <c r="H507">
        <v>200</v>
      </c>
      <c r="I507" s="5" t="s">
        <v>3616</v>
      </c>
      <c r="J507" s="5" t="s">
        <v>3617</v>
      </c>
      <c r="K507" s="5" t="str">
        <f t="shared" si="14"/>
        <v>https://www.google.com/maps?q=-11.436625, -42.313507</v>
      </c>
      <c r="L507" s="5" t="str">
        <f t="shared" si="15"/>
        <v>Abrir no Maps</v>
      </c>
      <c r="M507" t="s">
        <v>3618</v>
      </c>
      <c r="N507" s="5"/>
      <c r="O507" t="str">
        <f>VLOOKUP(G507,'[1]CONFIG.'!$B:$C,2,0)</f>
        <v>ANDRE</v>
      </c>
      <c r="P507" t="str">
        <f>VLOOKUP(O507,'[1]CONFIG.'!$C:$D,2,0)</f>
        <v>74 99916877</v>
      </c>
    </row>
    <row r="508" spans="1:16" x14ac:dyDescent="0.3">
      <c r="A508" t="s">
        <v>3619</v>
      </c>
      <c r="B508" t="s">
        <v>3620</v>
      </c>
      <c r="C508" t="s">
        <v>3621</v>
      </c>
      <c r="D508" t="s">
        <v>3135</v>
      </c>
      <c r="E508" t="s">
        <v>3622</v>
      </c>
      <c r="F508" t="s">
        <v>137</v>
      </c>
      <c r="G508">
        <v>212</v>
      </c>
      <c r="H508">
        <v>200</v>
      </c>
      <c r="I508" s="5" t="s">
        <v>3623</v>
      </c>
      <c r="J508" s="5" t="s">
        <v>3624</v>
      </c>
      <c r="K508" s="5" t="str">
        <f t="shared" si="14"/>
        <v>https://www.google.com/maps?q=-11.436669, -42.313506</v>
      </c>
      <c r="L508" s="5" t="str">
        <f t="shared" si="15"/>
        <v>Abrir no Maps</v>
      </c>
      <c r="M508" t="s">
        <v>3625</v>
      </c>
      <c r="N508" s="5"/>
      <c r="O508" t="str">
        <f>VLOOKUP(G508,'[1]CONFIG.'!$B:$C,2,0)</f>
        <v>ANDRE</v>
      </c>
      <c r="P508" t="str">
        <f>VLOOKUP(O508,'[1]CONFIG.'!$C:$D,2,0)</f>
        <v>74 99916877</v>
      </c>
    </row>
    <row r="509" spans="1:16" x14ac:dyDescent="0.3">
      <c r="A509" t="s">
        <v>3626</v>
      </c>
      <c r="B509" t="s">
        <v>3627</v>
      </c>
      <c r="C509" t="s">
        <v>3628</v>
      </c>
      <c r="D509" t="s">
        <v>3135</v>
      </c>
      <c r="E509" t="s">
        <v>3629</v>
      </c>
      <c r="F509" t="s">
        <v>3300</v>
      </c>
      <c r="G509">
        <v>204</v>
      </c>
      <c r="H509">
        <v>500</v>
      </c>
      <c r="I509" s="5" t="s">
        <v>3630</v>
      </c>
      <c r="J509" s="5" t="s">
        <v>3631</v>
      </c>
      <c r="K509" s="5" t="str">
        <f t="shared" si="14"/>
        <v>https://www.google.com/maps?q=-11.654230, -41.988980</v>
      </c>
      <c r="L509" s="5" t="str">
        <f t="shared" si="15"/>
        <v>Abrir no Maps</v>
      </c>
      <c r="M509" t="s">
        <v>3632</v>
      </c>
      <c r="N509" s="5"/>
      <c r="O509" t="str">
        <f>VLOOKUP(G509,'[1]CONFIG.'!$B:$C,2,0)</f>
        <v>EVA</v>
      </c>
      <c r="P509" t="str">
        <f>VLOOKUP(O509,'[1]CONFIG.'!$C:$D,2,0)</f>
        <v>74 98046078</v>
      </c>
    </row>
    <row r="510" spans="1:16" x14ac:dyDescent="0.3">
      <c r="A510" t="s">
        <v>3633</v>
      </c>
      <c r="B510" t="s">
        <v>3634</v>
      </c>
      <c r="C510" t="s">
        <v>3635</v>
      </c>
      <c r="D510" t="s">
        <v>3135</v>
      </c>
      <c r="E510" t="s">
        <v>3636</v>
      </c>
      <c r="F510" t="s">
        <v>3637</v>
      </c>
      <c r="G510">
        <v>204</v>
      </c>
      <c r="H510">
        <v>500</v>
      </c>
      <c r="I510" s="5" t="s">
        <v>3638</v>
      </c>
      <c r="J510" s="5" t="s">
        <v>3639</v>
      </c>
      <c r="K510" s="5" t="str">
        <f t="shared" si="14"/>
        <v>https://www.google.com/maps?q=-11.707530, -42.064735</v>
      </c>
      <c r="L510" s="5" t="str">
        <f t="shared" si="15"/>
        <v>Abrir no Maps</v>
      </c>
      <c r="M510" t="s">
        <v>3640</v>
      </c>
      <c r="N510" s="5"/>
      <c r="O510" t="str">
        <f>VLOOKUP(G510,'[1]CONFIG.'!$B:$C,2,0)</f>
        <v>EVA</v>
      </c>
      <c r="P510" t="str">
        <f>VLOOKUP(O510,'[1]CONFIG.'!$C:$D,2,0)</f>
        <v>74 98046078</v>
      </c>
    </row>
    <row r="511" spans="1:16" x14ac:dyDescent="0.3">
      <c r="A511" t="s">
        <v>3641</v>
      </c>
      <c r="B511" t="s">
        <v>3642</v>
      </c>
      <c r="C511" t="s">
        <v>3643</v>
      </c>
      <c r="D511" t="s">
        <v>3135</v>
      </c>
      <c r="E511" t="s">
        <v>3644</v>
      </c>
      <c r="F511" t="s">
        <v>137</v>
      </c>
      <c r="G511">
        <v>204</v>
      </c>
      <c r="H511">
        <v>500</v>
      </c>
      <c r="I511" s="5" t="s">
        <v>3645</v>
      </c>
      <c r="J511" s="5" t="s">
        <v>3646</v>
      </c>
      <c r="K511" s="5" t="str">
        <f t="shared" si="14"/>
        <v>https://www.google.com/maps?q=-11.643406, -42.010931</v>
      </c>
      <c r="L511" s="5" t="str">
        <f t="shared" si="15"/>
        <v>Abrir no Maps</v>
      </c>
      <c r="M511" t="s">
        <v>2893</v>
      </c>
      <c r="N511" s="5"/>
      <c r="O511" t="str">
        <f>VLOOKUP(G511,'[1]CONFIG.'!$B:$C,2,0)</f>
        <v>EVA</v>
      </c>
      <c r="P511" t="str">
        <f>VLOOKUP(O511,'[1]CONFIG.'!$C:$D,2,0)</f>
        <v>74 98046078</v>
      </c>
    </row>
    <row r="512" spans="1:16" x14ac:dyDescent="0.3">
      <c r="A512" t="s">
        <v>3647</v>
      </c>
      <c r="B512" t="s">
        <v>3648</v>
      </c>
      <c r="C512" t="s">
        <v>3649</v>
      </c>
      <c r="D512" t="s">
        <v>3135</v>
      </c>
      <c r="E512" t="s">
        <v>3650</v>
      </c>
      <c r="F512" t="s">
        <v>137</v>
      </c>
      <c r="G512">
        <v>204</v>
      </c>
      <c r="H512">
        <v>500</v>
      </c>
      <c r="I512" s="5" t="s">
        <v>3651</v>
      </c>
      <c r="J512" s="5" t="s">
        <v>3652</v>
      </c>
      <c r="K512" s="5" t="str">
        <f t="shared" si="14"/>
        <v>https://www.google.com/maps?q=-11.643726, -42.011788</v>
      </c>
      <c r="L512" s="5" t="str">
        <f t="shared" si="15"/>
        <v>Abrir no Maps</v>
      </c>
      <c r="M512" t="s">
        <v>3653</v>
      </c>
      <c r="N512" s="5"/>
      <c r="O512" t="str">
        <f>VLOOKUP(G512,'[1]CONFIG.'!$B:$C,2,0)</f>
        <v>EVA</v>
      </c>
      <c r="P512" t="str">
        <f>VLOOKUP(O512,'[1]CONFIG.'!$C:$D,2,0)</f>
        <v>74 98046078</v>
      </c>
    </row>
    <row r="513" spans="1:16" x14ac:dyDescent="0.3">
      <c r="A513" t="s">
        <v>3654</v>
      </c>
      <c r="B513" t="s">
        <v>3655</v>
      </c>
      <c r="C513" t="s">
        <v>3656</v>
      </c>
      <c r="D513" t="s">
        <v>3135</v>
      </c>
      <c r="E513" t="s">
        <v>3657</v>
      </c>
      <c r="F513" t="s">
        <v>3658</v>
      </c>
      <c r="G513">
        <v>212</v>
      </c>
      <c r="H513">
        <v>200</v>
      </c>
      <c r="I513" s="5" t="s">
        <v>3659</v>
      </c>
      <c r="J513" s="5" t="s">
        <v>3660</v>
      </c>
      <c r="K513" s="5" t="str">
        <f t="shared" si="14"/>
        <v>https://www.google.com/maps?q=-11.441379, -42.238778</v>
      </c>
      <c r="L513" s="5" t="str">
        <f t="shared" si="15"/>
        <v>Abrir no Maps</v>
      </c>
      <c r="M513" t="s">
        <v>3661</v>
      </c>
      <c r="N513" s="5"/>
      <c r="O513" t="str">
        <f>VLOOKUP(G513,'[1]CONFIG.'!$B:$C,2,0)</f>
        <v>ANDRE</v>
      </c>
      <c r="P513" t="str">
        <f>VLOOKUP(O513,'[1]CONFIG.'!$C:$D,2,0)</f>
        <v>74 99916877</v>
      </c>
    </row>
    <row r="514" spans="1:16" x14ac:dyDescent="0.3">
      <c r="A514" t="s">
        <v>3662</v>
      </c>
      <c r="B514" t="s">
        <v>3663</v>
      </c>
      <c r="C514" t="s">
        <v>3664</v>
      </c>
      <c r="D514" t="s">
        <v>3135</v>
      </c>
      <c r="E514" t="s">
        <v>3665</v>
      </c>
      <c r="F514" t="s">
        <v>3666</v>
      </c>
      <c r="G514">
        <v>212</v>
      </c>
      <c r="H514">
        <v>200</v>
      </c>
      <c r="I514" s="5" t="s">
        <v>3667</v>
      </c>
      <c r="J514" s="5" t="s">
        <v>3668</v>
      </c>
      <c r="K514" s="5" t="str">
        <f t="shared" si="14"/>
        <v>https://www.google.com/maps?q=-11.413090, -42.263445</v>
      </c>
      <c r="L514" s="5" t="str">
        <f t="shared" si="15"/>
        <v>Abrir no Maps</v>
      </c>
      <c r="M514" t="s">
        <v>3669</v>
      </c>
      <c r="N514" s="5"/>
      <c r="O514" t="str">
        <f>VLOOKUP(G514,'[1]CONFIG.'!$B:$C,2,0)</f>
        <v>ANDRE</v>
      </c>
      <c r="P514" t="str">
        <f>VLOOKUP(O514,'[1]CONFIG.'!$C:$D,2,0)</f>
        <v>74 99916877</v>
      </c>
    </row>
    <row r="515" spans="1:16" x14ac:dyDescent="0.3">
      <c r="A515" t="s">
        <v>3670</v>
      </c>
      <c r="B515" t="s">
        <v>3671</v>
      </c>
      <c r="C515" t="s">
        <v>3672</v>
      </c>
      <c r="D515" t="s">
        <v>3135</v>
      </c>
      <c r="E515" t="s">
        <v>3673</v>
      </c>
      <c r="F515" t="s">
        <v>137</v>
      </c>
      <c r="G515">
        <v>204</v>
      </c>
      <c r="H515">
        <v>500</v>
      </c>
      <c r="I515" s="5" t="s">
        <v>3674</v>
      </c>
      <c r="J515" s="5" t="s">
        <v>3675</v>
      </c>
      <c r="K515" s="5" t="str">
        <f t="shared" si="14"/>
        <v>https://www.google.com/maps?q=-11.642419, -42.012559</v>
      </c>
      <c r="L515" s="5" t="str">
        <f t="shared" si="15"/>
        <v>Abrir no Maps</v>
      </c>
      <c r="M515" t="s">
        <v>3676</v>
      </c>
      <c r="N515" s="5"/>
      <c r="O515" t="str">
        <f>VLOOKUP(G515,'[1]CONFIG.'!$B:$C,2,0)</f>
        <v>EVA</v>
      </c>
      <c r="P515" t="str">
        <f>VLOOKUP(O515,'[1]CONFIG.'!$C:$D,2,0)</f>
        <v>74 98046078</v>
      </c>
    </row>
    <row r="516" spans="1:16" x14ac:dyDescent="0.3">
      <c r="A516" t="s">
        <v>3677</v>
      </c>
      <c r="B516" t="s">
        <v>3678</v>
      </c>
      <c r="C516" t="s">
        <v>3679</v>
      </c>
      <c r="D516" t="s">
        <v>3135</v>
      </c>
      <c r="E516" t="s">
        <v>3680</v>
      </c>
      <c r="F516" t="s">
        <v>3300</v>
      </c>
      <c r="G516">
        <v>204</v>
      </c>
      <c r="H516">
        <v>500</v>
      </c>
      <c r="I516" s="5" t="s">
        <v>3681</v>
      </c>
      <c r="J516" s="5" t="s">
        <v>3682</v>
      </c>
      <c r="K516" s="5" t="str">
        <f t="shared" ref="K516:K579" si="16">"https://www.google.com/maps?q="&amp;""&amp;LEFT(I516,3)&amp;"."&amp;RIGHT(I516,6)&amp;", "&amp;LEFT(J516,3)&amp;"."&amp;RIGHT(J516,6)</f>
        <v>https://www.google.com/maps?q=-11.653678, -41.988432</v>
      </c>
      <c r="L516" s="5" t="str">
        <f t="shared" ref="L516:L579" si="17">HYPERLINK(K516,"Abrir no Maps")</f>
        <v>Abrir no Maps</v>
      </c>
      <c r="M516" t="s">
        <v>3683</v>
      </c>
      <c r="N516" s="5"/>
      <c r="O516" t="str">
        <f>VLOOKUP(G516,'[1]CONFIG.'!$B:$C,2,0)</f>
        <v>EVA</v>
      </c>
      <c r="P516" t="str">
        <f>VLOOKUP(O516,'[1]CONFIG.'!$C:$D,2,0)</f>
        <v>74 98046078</v>
      </c>
    </row>
    <row r="517" spans="1:16" x14ac:dyDescent="0.3">
      <c r="A517" t="s">
        <v>3684</v>
      </c>
      <c r="B517" t="s">
        <v>3685</v>
      </c>
      <c r="C517" t="s">
        <v>3686</v>
      </c>
      <c r="D517" t="s">
        <v>3135</v>
      </c>
      <c r="E517" t="s">
        <v>3687</v>
      </c>
      <c r="F517" t="s">
        <v>3517</v>
      </c>
      <c r="G517">
        <v>212</v>
      </c>
      <c r="H517">
        <v>200</v>
      </c>
      <c r="I517" s="5" t="s">
        <v>3688</v>
      </c>
      <c r="J517" s="5" t="s">
        <v>3689</v>
      </c>
      <c r="K517" s="5" t="str">
        <f t="shared" si="16"/>
        <v>https://www.google.com/maps?q=-11.436524, -42.312979</v>
      </c>
      <c r="L517" s="5" t="str">
        <f t="shared" si="17"/>
        <v>Abrir no Maps</v>
      </c>
      <c r="M517" t="s">
        <v>3690</v>
      </c>
      <c r="N517" s="5"/>
      <c r="O517" t="str">
        <f>VLOOKUP(G517,'[1]CONFIG.'!$B:$C,2,0)</f>
        <v>ANDRE</v>
      </c>
      <c r="P517" t="str">
        <f>VLOOKUP(O517,'[1]CONFIG.'!$C:$D,2,0)</f>
        <v>74 99916877</v>
      </c>
    </row>
    <row r="518" spans="1:16" x14ac:dyDescent="0.3">
      <c r="A518" t="s">
        <v>3691</v>
      </c>
      <c r="B518" t="s">
        <v>3692</v>
      </c>
      <c r="C518" t="s">
        <v>3693</v>
      </c>
      <c r="D518" t="s">
        <v>3135</v>
      </c>
      <c r="E518" t="s">
        <v>3694</v>
      </c>
      <c r="F518" t="s">
        <v>3467</v>
      </c>
      <c r="G518">
        <v>212</v>
      </c>
      <c r="H518">
        <v>200</v>
      </c>
      <c r="I518" s="5" t="s">
        <v>3695</v>
      </c>
      <c r="J518" s="5" t="s">
        <v>3696</v>
      </c>
      <c r="K518" s="5" t="str">
        <f t="shared" si="16"/>
        <v>https://www.google.com/maps?q=-11.482462, -42.211589</v>
      </c>
      <c r="L518" s="5" t="str">
        <f t="shared" si="17"/>
        <v>Abrir no Maps</v>
      </c>
      <c r="M518" t="s">
        <v>3697</v>
      </c>
      <c r="N518" s="5"/>
      <c r="O518" t="str">
        <f>VLOOKUP(G518,'[1]CONFIG.'!$B:$C,2,0)</f>
        <v>ANDRE</v>
      </c>
      <c r="P518" t="str">
        <f>VLOOKUP(O518,'[1]CONFIG.'!$C:$D,2,0)</f>
        <v>74 99916877</v>
      </c>
    </row>
    <row r="519" spans="1:16" x14ac:dyDescent="0.3">
      <c r="A519" t="s">
        <v>3698</v>
      </c>
      <c r="B519" t="s">
        <v>3699</v>
      </c>
      <c r="C519" t="s">
        <v>3700</v>
      </c>
      <c r="D519" t="s">
        <v>3135</v>
      </c>
      <c r="E519" t="s">
        <v>3701</v>
      </c>
      <c r="F519" t="s">
        <v>3637</v>
      </c>
      <c r="G519">
        <v>204</v>
      </c>
      <c r="H519">
        <v>500</v>
      </c>
      <c r="I519" s="5" t="s">
        <v>3702</v>
      </c>
      <c r="J519" s="5" t="s">
        <v>3703</v>
      </c>
      <c r="K519" s="5" t="str">
        <f t="shared" si="16"/>
        <v>https://www.google.com/maps?q=-11.610185, -41.995213</v>
      </c>
      <c r="L519" s="5" t="str">
        <f t="shared" si="17"/>
        <v>Abrir no Maps</v>
      </c>
      <c r="M519" t="s">
        <v>3704</v>
      </c>
      <c r="N519" s="5"/>
      <c r="O519" t="str">
        <f>VLOOKUP(G519,'[1]CONFIG.'!$B:$C,2,0)</f>
        <v>EVA</v>
      </c>
      <c r="P519" t="str">
        <f>VLOOKUP(O519,'[1]CONFIG.'!$C:$D,2,0)</f>
        <v>74 98046078</v>
      </c>
    </row>
    <row r="520" spans="1:16" x14ac:dyDescent="0.3">
      <c r="A520" t="s">
        <v>3705</v>
      </c>
      <c r="B520" t="s">
        <v>3706</v>
      </c>
      <c r="C520" t="s">
        <v>3707</v>
      </c>
      <c r="D520" t="s">
        <v>3708</v>
      </c>
      <c r="E520" t="s">
        <v>3709</v>
      </c>
      <c r="F520" t="s">
        <v>3710</v>
      </c>
      <c r="G520">
        <v>206</v>
      </c>
      <c r="H520">
        <v>200</v>
      </c>
      <c r="I520" s="5" t="s">
        <v>3711</v>
      </c>
      <c r="J520" s="5" t="s">
        <v>3712</v>
      </c>
      <c r="K520" s="5" t="str">
        <f t="shared" si="16"/>
        <v>https://www.google.com/maps?q=-11.474298, -41.517616</v>
      </c>
      <c r="L520" s="5" t="str">
        <f t="shared" si="17"/>
        <v>Abrir no Maps</v>
      </c>
      <c r="M520" t="s">
        <v>3713</v>
      </c>
      <c r="N520" s="5"/>
      <c r="O520" t="str">
        <f>VLOOKUP(G520,'[1]CONFIG.'!$B:$C,2,0)</f>
        <v>ROBERTO</v>
      </c>
      <c r="P520" t="str">
        <f>VLOOKUP(O520,'[1]CONFIG.'!$C:$D,2,0)</f>
        <v>74 99551147</v>
      </c>
    </row>
    <row r="521" spans="1:16" x14ac:dyDescent="0.3">
      <c r="A521" t="s">
        <v>3714</v>
      </c>
      <c r="B521" t="s">
        <v>3715</v>
      </c>
      <c r="C521" t="s">
        <v>3716</v>
      </c>
      <c r="D521" t="s">
        <v>3708</v>
      </c>
      <c r="E521" t="s">
        <v>3717</v>
      </c>
      <c r="F521" t="s">
        <v>3718</v>
      </c>
      <c r="G521">
        <v>206</v>
      </c>
      <c r="H521">
        <v>200</v>
      </c>
      <c r="I521" s="5" t="s">
        <v>3719</v>
      </c>
      <c r="J521" s="5" t="s">
        <v>3720</v>
      </c>
      <c r="K521" s="5" t="str">
        <f t="shared" si="16"/>
        <v>https://www.google.com/maps?q=-11.442548, -41.425224</v>
      </c>
      <c r="L521" s="5" t="str">
        <f t="shared" si="17"/>
        <v>Abrir no Maps</v>
      </c>
      <c r="M521" t="s">
        <v>3721</v>
      </c>
      <c r="N521" s="5"/>
      <c r="O521" t="str">
        <f>VLOOKUP(G521,'[1]CONFIG.'!$B:$C,2,0)</f>
        <v>ROBERTO</v>
      </c>
      <c r="P521" t="str">
        <f>VLOOKUP(O521,'[1]CONFIG.'!$C:$D,2,0)</f>
        <v>74 99551147</v>
      </c>
    </row>
    <row r="522" spans="1:16" x14ac:dyDescent="0.3">
      <c r="A522" t="s">
        <v>3722</v>
      </c>
      <c r="B522" t="s">
        <v>3723</v>
      </c>
      <c r="C522" t="s">
        <v>3724</v>
      </c>
      <c r="D522" t="s">
        <v>3708</v>
      </c>
      <c r="E522" t="s">
        <v>3725</v>
      </c>
      <c r="F522" t="s">
        <v>137</v>
      </c>
      <c r="G522">
        <v>206</v>
      </c>
      <c r="H522">
        <v>200</v>
      </c>
      <c r="I522" s="5" t="s">
        <v>3726</v>
      </c>
      <c r="J522" s="5" t="s">
        <v>3727</v>
      </c>
      <c r="K522" s="5" t="str">
        <f t="shared" si="16"/>
        <v>https://www.google.com/maps?q=-11.451651, -41.435863</v>
      </c>
      <c r="L522" s="5" t="str">
        <f t="shared" si="17"/>
        <v>Abrir no Maps</v>
      </c>
      <c r="M522" t="s">
        <v>3728</v>
      </c>
      <c r="N522" s="5"/>
      <c r="O522" t="str">
        <f>VLOOKUP(G522,'[1]CONFIG.'!$B:$C,2,0)</f>
        <v>ROBERTO</v>
      </c>
      <c r="P522" t="str">
        <f>VLOOKUP(O522,'[1]CONFIG.'!$C:$D,2,0)</f>
        <v>74 99551147</v>
      </c>
    </row>
    <row r="523" spans="1:16" x14ac:dyDescent="0.3">
      <c r="A523" t="s">
        <v>3729</v>
      </c>
      <c r="B523" t="s">
        <v>3730</v>
      </c>
      <c r="C523" t="s">
        <v>3731</v>
      </c>
      <c r="D523" t="s">
        <v>3708</v>
      </c>
      <c r="E523" t="s">
        <v>3732</v>
      </c>
      <c r="F523" t="s">
        <v>137</v>
      </c>
      <c r="G523">
        <v>206</v>
      </c>
      <c r="H523">
        <v>200</v>
      </c>
      <c r="I523" s="5" t="s">
        <v>3733</v>
      </c>
      <c r="J523" s="5" t="s">
        <v>3734</v>
      </c>
      <c r="K523" s="5" t="str">
        <f t="shared" si="16"/>
        <v>https://www.google.com/maps?q=-11.453919, -41.435867</v>
      </c>
      <c r="L523" s="5" t="str">
        <f t="shared" si="17"/>
        <v>Abrir no Maps</v>
      </c>
      <c r="M523" t="s">
        <v>3735</v>
      </c>
      <c r="N523" s="5"/>
      <c r="O523" t="str">
        <f>VLOOKUP(G523,'[1]CONFIG.'!$B:$C,2,0)</f>
        <v>ROBERTO</v>
      </c>
      <c r="P523" t="str">
        <f>VLOOKUP(O523,'[1]CONFIG.'!$C:$D,2,0)</f>
        <v>74 99551147</v>
      </c>
    </row>
    <row r="524" spans="1:16" x14ac:dyDescent="0.3">
      <c r="A524" t="s">
        <v>3736</v>
      </c>
      <c r="B524" t="s">
        <v>3737</v>
      </c>
      <c r="C524" t="s">
        <v>3738</v>
      </c>
      <c r="D524" t="s">
        <v>3708</v>
      </c>
      <c r="E524" t="s">
        <v>3739</v>
      </c>
      <c r="F524" t="s">
        <v>3740</v>
      </c>
      <c r="G524">
        <v>206</v>
      </c>
      <c r="H524">
        <v>200</v>
      </c>
      <c r="I524" s="5" t="s">
        <v>3741</v>
      </c>
      <c r="J524" s="5" t="s">
        <v>3742</v>
      </c>
      <c r="K524" s="5" t="str">
        <f t="shared" si="16"/>
        <v>https://www.google.com/maps?q=-11.397374, -41.532720</v>
      </c>
      <c r="L524" s="5" t="str">
        <f t="shared" si="17"/>
        <v>Abrir no Maps</v>
      </c>
      <c r="M524" t="s">
        <v>3743</v>
      </c>
      <c r="N524" s="5"/>
      <c r="O524" t="str">
        <f>VLOOKUP(G524,'[1]CONFIG.'!$B:$C,2,0)</f>
        <v>ROBERTO</v>
      </c>
      <c r="P524" t="str">
        <f>VLOOKUP(O524,'[1]CONFIG.'!$C:$D,2,0)</f>
        <v>74 99551147</v>
      </c>
    </row>
    <row r="525" spans="1:16" x14ac:dyDescent="0.3">
      <c r="A525" t="s">
        <v>3744</v>
      </c>
      <c r="B525" t="s">
        <v>3745</v>
      </c>
      <c r="C525" t="s">
        <v>3746</v>
      </c>
      <c r="D525" t="s">
        <v>3708</v>
      </c>
      <c r="E525" t="s">
        <v>3747</v>
      </c>
      <c r="F525" t="s">
        <v>3718</v>
      </c>
      <c r="G525">
        <v>206</v>
      </c>
      <c r="H525">
        <v>200</v>
      </c>
      <c r="I525" s="5" t="s">
        <v>3748</v>
      </c>
      <c r="J525" s="5" t="s">
        <v>3749</v>
      </c>
      <c r="K525" s="5" t="str">
        <f t="shared" si="16"/>
        <v>https://www.google.com/maps?q=-11.442920, -41.424465</v>
      </c>
      <c r="L525" s="5" t="str">
        <f t="shared" si="17"/>
        <v>Abrir no Maps</v>
      </c>
      <c r="M525" t="s">
        <v>3750</v>
      </c>
      <c r="N525" s="5"/>
      <c r="O525" t="str">
        <f>VLOOKUP(G525,'[1]CONFIG.'!$B:$C,2,0)</f>
        <v>ROBERTO</v>
      </c>
      <c r="P525" t="str">
        <f>VLOOKUP(O525,'[1]CONFIG.'!$C:$D,2,0)</f>
        <v>74 99551147</v>
      </c>
    </row>
    <row r="526" spans="1:16" x14ac:dyDescent="0.3">
      <c r="A526" t="s">
        <v>3751</v>
      </c>
      <c r="B526" t="s">
        <v>3752</v>
      </c>
      <c r="C526" t="s">
        <v>3753</v>
      </c>
      <c r="D526" t="s">
        <v>3708</v>
      </c>
      <c r="E526" t="s">
        <v>3754</v>
      </c>
      <c r="F526" t="s">
        <v>3710</v>
      </c>
      <c r="G526">
        <v>206</v>
      </c>
      <c r="H526">
        <v>200</v>
      </c>
      <c r="I526" s="5" t="s">
        <v>3755</v>
      </c>
      <c r="J526" s="5" t="s">
        <v>3756</v>
      </c>
      <c r="K526" s="5" t="str">
        <f t="shared" si="16"/>
        <v>https://www.google.com/maps?q=-11.474159, -41.515060</v>
      </c>
      <c r="L526" s="5" t="str">
        <f t="shared" si="17"/>
        <v>Abrir no Maps</v>
      </c>
      <c r="M526" t="s">
        <v>3757</v>
      </c>
      <c r="N526" s="5"/>
      <c r="O526" t="str">
        <f>VLOOKUP(G526,'[1]CONFIG.'!$B:$C,2,0)</f>
        <v>ROBERTO</v>
      </c>
      <c r="P526" t="str">
        <f>VLOOKUP(O526,'[1]CONFIG.'!$C:$D,2,0)</f>
        <v>74 99551147</v>
      </c>
    </row>
    <row r="527" spans="1:16" x14ac:dyDescent="0.3">
      <c r="A527" t="s">
        <v>3758</v>
      </c>
      <c r="B527" t="s">
        <v>3759</v>
      </c>
      <c r="C527" t="s">
        <v>3760</v>
      </c>
      <c r="D527" t="s">
        <v>3708</v>
      </c>
      <c r="E527" t="s">
        <v>3761</v>
      </c>
      <c r="F527" t="s">
        <v>3710</v>
      </c>
      <c r="G527">
        <v>206</v>
      </c>
      <c r="H527">
        <v>200</v>
      </c>
      <c r="I527" s="5" t="s">
        <v>3762</v>
      </c>
      <c r="J527" s="5" t="s">
        <v>3763</v>
      </c>
      <c r="K527" s="5" t="str">
        <f t="shared" si="16"/>
        <v>https://www.google.com/maps?q=-11.474167, -41.517500</v>
      </c>
      <c r="L527" s="5" t="str">
        <f t="shared" si="17"/>
        <v>Abrir no Maps</v>
      </c>
      <c r="M527" t="s">
        <v>3764</v>
      </c>
      <c r="N527" s="5"/>
      <c r="O527" t="str">
        <f>VLOOKUP(G527,'[1]CONFIG.'!$B:$C,2,0)</f>
        <v>ROBERTO</v>
      </c>
      <c r="P527" t="str">
        <f>VLOOKUP(O527,'[1]CONFIG.'!$C:$D,2,0)</f>
        <v>74 99551147</v>
      </c>
    </row>
    <row r="528" spans="1:16" x14ac:dyDescent="0.3">
      <c r="A528" t="s">
        <v>3765</v>
      </c>
      <c r="B528" t="s">
        <v>3766</v>
      </c>
      <c r="C528" t="s">
        <v>3767</v>
      </c>
      <c r="D528" t="s">
        <v>3708</v>
      </c>
      <c r="E528" t="s">
        <v>3768</v>
      </c>
      <c r="F528" t="s">
        <v>3710</v>
      </c>
      <c r="G528">
        <v>206</v>
      </c>
      <c r="H528">
        <v>200</v>
      </c>
      <c r="I528" s="5" t="s">
        <v>3769</v>
      </c>
      <c r="J528" s="5" t="s">
        <v>3770</v>
      </c>
      <c r="K528" s="5" t="str">
        <f t="shared" si="16"/>
        <v>https://www.google.com/maps?q=-11.474668, -41.517510</v>
      </c>
      <c r="L528" s="5" t="str">
        <f t="shared" si="17"/>
        <v>Abrir no Maps</v>
      </c>
      <c r="M528" t="s">
        <v>3771</v>
      </c>
      <c r="N528" s="5"/>
      <c r="O528" t="str">
        <f>VLOOKUP(G528,'[1]CONFIG.'!$B:$C,2,0)</f>
        <v>ROBERTO</v>
      </c>
      <c r="P528" t="str">
        <f>VLOOKUP(O528,'[1]CONFIG.'!$C:$D,2,0)</f>
        <v>74 99551147</v>
      </c>
    </row>
    <row r="529" spans="1:16" x14ac:dyDescent="0.3">
      <c r="A529" t="s">
        <v>3772</v>
      </c>
      <c r="B529" t="s">
        <v>3773</v>
      </c>
      <c r="C529" t="s">
        <v>3774</v>
      </c>
      <c r="D529" t="s">
        <v>3708</v>
      </c>
      <c r="E529" t="s">
        <v>3775</v>
      </c>
      <c r="F529" t="s">
        <v>3776</v>
      </c>
      <c r="G529">
        <v>206</v>
      </c>
      <c r="H529">
        <v>200</v>
      </c>
      <c r="I529" s="5" t="s">
        <v>563</v>
      </c>
      <c r="J529" s="5" t="s">
        <v>3777</v>
      </c>
      <c r="K529" s="5" t="str">
        <f t="shared" si="16"/>
        <v>https://www.google.com/maps?q=-11.307777, -41.472220</v>
      </c>
      <c r="L529" s="5" t="str">
        <f t="shared" si="17"/>
        <v>Abrir no Maps</v>
      </c>
      <c r="M529" t="s">
        <v>3778</v>
      </c>
      <c r="N529" s="5"/>
      <c r="O529" t="str">
        <f>VLOOKUP(G529,'[1]CONFIG.'!$B:$C,2,0)</f>
        <v>ROBERTO</v>
      </c>
      <c r="P529" t="str">
        <f>VLOOKUP(O529,'[1]CONFIG.'!$C:$D,2,0)</f>
        <v>74 99551147</v>
      </c>
    </row>
    <row r="530" spans="1:16" x14ac:dyDescent="0.3">
      <c r="A530" t="s">
        <v>3779</v>
      </c>
      <c r="B530" t="s">
        <v>3780</v>
      </c>
      <c r="C530" t="s">
        <v>3781</v>
      </c>
      <c r="D530" t="s">
        <v>3708</v>
      </c>
      <c r="E530" t="s">
        <v>3782</v>
      </c>
      <c r="F530" t="s">
        <v>3776</v>
      </c>
      <c r="G530">
        <v>206</v>
      </c>
      <c r="H530">
        <v>200</v>
      </c>
      <c r="I530" s="5" t="s">
        <v>3783</v>
      </c>
      <c r="J530" s="5" t="s">
        <v>3784</v>
      </c>
      <c r="K530" s="5" t="str">
        <f t="shared" si="16"/>
        <v>https://www.google.com/maps?q=-11.308147, -41.476030</v>
      </c>
      <c r="L530" s="5" t="str">
        <f t="shared" si="17"/>
        <v>Abrir no Maps</v>
      </c>
      <c r="M530" t="s">
        <v>3785</v>
      </c>
      <c r="N530" s="5"/>
      <c r="O530" t="str">
        <f>VLOOKUP(G530,'[1]CONFIG.'!$B:$C,2,0)</f>
        <v>ROBERTO</v>
      </c>
      <c r="P530" t="str">
        <f>VLOOKUP(O530,'[1]CONFIG.'!$C:$D,2,0)</f>
        <v>74 99551147</v>
      </c>
    </row>
    <row r="531" spans="1:16" x14ac:dyDescent="0.3">
      <c r="A531" t="s">
        <v>3786</v>
      </c>
      <c r="B531" t="s">
        <v>3787</v>
      </c>
      <c r="C531" t="s">
        <v>3788</v>
      </c>
      <c r="D531" t="s">
        <v>3708</v>
      </c>
      <c r="E531" t="s">
        <v>3789</v>
      </c>
      <c r="F531" t="s">
        <v>3790</v>
      </c>
      <c r="G531">
        <v>206</v>
      </c>
      <c r="H531">
        <v>200</v>
      </c>
      <c r="I531" s="5" t="s">
        <v>3791</v>
      </c>
      <c r="J531" s="5" t="s">
        <v>3792</v>
      </c>
      <c r="K531" s="5" t="str">
        <f t="shared" si="16"/>
        <v>https://www.google.com/maps?q=-11.368649, -41.595610</v>
      </c>
      <c r="L531" s="5" t="str">
        <f t="shared" si="17"/>
        <v>Abrir no Maps</v>
      </c>
      <c r="M531" t="s">
        <v>3793</v>
      </c>
      <c r="N531" s="5"/>
      <c r="O531" t="str">
        <f>VLOOKUP(G531,'[1]CONFIG.'!$B:$C,2,0)</f>
        <v>ROBERTO</v>
      </c>
      <c r="P531" t="str">
        <f>VLOOKUP(O531,'[1]CONFIG.'!$C:$D,2,0)</f>
        <v>74 99551147</v>
      </c>
    </row>
    <row r="532" spans="1:16" x14ac:dyDescent="0.3">
      <c r="A532" t="s">
        <v>3794</v>
      </c>
      <c r="B532" t="s">
        <v>3795</v>
      </c>
      <c r="C532" t="s">
        <v>3796</v>
      </c>
      <c r="D532" t="s">
        <v>3708</v>
      </c>
      <c r="E532" t="s">
        <v>3797</v>
      </c>
      <c r="F532" t="s">
        <v>137</v>
      </c>
      <c r="G532">
        <v>206</v>
      </c>
      <c r="H532">
        <v>200</v>
      </c>
      <c r="I532" s="5" t="s">
        <v>3798</v>
      </c>
      <c r="J532" s="5" t="s">
        <v>3799</v>
      </c>
      <c r="K532" s="5" t="str">
        <f t="shared" si="16"/>
        <v>https://www.google.com/maps?q=-11.452723, -41.436560</v>
      </c>
      <c r="L532" s="5" t="str">
        <f t="shared" si="17"/>
        <v>Abrir no Maps</v>
      </c>
      <c r="M532" t="s">
        <v>3800</v>
      </c>
      <c r="N532" s="5"/>
      <c r="O532" t="str">
        <f>VLOOKUP(G532,'[1]CONFIG.'!$B:$C,2,0)</f>
        <v>ROBERTO</v>
      </c>
      <c r="P532" t="str">
        <f>VLOOKUP(O532,'[1]CONFIG.'!$C:$D,2,0)</f>
        <v>74 99551147</v>
      </c>
    </row>
    <row r="533" spans="1:16" x14ac:dyDescent="0.3">
      <c r="A533" t="s">
        <v>3801</v>
      </c>
      <c r="B533" t="s">
        <v>3802</v>
      </c>
      <c r="C533" t="s">
        <v>3803</v>
      </c>
      <c r="D533" t="s">
        <v>3708</v>
      </c>
      <c r="E533" t="s">
        <v>3804</v>
      </c>
      <c r="F533" t="s">
        <v>3710</v>
      </c>
      <c r="G533">
        <v>206</v>
      </c>
      <c r="H533">
        <v>200</v>
      </c>
      <c r="I533" s="5" t="s">
        <v>3805</v>
      </c>
      <c r="J533" s="5" t="s">
        <v>3806</v>
      </c>
      <c r="K533" s="5" t="str">
        <f t="shared" si="16"/>
        <v>https://www.google.com/maps?q=-11.475984, -41.514477</v>
      </c>
      <c r="L533" s="5" t="str">
        <f t="shared" si="17"/>
        <v>Abrir no Maps</v>
      </c>
      <c r="M533" t="s">
        <v>3807</v>
      </c>
      <c r="N533" s="5"/>
      <c r="O533" t="str">
        <f>VLOOKUP(G533,'[1]CONFIG.'!$B:$C,2,0)</f>
        <v>ROBERTO</v>
      </c>
      <c r="P533" t="str">
        <f>VLOOKUP(O533,'[1]CONFIG.'!$C:$D,2,0)</f>
        <v>74 99551147</v>
      </c>
    </row>
    <row r="534" spans="1:16" x14ac:dyDescent="0.3">
      <c r="A534" t="s">
        <v>3808</v>
      </c>
      <c r="B534" t="s">
        <v>3809</v>
      </c>
      <c r="C534" t="s">
        <v>3810</v>
      </c>
      <c r="D534" t="s">
        <v>3708</v>
      </c>
      <c r="E534" t="s">
        <v>3811</v>
      </c>
      <c r="F534" t="s">
        <v>137</v>
      </c>
      <c r="G534">
        <v>206</v>
      </c>
      <c r="H534">
        <v>200</v>
      </c>
      <c r="I534" s="5" t="s">
        <v>3812</v>
      </c>
      <c r="J534" s="5" t="s">
        <v>3813</v>
      </c>
      <c r="K534" s="5" t="str">
        <f t="shared" si="16"/>
        <v>https://www.google.com/maps?q=-11.454602, -41.437614</v>
      </c>
      <c r="L534" s="5" t="str">
        <f t="shared" si="17"/>
        <v>Abrir no Maps</v>
      </c>
      <c r="M534" t="s">
        <v>3814</v>
      </c>
      <c r="N534" s="5"/>
      <c r="O534" t="str">
        <f>VLOOKUP(G534,'[1]CONFIG.'!$B:$C,2,0)</f>
        <v>ROBERTO</v>
      </c>
      <c r="P534" t="str">
        <f>VLOOKUP(O534,'[1]CONFIG.'!$C:$D,2,0)</f>
        <v>74 99551147</v>
      </c>
    </row>
    <row r="535" spans="1:16" x14ac:dyDescent="0.3">
      <c r="A535" t="s">
        <v>3815</v>
      </c>
      <c r="B535" t="s">
        <v>3816</v>
      </c>
      <c r="C535" t="s">
        <v>3817</v>
      </c>
      <c r="D535" t="s">
        <v>3708</v>
      </c>
      <c r="E535" t="s">
        <v>3818</v>
      </c>
      <c r="F535" t="s">
        <v>3776</v>
      </c>
      <c r="G535">
        <v>206</v>
      </c>
      <c r="H535">
        <v>200</v>
      </c>
      <c r="I535" s="5" t="s">
        <v>563</v>
      </c>
      <c r="J535" s="5" t="s">
        <v>3819</v>
      </c>
      <c r="K535" s="5" t="str">
        <f t="shared" si="16"/>
        <v>https://www.google.com/maps?q=-11.307777, -41.477222</v>
      </c>
      <c r="L535" s="5" t="str">
        <f t="shared" si="17"/>
        <v>Abrir no Maps</v>
      </c>
      <c r="M535" t="s">
        <v>3820</v>
      </c>
      <c r="N535" s="5"/>
      <c r="O535" t="str">
        <f>VLOOKUP(G535,'[1]CONFIG.'!$B:$C,2,0)</f>
        <v>ROBERTO</v>
      </c>
      <c r="P535" t="str">
        <f>VLOOKUP(O535,'[1]CONFIG.'!$C:$D,2,0)</f>
        <v>74 99551147</v>
      </c>
    </row>
    <row r="536" spans="1:16" x14ac:dyDescent="0.3">
      <c r="A536" t="s">
        <v>3821</v>
      </c>
      <c r="B536" t="s">
        <v>3822</v>
      </c>
      <c r="C536" t="s">
        <v>3823</v>
      </c>
      <c r="D536" t="s">
        <v>36</v>
      </c>
      <c r="E536" t="s">
        <v>3824</v>
      </c>
      <c r="F536" t="s">
        <v>327</v>
      </c>
      <c r="G536">
        <v>209</v>
      </c>
      <c r="H536">
        <v>500</v>
      </c>
      <c r="I536" s="5" t="s">
        <v>3825</v>
      </c>
      <c r="J536" s="5" t="s">
        <v>3826</v>
      </c>
      <c r="K536" s="5" t="str">
        <f t="shared" si="16"/>
        <v>https://www.google.com/maps?q=-11.302426, -41.845310</v>
      </c>
      <c r="L536" s="5" t="str">
        <f t="shared" si="17"/>
        <v>Abrir no Maps</v>
      </c>
      <c r="M536" t="s">
        <v>3827</v>
      </c>
      <c r="N536" s="5"/>
      <c r="O536" t="str">
        <f>VLOOKUP(G536,'[1]CONFIG.'!$B:$C,2,0)</f>
        <v>IGOR</v>
      </c>
      <c r="P536" t="str">
        <f>VLOOKUP(O536,'[1]CONFIG.'!$C:$D,2,0)</f>
        <v>74 99590346</v>
      </c>
    </row>
    <row r="537" spans="1:16" x14ac:dyDescent="0.3">
      <c r="A537" t="s">
        <v>3828</v>
      </c>
      <c r="B537" t="s">
        <v>3829</v>
      </c>
      <c r="C537" t="s">
        <v>3830</v>
      </c>
      <c r="D537" t="s">
        <v>3708</v>
      </c>
      <c r="E537" t="s">
        <v>3831</v>
      </c>
      <c r="F537" t="s">
        <v>3832</v>
      </c>
      <c r="G537">
        <v>206</v>
      </c>
      <c r="H537">
        <v>200</v>
      </c>
      <c r="I537" s="5" t="s">
        <v>1409</v>
      </c>
      <c r="J537" s="5" t="s">
        <v>3833</v>
      </c>
      <c r="K537" s="5" t="str">
        <f t="shared" si="16"/>
        <v>https://www.google.com/maps?q=-11.303056, -41.461113</v>
      </c>
      <c r="L537" s="5" t="str">
        <f t="shared" si="17"/>
        <v>Abrir no Maps</v>
      </c>
      <c r="M537" t="s">
        <v>3834</v>
      </c>
      <c r="N537" s="5"/>
      <c r="O537" t="str">
        <f>VLOOKUP(G537,'[1]CONFIG.'!$B:$C,2,0)</f>
        <v>ROBERTO</v>
      </c>
      <c r="P537" t="str">
        <f>VLOOKUP(O537,'[1]CONFIG.'!$C:$D,2,0)</f>
        <v>74 99551147</v>
      </c>
    </row>
    <row r="538" spans="1:16" x14ac:dyDescent="0.3">
      <c r="A538" t="s">
        <v>3835</v>
      </c>
      <c r="B538" t="s">
        <v>3836</v>
      </c>
      <c r="C538" t="s">
        <v>3837</v>
      </c>
      <c r="D538" t="s">
        <v>3708</v>
      </c>
      <c r="E538" t="s">
        <v>3838</v>
      </c>
      <c r="F538" t="s">
        <v>3776</v>
      </c>
      <c r="G538">
        <v>206</v>
      </c>
      <c r="H538">
        <v>200</v>
      </c>
      <c r="I538" s="5" t="s">
        <v>3839</v>
      </c>
      <c r="J538" s="5" t="s">
        <v>3840</v>
      </c>
      <c r="K538" s="5" t="str">
        <f t="shared" si="16"/>
        <v>https://www.google.com/maps?q=-11.308888, -41.479168</v>
      </c>
      <c r="L538" s="5" t="str">
        <f t="shared" si="17"/>
        <v>Abrir no Maps</v>
      </c>
      <c r="M538" t="s">
        <v>3841</v>
      </c>
      <c r="N538" s="5"/>
      <c r="O538" t="str">
        <f>VLOOKUP(G538,'[1]CONFIG.'!$B:$C,2,0)</f>
        <v>ROBERTO</v>
      </c>
      <c r="P538" t="str">
        <f>VLOOKUP(O538,'[1]CONFIG.'!$C:$D,2,0)</f>
        <v>74 99551147</v>
      </c>
    </row>
    <row r="539" spans="1:16" x14ac:dyDescent="0.3">
      <c r="A539" t="s">
        <v>3842</v>
      </c>
      <c r="B539" t="s">
        <v>3843</v>
      </c>
      <c r="C539" t="s">
        <v>3844</v>
      </c>
      <c r="D539" t="s">
        <v>3708</v>
      </c>
      <c r="E539" t="s">
        <v>3845</v>
      </c>
      <c r="F539" t="s">
        <v>3776</v>
      </c>
      <c r="G539">
        <v>206</v>
      </c>
      <c r="H539">
        <v>200</v>
      </c>
      <c r="I539" s="5" t="s">
        <v>3846</v>
      </c>
      <c r="J539" s="5" t="s">
        <v>3847</v>
      </c>
      <c r="K539" s="5" t="str">
        <f t="shared" si="16"/>
        <v>https://www.google.com/maps?q=-11.308619, -41.479435</v>
      </c>
      <c r="L539" s="5" t="str">
        <f t="shared" si="17"/>
        <v>Abrir no Maps</v>
      </c>
      <c r="M539" t="s">
        <v>3848</v>
      </c>
      <c r="N539" s="5"/>
      <c r="O539" t="str">
        <f>VLOOKUP(G539,'[1]CONFIG.'!$B:$C,2,0)</f>
        <v>ROBERTO</v>
      </c>
      <c r="P539" t="str">
        <f>VLOOKUP(O539,'[1]CONFIG.'!$C:$D,2,0)</f>
        <v>74 99551147</v>
      </c>
    </row>
    <row r="540" spans="1:16" x14ac:dyDescent="0.3">
      <c r="A540" t="s">
        <v>3849</v>
      </c>
      <c r="B540" t="s">
        <v>3850</v>
      </c>
      <c r="C540" t="s">
        <v>3851</v>
      </c>
      <c r="D540" t="s">
        <v>3708</v>
      </c>
      <c r="E540" t="s">
        <v>3852</v>
      </c>
      <c r="F540" t="s">
        <v>3853</v>
      </c>
      <c r="G540">
        <v>206</v>
      </c>
      <c r="H540">
        <v>200</v>
      </c>
      <c r="I540" s="5" t="s">
        <v>3854</v>
      </c>
      <c r="J540" s="5" t="s">
        <v>3855</v>
      </c>
      <c r="K540" s="5" t="str">
        <f t="shared" si="16"/>
        <v>https://www.google.com/maps?q=-11.474024, -41.515694</v>
      </c>
      <c r="L540" s="5" t="str">
        <f t="shared" si="17"/>
        <v>Abrir no Maps</v>
      </c>
      <c r="M540" t="s">
        <v>3856</v>
      </c>
      <c r="N540" s="5"/>
      <c r="O540" t="str">
        <f>VLOOKUP(G540,'[1]CONFIG.'!$B:$C,2,0)</f>
        <v>ROBERTO</v>
      </c>
      <c r="P540" t="str">
        <f>VLOOKUP(O540,'[1]CONFIG.'!$C:$D,2,0)</f>
        <v>74 99551147</v>
      </c>
    </row>
    <row r="541" spans="1:16" x14ac:dyDescent="0.3">
      <c r="A541" t="s">
        <v>3857</v>
      </c>
      <c r="B541" t="s">
        <v>3858</v>
      </c>
      <c r="C541" t="s">
        <v>3859</v>
      </c>
      <c r="D541" t="s">
        <v>3708</v>
      </c>
      <c r="E541" t="s">
        <v>3860</v>
      </c>
      <c r="F541" t="s">
        <v>3861</v>
      </c>
      <c r="G541">
        <v>206</v>
      </c>
      <c r="H541">
        <v>200</v>
      </c>
      <c r="I541" s="5" t="s">
        <v>3862</v>
      </c>
      <c r="J541" s="5" t="s">
        <v>3863</v>
      </c>
      <c r="K541" s="5" t="str">
        <f t="shared" si="16"/>
        <v>https://www.google.com/maps?q=-11.398056, -41.534720</v>
      </c>
      <c r="L541" s="5" t="str">
        <f t="shared" si="17"/>
        <v>Abrir no Maps</v>
      </c>
      <c r="M541" t="s">
        <v>3864</v>
      </c>
      <c r="N541" s="5"/>
      <c r="O541" t="str">
        <f>VLOOKUP(G541,'[1]CONFIG.'!$B:$C,2,0)</f>
        <v>ROBERTO</v>
      </c>
      <c r="P541" t="str">
        <f>VLOOKUP(O541,'[1]CONFIG.'!$C:$D,2,0)</f>
        <v>74 99551147</v>
      </c>
    </row>
    <row r="542" spans="1:16" x14ac:dyDescent="0.3">
      <c r="A542" t="s">
        <v>3865</v>
      </c>
      <c r="B542" t="s">
        <v>3866</v>
      </c>
      <c r="C542" t="s">
        <v>3867</v>
      </c>
      <c r="D542" t="s">
        <v>3708</v>
      </c>
      <c r="E542" t="s">
        <v>3868</v>
      </c>
      <c r="F542" t="s">
        <v>3776</v>
      </c>
      <c r="G542">
        <v>206</v>
      </c>
      <c r="H542">
        <v>200</v>
      </c>
      <c r="I542" s="5" t="s">
        <v>1493</v>
      </c>
      <c r="J542" s="5" t="s">
        <v>3869</v>
      </c>
      <c r="K542" s="5" t="str">
        <f t="shared" si="16"/>
        <v>https://www.google.com/maps?q=-11.307500, -41.481388</v>
      </c>
      <c r="L542" s="5" t="str">
        <f t="shared" si="17"/>
        <v>Abrir no Maps</v>
      </c>
      <c r="M542" t="s">
        <v>3870</v>
      </c>
      <c r="N542" s="5"/>
      <c r="O542" t="str">
        <f>VLOOKUP(G542,'[1]CONFIG.'!$B:$C,2,0)</f>
        <v>ROBERTO</v>
      </c>
      <c r="P542" t="str">
        <f>VLOOKUP(O542,'[1]CONFIG.'!$C:$D,2,0)</f>
        <v>74 99551147</v>
      </c>
    </row>
    <row r="543" spans="1:16" x14ac:dyDescent="0.3">
      <c r="A543" t="s">
        <v>3871</v>
      </c>
      <c r="B543" t="s">
        <v>3872</v>
      </c>
      <c r="C543" t="s">
        <v>3873</v>
      </c>
      <c r="D543" t="s">
        <v>3708</v>
      </c>
      <c r="E543" t="s">
        <v>3874</v>
      </c>
      <c r="F543" t="s">
        <v>3776</v>
      </c>
      <c r="G543">
        <v>206</v>
      </c>
      <c r="H543">
        <v>200</v>
      </c>
      <c r="I543" s="5" t="s">
        <v>3875</v>
      </c>
      <c r="J543" s="5" t="s">
        <v>3876</v>
      </c>
      <c r="K543" s="5" t="str">
        <f t="shared" si="16"/>
        <v>https://www.google.com/maps?q=-11.306730, -41.481520</v>
      </c>
      <c r="L543" s="5" t="str">
        <f t="shared" si="17"/>
        <v>Abrir no Maps</v>
      </c>
      <c r="M543" t="s">
        <v>3877</v>
      </c>
      <c r="N543" s="5"/>
      <c r="O543" t="str">
        <f>VLOOKUP(G543,'[1]CONFIG.'!$B:$C,2,0)</f>
        <v>ROBERTO</v>
      </c>
      <c r="P543" t="str">
        <f>VLOOKUP(O543,'[1]CONFIG.'!$C:$D,2,0)</f>
        <v>74 99551147</v>
      </c>
    </row>
    <row r="544" spans="1:16" x14ac:dyDescent="0.3">
      <c r="A544" t="s">
        <v>3878</v>
      </c>
      <c r="B544" t="s">
        <v>3879</v>
      </c>
      <c r="C544" t="s">
        <v>3880</v>
      </c>
      <c r="D544" t="s">
        <v>3881</v>
      </c>
      <c r="E544" t="s">
        <v>3882</v>
      </c>
      <c r="F544" t="s">
        <v>137</v>
      </c>
      <c r="G544">
        <v>214</v>
      </c>
      <c r="H544">
        <v>200</v>
      </c>
      <c r="I544" s="5" t="s">
        <v>3883</v>
      </c>
      <c r="J544" s="5" t="s">
        <v>3884</v>
      </c>
      <c r="K544" s="5" t="str">
        <f t="shared" si="16"/>
        <v>https://www.google.com/maps?q=-10.823263, -42.730490</v>
      </c>
      <c r="L544" s="5" t="str">
        <f t="shared" si="17"/>
        <v>Abrir no Maps</v>
      </c>
      <c r="M544" t="s">
        <v>3885</v>
      </c>
      <c r="N544" s="5"/>
      <c r="O544" t="str">
        <f>VLOOKUP(G544,'[1]CONFIG.'!$B:$C,2,0)</f>
        <v>GEOVANA</v>
      </c>
      <c r="P544" t="str">
        <f>VLOOKUP(O544,'[1]CONFIG.'!$C:$D,2,0)</f>
        <v>74 99523491</v>
      </c>
    </row>
    <row r="545" spans="1:16" x14ac:dyDescent="0.3">
      <c r="A545" t="s">
        <v>3886</v>
      </c>
      <c r="B545" t="s">
        <v>3887</v>
      </c>
      <c r="C545" t="s">
        <v>3888</v>
      </c>
      <c r="D545" t="s">
        <v>429</v>
      </c>
      <c r="E545" t="s">
        <v>3889</v>
      </c>
      <c r="F545" t="s">
        <v>3890</v>
      </c>
      <c r="G545">
        <v>206</v>
      </c>
      <c r="H545">
        <v>200</v>
      </c>
      <c r="I545" s="5" t="s">
        <v>3891</v>
      </c>
      <c r="J545" s="5" t="s">
        <v>3892</v>
      </c>
      <c r="K545" s="5" t="str">
        <f t="shared" si="16"/>
        <v>https://www.google.com/maps?q=-11.446170, -41.409347</v>
      </c>
      <c r="L545" s="5" t="str">
        <f t="shared" si="17"/>
        <v>Abrir no Maps</v>
      </c>
      <c r="M545" t="s">
        <v>3893</v>
      </c>
      <c r="N545" s="5"/>
      <c r="O545" t="str">
        <f>VLOOKUP(G545,'[1]CONFIG.'!$B:$C,2,0)</f>
        <v>ROBERTO</v>
      </c>
      <c r="P545" t="str">
        <f>VLOOKUP(O545,'[1]CONFIG.'!$C:$D,2,0)</f>
        <v>74 99551147</v>
      </c>
    </row>
    <row r="546" spans="1:16" x14ac:dyDescent="0.3">
      <c r="A546" t="s">
        <v>3894</v>
      </c>
      <c r="B546" t="s">
        <v>3895</v>
      </c>
      <c r="C546" t="s">
        <v>3896</v>
      </c>
      <c r="D546" t="s">
        <v>3708</v>
      </c>
      <c r="E546" t="s">
        <v>3897</v>
      </c>
      <c r="F546" t="s">
        <v>3790</v>
      </c>
      <c r="G546">
        <v>206</v>
      </c>
      <c r="H546">
        <v>200</v>
      </c>
      <c r="I546" s="5" t="s">
        <v>3898</v>
      </c>
      <c r="J546" s="5" t="s">
        <v>3899</v>
      </c>
      <c r="K546" s="5" t="str">
        <f t="shared" si="16"/>
        <v>https://www.google.com/maps?q=-11.365097, -41.596820</v>
      </c>
      <c r="L546" s="5" t="str">
        <f t="shared" si="17"/>
        <v>Abrir no Maps</v>
      </c>
      <c r="M546" t="s">
        <v>3900</v>
      </c>
      <c r="N546" s="5"/>
      <c r="O546" t="str">
        <f>VLOOKUP(G546,'[1]CONFIG.'!$B:$C,2,0)</f>
        <v>ROBERTO</v>
      </c>
      <c r="P546" t="str">
        <f>VLOOKUP(O546,'[1]CONFIG.'!$C:$D,2,0)</f>
        <v>74 99551147</v>
      </c>
    </row>
    <row r="547" spans="1:16" x14ac:dyDescent="0.3">
      <c r="A547" t="s">
        <v>3901</v>
      </c>
      <c r="B547" t="s">
        <v>3902</v>
      </c>
      <c r="C547" t="s">
        <v>3903</v>
      </c>
      <c r="D547" t="s">
        <v>3708</v>
      </c>
      <c r="E547" t="s">
        <v>3904</v>
      </c>
      <c r="F547" t="s">
        <v>3776</v>
      </c>
      <c r="G547">
        <v>206</v>
      </c>
      <c r="H547">
        <v>200</v>
      </c>
      <c r="I547" s="5" t="s">
        <v>3905</v>
      </c>
      <c r="J547" s="5" t="s">
        <v>3906</v>
      </c>
      <c r="K547" s="5" t="str">
        <f t="shared" si="16"/>
        <v>https://www.google.com/maps?q=-11.308470, -41.478801</v>
      </c>
      <c r="L547" s="5" t="str">
        <f t="shared" si="17"/>
        <v>Abrir no Maps</v>
      </c>
      <c r="M547" t="s">
        <v>3907</v>
      </c>
      <c r="N547" s="5"/>
      <c r="O547" t="str">
        <f>VLOOKUP(G547,'[1]CONFIG.'!$B:$C,2,0)</f>
        <v>ROBERTO</v>
      </c>
      <c r="P547" t="str">
        <f>VLOOKUP(O547,'[1]CONFIG.'!$C:$D,2,0)</f>
        <v>74 99551147</v>
      </c>
    </row>
    <row r="548" spans="1:16" x14ac:dyDescent="0.3">
      <c r="A548" t="s">
        <v>3908</v>
      </c>
      <c r="B548" t="s">
        <v>3909</v>
      </c>
      <c r="C548" t="s">
        <v>3910</v>
      </c>
      <c r="D548" t="s">
        <v>3708</v>
      </c>
      <c r="E548" t="s">
        <v>3911</v>
      </c>
      <c r="F548" t="s">
        <v>137</v>
      </c>
      <c r="G548">
        <v>206</v>
      </c>
      <c r="H548">
        <v>200</v>
      </c>
      <c r="I548" s="5" t="s">
        <v>3912</v>
      </c>
      <c r="J548" s="5" t="s">
        <v>3913</v>
      </c>
      <c r="K548" s="5" t="str">
        <f t="shared" si="16"/>
        <v>https://www.google.com/maps?q=-11.453458, -41.436580</v>
      </c>
      <c r="L548" s="5" t="str">
        <f t="shared" si="17"/>
        <v>Abrir no Maps</v>
      </c>
      <c r="M548" t="s">
        <v>3914</v>
      </c>
      <c r="N548" s="5"/>
      <c r="O548" t="str">
        <f>VLOOKUP(G548,'[1]CONFIG.'!$B:$C,2,0)</f>
        <v>ROBERTO</v>
      </c>
      <c r="P548" t="str">
        <f>VLOOKUP(O548,'[1]CONFIG.'!$C:$D,2,0)</f>
        <v>74 99551147</v>
      </c>
    </row>
    <row r="549" spans="1:16" x14ac:dyDescent="0.3">
      <c r="A549" t="s">
        <v>3915</v>
      </c>
      <c r="B549" t="s">
        <v>3916</v>
      </c>
      <c r="C549" t="s">
        <v>3917</v>
      </c>
      <c r="D549" t="s">
        <v>429</v>
      </c>
      <c r="E549" t="s">
        <v>3918</v>
      </c>
      <c r="F549" t="s">
        <v>137</v>
      </c>
      <c r="G549">
        <v>201</v>
      </c>
      <c r="H549">
        <v>300</v>
      </c>
      <c r="I549" s="5" t="s">
        <v>3919</v>
      </c>
      <c r="J549" s="5" t="s">
        <v>3920</v>
      </c>
      <c r="K549" s="5" t="str">
        <f t="shared" si="16"/>
        <v>https://www.google.com/maps?q=-11.548225, -41.159645</v>
      </c>
      <c r="L549" s="5" t="str">
        <f t="shared" si="17"/>
        <v>Abrir no Maps</v>
      </c>
      <c r="M549">
        <v>0</v>
      </c>
      <c r="N549" s="5"/>
      <c r="O549" t="str">
        <f>VLOOKUP(G549,'[1]CONFIG.'!$B:$C,2,0)</f>
        <v>EDSON</v>
      </c>
      <c r="P549" t="str">
        <f>VLOOKUP(O549,'[1]CONFIG.'!$C:$D,2,0)</f>
        <v>74 99403278</v>
      </c>
    </row>
    <row r="550" spans="1:16" x14ac:dyDescent="0.3">
      <c r="A550" t="s">
        <v>3921</v>
      </c>
      <c r="B550" t="s">
        <v>3922</v>
      </c>
      <c r="C550" t="s">
        <v>3923</v>
      </c>
      <c r="D550" t="s">
        <v>3708</v>
      </c>
      <c r="E550" t="s">
        <v>3924</v>
      </c>
      <c r="F550" t="s">
        <v>3776</v>
      </c>
      <c r="G550">
        <v>206</v>
      </c>
      <c r="H550">
        <v>200</v>
      </c>
      <c r="I550" s="5" t="s">
        <v>3925</v>
      </c>
      <c r="J550" s="5" t="s">
        <v>3926</v>
      </c>
      <c r="K550" s="5" t="str">
        <f t="shared" si="16"/>
        <v>https://www.google.com/maps?q=-11.307073, -41.481640</v>
      </c>
      <c r="L550" s="5" t="str">
        <f t="shared" si="17"/>
        <v>Abrir no Maps</v>
      </c>
      <c r="M550" t="s">
        <v>3927</v>
      </c>
      <c r="N550" s="5"/>
      <c r="O550" t="str">
        <f>VLOOKUP(G550,'[1]CONFIG.'!$B:$C,2,0)</f>
        <v>ROBERTO</v>
      </c>
      <c r="P550" t="str">
        <f>VLOOKUP(O550,'[1]CONFIG.'!$C:$D,2,0)</f>
        <v>74 99551147</v>
      </c>
    </row>
    <row r="551" spans="1:16" x14ac:dyDescent="0.3">
      <c r="A551" t="s">
        <v>3928</v>
      </c>
      <c r="B551" t="s">
        <v>3929</v>
      </c>
      <c r="C551" t="s">
        <v>3930</v>
      </c>
      <c r="D551" t="s">
        <v>3708</v>
      </c>
      <c r="E551" t="s">
        <v>3931</v>
      </c>
      <c r="F551" t="s">
        <v>3932</v>
      </c>
      <c r="G551">
        <v>206</v>
      </c>
      <c r="H551">
        <v>200</v>
      </c>
      <c r="I551" s="5" t="s">
        <v>3933</v>
      </c>
      <c r="J551" s="5" t="s">
        <v>3934</v>
      </c>
      <c r="K551" s="5" t="str">
        <f t="shared" si="16"/>
        <v>https://www.google.com/maps?q=-11.366516, -41.595108</v>
      </c>
      <c r="L551" s="5" t="str">
        <f t="shared" si="17"/>
        <v>Abrir no Maps</v>
      </c>
      <c r="M551" t="s">
        <v>3935</v>
      </c>
      <c r="N551" s="5"/>
      <c r="O551" t="str">
        <f>VLOOKUP(G551,'[1]CONFIG.'!$B:$C,2,0)</f>
        <v>ROBERTO</v>
      </c>
      <c r="P551" t="str">
        <f>VLOOKUP(O551,'[1]CONFIG.'!$C:$D,2,0)</f>
        <v>74 99551147</v>
      </c>
    </row>
    <row r="552" spans="1:16" x14ac:dyDescent="0.3">
      <c r="A552" t="s">
        <v>3936</v>
      </c>
      <c r="B552" t="s">
        <v>3937</v>
      </c>
      <c r="C552" t="s">
        <v>3938</v>
      </c>
      <c r="D552" t="s">
        <v>3708</v>
      </c>
      <c r="E552" t="s">
        <v>3939</v>
      </c>
      <c r="F552" t="s">
        <v>3718</v>
      </c>
      <c r="G552">
        <v>206</v>
      </c>
      <c r="H552">
        <v>200</v>
      </c>
      <c r="I552" s="5" t="s">
        <v>3940</v>
      </c>
      <c r="J552" s="5" t="s">
        <v>3941</v>
      </c>
      <c r="K552" s="5" t="str">
        <f t="shared" si="16"/>
        <v>https://www.google.com/maps?q=-11.443233, -41.423058</v>
      </c>
      <c r="L552" s="5" t="str">
        <f t="shared" si="17"/>
        <v>Abrir no Maps</v>
      </c>
      <c r="M552" t="s">
        <v>3942</v>
      </c>
      <c r="N552" s="5"/>
      <c r="O552" t="str">
        <f>VLOOKUP(G552,'[1]CONFIG.'!$B:$C,2,0)</f>
        <v>ROBERTO</v>
      </c>
      <c r="P552" t="str">
        <f>VLOOKUP(O552,'[1]CONFIG.'!$C:$D,2,0)</f>
        <v>74 99551147</v>
      </c>
    </row>
    <row r="553" spans="1:16" x14ac:dyDescent="0.3">
      <c r="A553" t="s">
        <v>3943</v>
      </c>
      <c r="B553" t="s">
        <v>3944</v>
      </c>
      <c r="C553" t="s">
        <v>3945</v>
      </c>
      <c r="D553" t="s">
        <v>3708</v>
      </c>
      <c r="E553" t="s">
        <v>3946</v>
      </c>
      <c r="F553" t="s">
        <v>3947</v>
      </c>
      <c r="G553">
        <v>206</v>
      </c>
      <c r="H553">
        <v>200</v>
      </c>
      <c r="I553" s="5" t="s">
        <v>3948</v>
      </c>
      <c r="J553" s="5" t="s">
        <v>3949</v>
      </c>
      <c r="K553" s="5" t="str">
        <f t="shared" si="16"/>
        <v>https://www.google.com/maps?q=-11.473877, -41.514637</v>
      </c>
      <c r="L553" s="5" t="str">
        <f t="shared" si="17"/>
        <v>Abrir no Maps</v>
      </c>
      <c r="M553" t="s">
        <v>3950</v>
      </c>
      <c r="N553" s="5"/>
      <c r="O553" t="str">
        <f>VLOOKUP(G553,'[1]CONFIG.'!$B:$C,2,0)</f>
        <v>ROBERTO</v>
      </c>
      <c r="P553" t="str">
        <f>VLOOKUP(O553,'[1]CONFIG.'!$C:$D,2,0)</f>
        <v>74 99551147</v>
      </c>
    </row>
    <row r="554" spans="1:16" x14ac:dyDescent="0.3">
      <c r="A554" t="s">
        <v>3951</v>
      </c>
      <c r="B554" t="s">
        <v>3952</v>
      </c>
      <c r="C554" t="s">
        <v>3953</v>
      </c>
      <c r="D554" t="s">
        <v>3708</v>
      </c>
      <c r="E554" t="s">
        <v>3954</v>
      </c>
      <c r="F554" t="s">
        <v>3776</v>
      </c>
      <c r="G554">
        <v>206</v>
      </c>
      <c r="H554">
        <v>200</v>
      </c>
      <c r="I554" s="5" t="s">
        <v>3955</v>
      </c>
      <c r="J554" s="5" t="s">
        <v>3956</v>
      </c>
      <c r="K554" s="5" t="str">
        <f t="shared" si="16"/>
        <v>https://www.google.com/maps?q=-11.307151, -41.480330</v>
      </c>
      <c r="L554" s="5" t="str">
        <f t="shared" si="17"/>
        <v>Abrir no Maps</v>
      </c>
      <c r="M554" t="s">
        <v>3957</v>
      </c>
      <c r="N554" s="5"/>
      <c r="O554" t="str">
        <f>VLOOKUP(G554,'[1]CONFIG.'!$B:$C,2,0)</f>
        <v>ROBERTO</v>
      </c>
      <c r="P554" t="str">
        <f>VLOOKUP(O554,'[1]CONFIG.'!$C:$D,2,0)</f>
        <v>74 99551147</v>
      </c>
    </row>
    <row r="555" spans="1:16" x14ac:dyDescent="0.3">
      <c r="A555" t="s">
        <v>3958</v>
      </c>
      <c r="B555" t="s">
        <v>3959</v>
      </c>
      <c r="C555" t="s">
        <v>3960</v>
      </c>
      <c r="D555" t="s">
        <v>3708</v>
      </c>
      <c r="E555" t="s">
        <v>3961</v>
      </c>
      <c r="F555" t="s">
        <v>3708</v>
      </c>
      <c r="G555">
        <v>206</v>
      </c>
      <c r="H555">
        <v>200</v>
      </c>
      <c r="I555" s="5" t="s">
        <v>3962</v>
      </c>
      <c r="J555" s="5" t="s">
        <v>3963</v>
      </c>
      <c r="K555" s="5" t="str">
        <f t="shared" si="16"/>
        <v>https://www.google.com/maps?q=-11.442986, -41.424202</v>
      </c>
      <c r="L555" s="5" t="str">
        <f t="shared" si="17"/>
        <v>Abrir no Maps</v>
      </c>
      <c r="M555" t="s">
        <v>3964</v>
      </c>
      <c r="N555" s="5"/>
      <c r="O555" t="str">
        <f>VLOOKUP(G555,'[1]CONFIG.'!$B:$C,2,0)</f>
        <v>ROBERTO</v>
      </c>
      <c r="P555" t="str">
        <f>VLOOKUP(O555,'[1]CONFIG.'!$C:$D,2,0)</f>
        <v>74 99551147</v>
      </c>
    </row>
    <row r="556" spans="1:16" x14ac:dyDescent="0.3">
      <c r="A556" t="s">
        <v>3965</v>
      </c>
      <c r="B556" t="s">
        <v>3966</v>
      </c>
      <c r="C556" t="s">
        <v>3967</v>
      </c>
      <c r="D556" t="s">
        <v>3708</v>
      </c>
      <c r="E556" t="s">
        <v>3968</v>
      </c>
      <c r="F556" t="s">
        <v>137</v>
      </c>
      <c r="G556">
        <v>206</v>
      </c>
      <c r="H556">
        <v>200</v>
      </c>
      <c r="I556" s="5" t="s">
        <v>3969</v>
      </c>
      <c r="J556" s="5" t="s">
        <v>3970</v>
      </c>
      <c r="K556" s="5" t="str">
        <f t="shared" si="16"/>
        <v>https://www.google.com/maps?q=-11.441035, -41.431670</v>
      </c>
      <c r="L556" s="5" t="str">
        <f t="shared" si="17"/>
        <v>Abrir no Maps</v>
      </c>
      <c r="M556" t="s">
        <v>3971</v>
      </c>
      <c r="N556" s="5"/>
      <c r="O556" t="str">
        <f>VLOOKUP(G556,'[1]CONFIG.'!$B:$C,2,0)</f>
        <v>ROBERTO</v>
      </c>
      <c r="P556" t="str">
        <f>VLOOKUP(O556,'[1]CONFIG.'!$C:$D,2,0)</f>
        <v>74 99551147</v>
      </c>
    </row>
    <row r="557" spans="1:16" x14ac:dyDescent="0.3">
      <c r="A557" t="s">
        <v>3972</v>
      </c>
      <c r="B557" t="s">
        <v>3973</v>
      </c>
      <c r="C557" t="s">
        <v>3974</v>
      </c>
      <c r="D557" t="s">
        <v>3708</v>
      </c>
      <c r="E557" t="s">
        <v>3975</v>
      </c>
      <c r="F557" t="s">
        <v>3776</v>
      </c>
      <c r="G557">
        <v>206</v>
      </c>
      <c r="H557">
        <v>200</v>
      </c>
      <c r="I557" s="5" t="s">
        <v>3976</v>
      </c>
      <c r="J557" s="5" t="s">
        <v>3977</v>
      </c>
      <c r="K557" s="5" t="str">
        <f t="shared" si="16"/>
        <v>https://www.google.com/maps?q=-11.307786, -41.473750</v>
      </c>
      <c r="L557" s="5" t="str">
        <f t="shared" si="17"/>
        <v>Abrir no Maps</v>
      </c>
      <c r="M557" t="s">
        <v>3978</v>
      </c>
      <c r="N557" s="5"/>
      <c r="O557" t="str">
        <f>VLOOKUP(G557,'[1]CONFIG.'!$B:$C,2,0)</f>
        <v>ROBERTO</v>
      </c>
      <c r="P557" t="str">
        <f>VLOOKUP(O557,'[1]CONFIG.'!$C:$D,2,0)</f>
        <v>74 99551147</v>
      </c>
    </row>
    <row r="558" spans="1:16" x14ac:dyDescent="0.3">
      <c r="A558" t="s">
        <v>3979</v>
      </c>
      <c r="B558" t="s">
        <v>3980</v>
      </c>
      <c r="C558" t="s">
        <v>3981</v>
      </c>
      <c r="D558" t="s">
        <v>3708</v>
      </c>
      <c r="E558" t="s">
        <v>3982</v>
      </c>
      <c r="F558" t="s">
        <v>3776</v>
      </c>
      <c r="G558">
        <v>206</v>
      </c>
      <c r="H558">
        <v>200</v>
      </c>
      <c r="I558" s="5" t="s">
        <v>1493</v>
      </c>
      <c r="J558" s="5" t="s">
        <v>3983</v>
      </c>
      <c r="K558" s="5" t="str">
        <f t="shared" si="16"/>
        <v>https://www.google.com/maps?q=-11.307500, -41.473330</v>
      </c>
      <c r="L558" s="5" t="str">
        <f t="shared" si="17"/>
        <v>Abrir no Maps</v>
      </c>
      <c r="M558" t="s">
        <v>3984</v>
      </c>
      <c r="N558" s="5"/>
      <c r="O558" t="str">
        <f>VLOOKUP(G558,'[1]CONFIG.'!$B:$C,2,0)</f>
        <v>ROBERTO</v>
      </c>
      <c r="P558" t="str">
        <f>VLOOKUP(O558,'[1]CONFIG.'!$C:$D,2,0)</f>
        <v>74 99551147</v>
      </c>
    </row>
    <row r="559" spans="1:16" x14ac:dyDescent="0.3">
      <c r="A559" t="s">
        <v>3985</v>
      </c>
      <c r="B559" t="s">
        <v>3986</v>
      </c>
      <c r="C559" t="s">
        <v>3987</v>
      </c>
      <c r="D559" t="s">
        <v>3708</v>
      </c>
      <c r="E559" t="s">
        <v>3988</v>
      </c>
      <c r="F559" t="s">
        <v>3989</v>
      </c>
      <c r="G559">
        <v>206</v>
      </c>
      <c r="H559">
        <v>200</v>
      </c>
      <c r="I559" s="5" t="s">
        <v>3990</v>
      </c>
      <c r="J559" s="5" t="s">
        <v>3991</v>
      </c>
      <c r="K559" s="5" t="str">
        <f t="shared" si="16"/>
        <v>https://www.google.com/maps?q=-11.395278, -41.537500</v>
      </c>
      <c r="L559" s="5" t="str">
        <f t="shared" si="17"/>
        <v>Abrir no Maps</v>
      </c>
      <c r="M559" t="s">
        <v>3992</v>
      </c>
      <c r="N559" s="5"/>
      <c r="O559" t="str">
        <f>VLOOKUP(G559,'[1]CONFIG.'!$B:$C,2,0)</f>
        <v>ROBERTO</v>
      </c>
      <c r="P559" t="str">
        <f>VLOOKUP(O559,'[1]CONFIG.'!$C:$D,2,0)</f>
        <v>74 99551147</v>
      </c>
    </row>
    <row r="560" spans="1:16" x14ac:dyDescent="0.3">
      <c r="A560" t="s">
        <v>3993</v>
      </c>
      <c r="B560" t="s">
        <v>3994</v>
      </c>
      <c r="C560" t="s">
        <v>3995</v>
      </c>
      <c r="D560" t="s">
        <v>3708</v>
      </c>
      <c r="E560" t="s">
        <v>3996</v>
      </c>
      <c r="F560" t="s">
        <v>137</v>
      </c>
      <c r="G560">
        <v>206</v>
      </c>
      <c r="H560">
        <v>200</v>
      </c>
      <c r="I560" s="5" t="s">
        <v>3997</v>
      </c>
      <c r="J560" s="5" t="s">
        <v>3998</v>
      </c>
      <c r="K560" s="5" t="str">
        <f t="shared" si="16"/>
        <v>https://www.google.com/maps?q=-11.453495, -41.436348</v>
      </c>
      <c r="L560" s="5" t="str">
        <f t="shared" si="17"/>
        <v>Abrir no Maps</v>
      </c>
      <c r="M560" t="s">
        <v>3999</v>
      </c>
      <c r="N560" s="5"/>
      <c r="O560" t="str">
        <f>VLOOKUP(G560,'[1]CONFIG.'!$B:$C,2,0)</f>
        <v>ROBERTO</v>
      </c>
      <c r="P560" t="str">
        <f>VLOOKUP(O560,'[1]CONFIG.'!$C:$D,2,0)</f>
        <v>74 99551147</v>
      </c>
    </row>
    <row r="561" spans="1:16" x14ac:dyDescent="0.3">
      <c r="A561" t="s">
        <v>4000</v>
      </c>
      <c r="B561" t="s">
        <v>4001</v>
      </c>
      <c r="C561" t="s">
        <v>4002</v>
      </c>
      <c r="D561" t="s">
        <v>3708</v>
      </c>
      <c r="E561" t="s">
        <v>4003</v>
      </c>
      <c r="F561" t="s">
        <v>3776</v>
      </c>
      <c r="G561">
        <v>206</v>
      </c>
      <c r="H561">
        <v>200</v>
      </c>
      <c r="I561" s="5" t="s">
        <v>4004</v>
      </c>
      <c r="J561" s="5" t="s">
        <v>4005</v>
      </c>
      <c r="K561" s="5" t="str">
        <f t="shared" si="16"/>
        <v>https://www.google.com/maps?q=-11.308611, -41.478890</v>
      </c>
      <c r="L561" s="5" t="str">
        <f t="shared" si="17"/>
        <v>Abrir no Maps</v>
      </c>
      <c r="M561" t="s">
        <v>4006</v>
      </c>
      <c r="N561" s="5"/>
      <c r="O561" t="str">
        <f>VLOOKUP(G561,'[1]CONFIG.'!$B:$C,2,0)</f>
        <v>ROBERTO</v>
      </c>
      <c r="P561" t="str">
        <f>VLOOKUP(O561,'[1]CONFIG.'!$C:$D,2,0)</f>
        <v>74 99551147</v>
      </c>
    </row>
    <row r="562" spans="1:16" x14ac:dyDescent="0.3">
      <c r="A562" t="s">
        <v>4007</v>
      </c>
      <c r="B562" t="s">
        <v>4008</v>
      </c>
      <c r="C562" t="s">
        <v>4009</v>
      </c>
      <c r="D562" t="s">
        <v>3708</v>
      </c>
      <c r="E562" t="s">
        <v>4010</v>
      </c>
      <c r="F562" t="s">
        <v>3776</v>
      </c>
      <c r="G562">
        <v>206</v>
      </c>
      <c r="H562">
        <v>200</v>
      </c>
      <c r="I562" s="5" t="s">
        <v>312</v>
      </c>
      <c r="J562" s="5" t="s">
        <v>4011</v>
      </c>
      <c r="K562" s="5" t="str">
        <f t="shared" si="16"/>
        <v>https://www.google.com/maps?q=-11.308333, -41.475000</v>
      </c>
      <c r="L562" s="5" t="str">
        <f t="shared" si="17"/>
        <v>Abrir no Maps</v>
      </c>
      <c r="M562" t="s">
        <v>4012</v>
      </c>
      <c r="N562" s="5"/>
      <c r="O562" t="str">
        <f>VLOOKUP(G562,'[1]CONFIG.'!$B:$C,2,0)</f>
        <v>ROBERTO</v>
      </c>
      <c r="P562" t="str">
        <f>VLOOKUP(O562,'[1]CONFIG.'!$C:$D,2,0)</f>
        <v>74 99551147</v>
      </c>
    </row>
    <row r="563" spans="1:16" x14ac:dyDescent="0.3">
      <c r="A563" t="s">
        <v>4013</v>
      </c>
      <c r="B563" t="s">
        <v>4014</v>
      </c>
      <c r="C563" t="s">
        <v>4015</v>
      </c>
      <c r="D563" t="s">
        <v>3708</v>
      </c>
      <c r="E563" t="s">
        <v>4016</v>
      </c>
      <c r="F563" t="s">
        <v>3776</v>
      </c>
      <c r="G563">
        <v>206</v>
      </c>
      <c r="H563">
        <v>200</v>
      </c>
      <c r="I563" s="5" t="s">
        <v>312</v>
      </c>
      <c r="J563" s="5" t="s">
        <v>4017</v>
      </c>
      <c r="K563" s="5" t="str">
        <f t="shared" si="16"/>
        <v>https://www.google.com/maps?q=-11.308333, -41.479443</v>
      </c>
      <c r="L563" s="5" t="str">
        <f t="shared" si="17"/>
        <v>Abrir no Maps</v>
      </c>
      <c r="M563" t="s">
        <v>4018</v>
      </c>
      <c r="N563" s="5"/>
      <c r="O563" t="str">
        <f>VLOOKUP(G563,'[1]CONFIG.'!$B:$C,2,0)</f>
        <v>ROBERTO</v>
      </c>
      <c r="P563" t="str">
        <f>VLOOKUP(O563,'[1]CONFIG.'!$C:$D,2,0)</f>
        <v>74 99551147</v>
      </c>
    </row>
    <row r="564" spans="1:16" x14ac:dyDescent="0.3">
      <c r="A564" t="s">
        <v>4019</v>
      </c>
      <c r="B564" t="s">
        <v>4020</v>
      </c>
      <c r="C564" t="s">
        <v>4021</v>
      </c>
      <c r="D564" t="s">
        <v>3708</v>
      </c>
      <c r="E564" t="s">
        <v>4022</v>
      </c>
      <c r="F564" t="s">
        <v>3718</v>
      </c>
      <c r="G564">
        <v>206</v>
      </c>
      <c r="H564">
        <v>200</v>
      </c>
      <c r="I564" s="5" t="s">
        <v>4023</v>
      </c>
      <c r="J564" s="5" t="s">
        <v>4024</v>
      </c>
      <c r="K564" s="5" t="str">
        <f t="shared" si="16"/>
        <v>https://www.google.com/maps?q=-11.441589, -41.426914</v>
      </c>
      <c r="L564" s="5" t="str">
        <f t="shared" si="17"/>
        <v>Abrir no Maps</v>
      </c>
      <c r="M564" t="s">
        <v>4025</v>
      </c>
      <c r="N564" s="5"/>
      <c r="O564" t="str">
        <f>VLOOKUP(G564,'[1]CONFIG.'!$B:$C,2,0)</f>
        <v>ROBERTO</v>
      </c>
      <c r="P564" t="str">
        <f>VLOOKUP(O564,'[1]CONFIG.'!$C:$D,2,0)</f>
        <v>74 99551147</v>
      </c>
    </row>
    <row r="565" spans="1:16" x14ac:dyDescent="0.3">
      <c r="A565" t="s">
        <v>4026</v>
      </c>
      <c r="B565" t="s">
        <v>4027</v>
      </c>
      <c r="C565" t="s">
        <v>4028</v>
      </c>
      <c r="D565" t="s">
        <v>3708</v>
      </c>
      <c r="E565" t="s">
        <v>4029</v>
      </c>
      <c r="F565" t="s">
        <v>3710</v>
      </c>
      <c r="G565">
        <v>206</v>
      </c>
      <c r="H565">
        <v>200</v>
      </c>
      <c r="I565" s="5" t="s">
        <v>4030</v>
      </c>
      <c r="J565" s="5" t="s">
        <v>4031</v>
      </c>
      <c r="K565" s="5" t="str">
        <f t="shared" si="16"/>
        <v>https://www.google.com/maps?q=-11.474011, -41.515717</v>
      </c>
      <c r="L565" s="5" t="str">
        <f t="shared" si="17"/>
        <v>Abrir no Maps</v>
      </c>
      <c r="M565" t="s">
        <v>4032</v>
      </c>
      <c r="N565" s="5"/>
      <c r="O565" t="str">
        <f>VLOOKUP(G565,'[1]CONFIG.'!$B:$C,2,0)</f>
        <v>ROBERTO</v>
      </c>
      <c r="P565" t="str">
        <f>VLOOKUP(O565,'[1]CONFIG.'!$C:$D,2,0)</f>
        <v>74 99551147</v>
      </c>
    </row>
    <row r="566" spans="1:16" x14ac:dyDescent="0.3">
      <c r="A566" t="s">
        <v>4033</v>
      </c>
      <c r="B566" t="s">
        <v>4034</v>
      </c>
      <c r="C566" t="s">
        <v>4035</v>
      </c>
      <c r="D566" t="s">
        <v>3708</v>
      </c>
      <c r="E566" t="s">
        <v>4036</v>
      </c>
      <c r="F566" t="s">
        <v>3776</v>
      </c>
      <c r="G566">
        <v>206</v>
      </c>
      <c r="H566">
        <v>200</v>
      </c>
      <c r="I566" s="5" t="s">
        <v>4037</v>
      </c>
      <c r="J566" s="5" t="s">
        <v>4038</v>
      </c>
      <c r="K566" s="5" t="str">
        <f t="shared" si="16"/>
        <v>https://www.google.com/maps?q=-11.309142, -41.479244</v>
      </c>
      <c r="L566" s="5" t="str">
        <f t="shared" si="17"/>
        <v>Abrir no Maps</v>
      </c>
      <c r="M566" t="s">
        <v>4039</v>
      </c>
      <c r="N566" s="5"/>
      <c r="O566" t="str">
        <f>VLOOKUP(G566,'[1]CONFIG.'!$B:$C,2,0)</f>
        <v>ROBERTO</v>
      </c>
      <c r="P566" t="str">
        <f>VLOOKUP(O566,'[1]CONFIG.'!$C:$D,2,0)</f>
        <v>74 99551147</v>
      </c>
    </row>
    <row r="567" spans="1:16" x14ac:dyDescent="0.3">
      <c r="A567" t="s">
        <v>4040</v>
      </c>
      <c r="B567" t="s">
        <v>4041</v>
      </c>
      <c r="C567" t="s">
        <v>4042</v>
      </c>
      <c r="D567" t="s">
        <v>3708</v>
      </c>
      <c r="E567" t="s">
        <v>4043</v>
      </c>
      <c r="F567" t="s">
        <v>4044</v>
      </c>
      <c r="G567">
        <v>206</v>
      </c>
      <c r="H567">
        <v>200</v>
      </c>
      <c r="I567" s="5" t="s">
        <v>4045</v>
      </c>
      <c r="J567" s="5" t="s">
        <v>4046</v>
      </c>
      <c r="K567" s="5" t="str">
        <f t="shared" si="16"/>
        <v>https://www.google.com/maps?q=-11.473980, -41.515396</v>
      </c>
      <c r="L567" s="5" t="str">
        <f t="shared" si="17"/>
        <v>Abrir no Maps</v>
      </c>
      <c r="M567" t="s">
        <v>4047</v>
      </c>
      <c r="N567" s="5"/>
      <c r="O567" t="str">
        <f>VLOOKUP(G567,'[1]CONFIG.'!$B:$C,2,0)</f>
        <v>ROBERTO</v>
      </c>
      <c r="P567" t="str">
        <f>VLOOKUP(O567,'[1]CONFIG.'!$C:$D,2,0)</f>
        <v>74 99551147</v>
      </c>
    </row>
    <row r="568" spans="1:16" x14ac:dyDescent="0.3">
      <c r="A568" t="s">
        <v>4048</v>
      </c>
      <c r="B568" t="s">
        <v>4049</v>
      </c>
      <c r="C568" t="s">
        <v>4050</v>
      </c>
      <c r="D568" t="s">
        <v>3708</v>
      </c>
      <c r="E568" t="s">
        <v>4051</v>
      </c>
      <c r="F568" t="s">
        <v>137</v>
      </c>
      <c r="G568">
        <v>206</v>
      </c>
      <c r="H568">
        <v>200</v>
      </c>
      <c r="I568" s="5" t="s">
        <v>4052</v>
      </c>
      <c r="J568" s="5" t="s">
        <v>4053</v>
      </c>
      <c r="K568" s="5" t="str">
        <f t="shared" si="16"/>
        <v>https://www.google.com/maps?q=-11.453600, -41.437070</v>
      </c>
      <c r="L568" s="5" t="str">
        <f t="shared" si="17"/>
        <v>Abrir no Maps</v>
      </c>
      <c r="M568" t="s">
        <v>4054</v>
      </c>
      <c r="N568" s="5"/>
      <c r="O568" t="str">
        <f>VLOOKUP(G568,'[1]CONFIG.'!$B:$C,2,0)</f>
        <v>ROBERTO</v>
      </c>
      <c r="P568" t="str">
        <f>VLOOKUP(O568,'[1]CONFIG.'!$C:$D,2,0)</f>
        <v>74 99551147</v>
      </c>
    </row>
    <row r="569" spans="1:16" x14ac:dyDescent="0.3">
      <c r="A569" t="s">
        <v>4055</v>
      </c>
      <c r="B569" t="s">
        <v>4056</v>
      </c>
      <c r="C569" t="s">
        <v>4057</v>
      </c>
      <c r="D569" t="s">
        <v>3708</v>
      </c>
      <c r="E569" t="s">
        <v>4058</v>
      </c>
      <c r="F569" t="s">
        <v>137</v>
      </c>
      <c r="G569">
        <v>206</v>
      </c>
      <c r="H569">
        <v>200</v>
      </c>
      <c r="I569" s="5" t="s">
        <v>4059</v>
      </c>
      <c r="J569" s="5" t="s">
        <v>4060</v>
      </c>
      <c r="K569" s="5" t="str">
        <f t="shared" si="16"/>
        <v>https://www.google.com/maps?q=-11.453387, -41.435677</v>
      </c>
      <c r="L569" s="5" t="str">
        <f t="shared" si="17"/>
        <v>Abrir no Maps</v>
      </c>
      <c r="M569" t="s">
        <v>2616</v>
      </c>
      <c r="N569" s="5"/>
      <c r="O569" t="str">
        <f>VLOOKUP(G569,'[1]CONFIG.'!$B:$C,2,0)</f>
        <v>ROBERTO</v>
      </c>
      <c r="P569" t="str">
        <f>VLOOKUP(O569,'[1]CONFIG.'!$C:$D,2,0)</f>
        <v>74 99551147</v>
      </c>
    </row>
    <row r="570" spans="1:16" x14ac:dyDescent="0.3">
      <c r="A570" t="s">
        <v>4061</v>
      </c>
      <c r="B570" t="s">
        <v>4062</v>
      </c>
      <c r="C570" t="s">
        <v>4063</v>
      </c>
      <c r="D570" t="s">
        <v>3708</v>
      </c>
      <c r="E570" t="s">
        <v>4064</v>
      </c>
      <c r="F570" t="s">
        <v>3861</v>
      </c>
      <c r="G570">
        <v>206</v>
      </c>
      <c r="H570">
        <v>200</v>
      </c>
      <c r="I570" s="5" t="s">
        <v>4065</v>
      </c>
      <c r="J570" s="5" t="s">
        <v>4066</v>
      </c>
      <c r="K570" s="5" t="str">
        <f t="shared" si="16"/>
        <v>https://www.google.com/maps?q=-11.398708, -41.531530</v>
      </c>
      <c r="L570" s="5" t="str">
        <f t="shared" si="17"/>
        <v>Abrir no Maps</v>
      </c>
      <c r="M570" t="s">
        <v>4067</v>
      </c>
      <c r="N570" s="5"/>
      <c r="O570" t="str">
        <f>VLOOKUP(G570,'[1]CONFIG.'!$B:$C,2,0)</f>
        <v>ROBERTO</v>
      </c>
      <c r="P570" t="str">
        <f>VLOOKUP(O570,'[1]CONFIG.'!$C:$D,2,0)</f>
        <v>74 99551147</v>
      </c>
    </row>
    <row r="571" spans="1:16" x14ac:dyDescent="0.3">
      <c r="A571" t="s">
        <v>4068</v>
      </c>
      <c r="B571" t="s">
        <v>4069</v>
      </c>
      <c r="C571" t="s">
        <v>4070</v>
      </c>
      <c r="D571" t="s">
        <v>3708</v>
      </c>
      <c r="E571" t="s">
        <v>4071</v>
      </c>
      <c r="F571" t="s">
        <v>137</v>
      </c>
      <c r="G571">
        <v>206</v>
      </c>
      <c r="H571">
        <v>200</v>
      </c>
      <c r="I571" s="5" t="s">
        <v>4072</v>
      </c>
      <c r="J571" s="5" t="s">
        <v>4073</v>
      </c>
      <c r="K571" s="5" t="str">
        <f t="shared" si="16"/>
        <v>https://www.google.com/maps?q=-11.453585, -41.436317</v>
      </c>
      <c r="L571" s="5" t="str">
        <f t="shared" si="17"/>
        <v>Abrir no Maps</v>
      </c>
      <c r="M571" t="s">
        <v>4074</v>
      </c>
      <c r="N571" s="5"/>
      <c r="O571" t="str">
        <f>VLOOKUP(G571,'[1]CONFIG.'!$B:$C,2,0)</f>
        <v>ROBERTO</v>
      </c>
      <c r="P571" t="str">
        <f>VLOOKUP(O571,'[1]CONFIG.'!$C:$D,2,0)</f>
        <v>74 99551147</v>
      </c>
    </row>
    <row r="572" spans="1:16" x14ac:dyDescent="0.3">
      <c r="A572" t="s">
        <v>4075</v>
      </c>
      <c r="B572" t="s">
        <v>4076</v>
      </c>
      <c r="C572" t="s">
        <v>4077</v>
      </c>
      <c r="D572" t="s">
        <v>3708</v>
      </c>
      <c r="E572" t="s">
        <v>4078</v>
      </c>
      <c r="F572" t="s">
        <v>3718</v>
      </c>
      <c r="G572">
        <v>206</v>
      </c>
      <c r="H572">
        <v>200</v>
      </c>
      <c r="I572" s="5" t="s">
        <v>4079</v>
      </c>
      <c r="J572" s="5" t="s">
        <v>4080</v>
      </c>
      <c r="K572" s="5" t="str">
        <f t="shared" si="16"/>
        <v>https://www.google.com/maps?q=-11.442759, -41.426490</v>
      </c>
      <c r="L572" s="5" t="str">
        <f t="shared" si="17"/>
        <v>Abrir no Maps</v>
      </c>
      <c r="M572" t="s">
        <v>4081</v>
      </c>
      <c r="N572" s="5"/>
      <c r="O572" t="str">
        <f>VLOOKUP(G572,'[1]CONFIG.'!$B:$C,2,0)</f>
        <v>ROBERTO</v>
      </c>
      <c r="P572" t="str">
        <f>VLOOKUP(O572,'[1]CONFIG.'!$C:$D,2,0)</f>
        <v>74 99551147</v>
      </c>
    </row>
    <row r="573" spans="1:16" x14ac:dyDescent="0.3">
      <c r="A573" t="s">
        <v>4082</v>
      </c>
      <c r="B573" t="s">
        <v>4083</v>
      </c>
      <c r="C573" t="s">
        <v>4084</v>
      </c>
      <c r="D573" t="s">
        <v>3708</v>
      </c>
      <c r="E573" t="s">
        <v>4085</v>
      </c>
      <c r="F573" t="s">
        <v>137</v>
      </c>
      <c r="G573">
        <v>206</v>
      </c>
      <c r="H573">
        <v>200</v>
      </c>
      <c r="I573" s="5" t="s">
        <v>4086</v>
      </c>
      <c r="J573" s="5" t="s">
        <v>4087</v>
      </c>
      <c r="K573" s="5" t="str">
        <f t="shared" si="16"/>
        <v>https://www.google.com/maps?q=-11.442242, -41.424885</v>
      </c>
      <c r="L573" s="5" t="str">
        <f t="shared" si="17"/>
        <v>Abrir no Maps</v>
      </c>
      <c r="M573" t="s">
        <v>4088</v>
      </c>
      <c r="N573" s="5"/>
      <c r="O573" t="str">
        <f>VLOOKUP(G573,'[1]CONFIG.'!$B:$C,2,0)</f>
        <v>ROBERTO</v>
      </c>
      <c r="P573" t="str">
        <f>VLOOKUP(O573,'[1]CONFIG.'!$C:$D,2,0)</f>
        <v>74 99551147</v>
      </c>
    </row>
    <row r="574" spans="1:16" x14ac:dyDescent="0.3">
      <c r="A574" t="s">
        <v>4089</v>
      </c>
      <c r="B574" t="s">
        <v>4090</v>
      </c>
      <c r="C574" t="s">
        <v>4091</v>
      </c>
      <c r="D574" t="s">
        <v>3708</v>
      </c>
      <c r="E574" t="s">
        <v>4092</v>
      </c>
      <c r="F574" t="s">
        <v>137</v>
      </c>
      <c r="G574">
        <v>206</v>
      </c>
      <c r="H574">
        <v>200</v>
      </c>
      <c r="I574" s="5" t="s">
        <v>4093</v>
      </c>
      <c r="J574" s="5" t="s">
        <v>4094</v>
      </c>
      <c r="K574" s="5" t="str">
        <f t="shared" si="16"/>
        <v>https://www.google.com/maps?q=-11.449751, -41.434742</v>
      </c>
      <c r="L574" s="5" t="str">
        <f t="shared" si="17"/>
        <v>Abrir no Maps</v>
      </c>
      <c r="M574" t="s">
        <v>4095</v>
      </c>
      <c r="N574" s="5"/>
      <c r="O574" t="str">
        <f>VLOOKUP(G574,'[1]CONFIG.'!$B:$C,2,0)</f>
        <v>ROBERTO</v>
      </c>
      <c r="P574" t="str">
        <f>VLOOKUP(O574,'[1]CONFIG.'!$C:$D,2,0)</f>
        <v>74 99551147</v>
      </c>
    </row>
    <row r="575" spans="1:16" x14ac:dyDescent="0.3">
      <c r="A575" t="s">
        <v>4096</v>
      </c>
      <c r="B575" t="s">
        <v>4097</v>
      </c>
      <c r="C575" t="s">
        <v>4098</v>
      </c>
      <c r="D575" t="s">
        <v>3708</v>
      </c>
      <c r="E575" t="s">
        <v>4099</v>
      </c>
      <c r="F575" t="s">
        <v>3718</v>
      </c>
      <c r="G575">
        <v>206</v>
      </c>
      <c r="H575">
        <v>200</v>
      </c>
      <c r="I575" s="5" t="s">
        <v>4100</v>
      </c>
      <c r="J575" s="5" t="s">
        <v>4101</v>
      </c>
      <c r="K575" s="5" t="str">
        <f t="shared" si="16"/>
        <v>https://www.google.com/maps?q=-11.443203, -41.423756</v>
      </c>
      <c r="L575" s="5" t="str">
        <f t="shared" si="17"/>
        <v>Abrir no Maps</v>
      </c>
      <c r="M575" t="s">
        <v>4102</v>
      </c>
      <c r="N575" s="5"/>
      <c r="O575" t="str">
        <f>VLOOKUP(G575,'[1]CONFIG.'!$B:$C,2,0)</f>
        <v>ROBERTO</v>
      </c>
      <c r="P575" t="str">
        <f>VLOOKUP(O575,'[1]CONFIG.'!$C:$D,2,0)</f>
        <v>74 99551147</v>
      </c>
    </row>
    <row r="576" spans="1:16" x14ac:dyDescent="0.3">
      <c r="A576" t="s">
        <v>4103</v>
      </c>
      <c r="B576" t="s">
        <v>4104</v>
      </c>
      <c r="C576" t="s">
        <v>4105</v>
      </c>
      <c r="D576" t="s">
        <v>3708</v>
      </c>
      <c r="E576" t="s">
        <v>4106</v>
      </c>
      <c r="F576" t="s">
        <v>137</v>
      </c>
      <c r="G576">
        <v>206</v>
      </c>
      <c r="H576">
        <v>200</v>
      </c>
      <c r="I576" s="5" t="s">
        <v>4107</v>
      </c>
      <c r="J576" s="5" t="s">
        <v>4108</v>
      </c>
      <c r="K576" s="5" t="str">
        <f t="shared" si="16"/>
        <v>https://www.google.com/maps?q=-11.442217, -41.427840</v>
      </c>
      <c r="L576" s="5" t="str">
        <f t="shared" si="17"/>
        <v>Abrir no Maps</v>
      </c>
      <c r="M576" t="s">
        <v>4109</v>
      </c>
      <c r="N576" s="5"/>
      <c r="O576" t="str">
        <f>VLOOKUP(G576,'[1]CONFIG.'!$B:$C,2,0)</f>
        <v>ROBERTO</v>
      </c>
      <c r="P576" t="str">
        <f>VLOOKUP(O576,'[1]CONFIG.'!$C:$D,2,0)</f>
        <v>74 99551147</v>
      </c>
    </row>
    <row r="577" spans="1:16" x14ac:dyDescent="0.3">
      <c r="A577" t="s">
        <v>4110</v>
      </c>
      <c r="B577" t="s">
        <v>4111</v>
      </c>
      <c r="C577" t="s">
        <v>4112</v>
      </c>
      <c r="D577" t="s">
        <v>3708</v>
      </c>
      <c r="E577" t="s">
        <v>4113</v>
      </c>
      <c r="F577" t="s">
        <v>3776</v>
      </c>
      <c r="G577">
        <v>206</v>
      </c>
      <c r="H577">
        <v>200</v>
      </c>
      <c r="I577" s="5" t="s">
        <v>4114</v>
      </c>
      <c r="J577" s="5" t="s">
        <v>4115</v>
      </c>
      <c r="K577" s="5" t="str">
        <f t="shared" si="16"/>
        <v>https://www.google.com/maps?q=-11.308185, -41.474236</v>
      </c>
      <c r="L577" s="5" t="str">
        <f t="shared" si="17"/>
        <v>Abrir no Maps</v>
      </c>
      <c r="M577" t="s">
        <v>4116</v>
      </c>
      <c r="N577" s="5"/>
      <c r="O577" t="str">
        <f>VLOOKUP(G577,'[1]CONFIG.'!$B:$C,2,0)</f>
        <v>ROBERTO</v>
      </c>
      <c r="P577" t="str">
        <f>VLOOKUP(O577,'[1]CONFIG.'!$C:$D,2,0)</f>
        <v>74 99551147</v>
      </c>
    </row>
    <row r="578" spans="1:16" x14ac:dyDescent="0.3">
      <c r="A578" t="s">
        <v>4117</v>
      </c>
      <c r="B578" t="s">
        <v>4118</v>
      </c>
      <c r="C578" t="s">
        <v>4119</v>
      </c>
      <c r="D578" t="s">
        <v>3708</v>
      </c>
      <c r="E578" t="s">
        <v>4120</v>
      </c>
      <c r="F578" t="s">
        <v>3790</v>
      </c>
      <c r="G578">
        <v>206</v>
      </c>
      <c r="H578">
        <v>200</v>
      </c>
      <c r="I578" s="5" t="s">
        <v>4121</v>
      </c>
      <c r="J578" s="5" t="s">
        <v>4122</v>
      </c>
      <c r="K578" s="5" t="str">
        <f t="shared" si="16"/>
        <v>https://www.google.com/maps?q=-11.367202, -41.597218</v>
      </c>
      <c r="L578" s="5" t="str">
        <f t="shared" si="17"/>
        <v>Abrir no Maps</v>
      </c>
      <c r="M578" t="s">
        <v>4123</v>
      </c>
      <c r="N578" s="5"/>
      <c r="O578" t="str">
        <f>VLOOKUP(G578,'[1]CONFIG.'!$B:$C,2,0)</f>
        <v>ROBERTO</v>
      </c>
      <c r="P578" t="str">
        <f>VLOOKUP(O578,'[1]CONFIG.'!$C:$D,2,0)</f>
        <v>74 99551147</v>
      </c>
    </row>
    <row r="579" spans="1:16" x14ac:dyDescent="0.3">
      <c r="A579" t="s">
        <v>4124</v>
      </c>
      <c r="B579" t="s">
        <v>4125</v>
      </c>
      <c r="C579" t="s">
        <v>4126</v>
      </c>
      <c r="D579" t="s">
        <v>3708</v>
      </c>
      <c r="E579" t="s">
        <v>4127</v>
      </c>
      <c r="F579" t="s">
        <v>3718</v>
      </c>
      <c r="G579">
        <v>206</v>
      </c>
      <c r="H579">
        <v>200</v>
      </c>
      <c r="I579" s="5" t="s">
        <v>4128</v>
      </c>
      <c r="J579" s="5" t="s">
        <v>4129</v>
      </c>
      <c r="K579" s="5" t="str">
        <f t="shared" si="16"/>
        <v>https://www.google.com/maps?q=-11.441741, -41.427525</v>
      </c>
      <c r="L579" s="5" t="str">
        <f t="shared" si="17"/>
        <v>Abrir no Maps</v>
      </c>
      <c r="M579" t="s">
        <v>4130</v>
      </c>
      <c r="N579" s="5"/>
      <c r="O579" t="str">
        <f>VLOOKUP(G579,'[1]CONFIG.'!$B:$C,2,0)</f>
        <v>ROBERTO</v>
      </c>
      <c r="P579" t="str">
        <f>VLOOKUP(O579,'[1]CONFIG.'!$C:$D,2,0)</f>
        <v>74 99551147</v>
      </c>
    </row>
    <row r="580" spans="1:16" x14ac:dyDescent="0.3">
      <c r="A580" t="s">
        <v>4131</v>
      </c>
      <c r="B580" t="s">
        <v>4132</v>
      </c>
      <c r="C580" t="s">
        <v>4133</v>
      </c>
      <c r="D580" t="s">
        <v>3708</v>
      </c>
      <c r="E580" t="s">
        <v>4134</v>
      </c>
      <c r="F580" t="s">
        <v>137</v>
      </c>
      <c r="G580">
        <v>206</v>
      </c>
      <c r="H580">
        <v>200</v>
      </c>
      <c r="I580" s="5" t="s">
        <v>4135</v>
      </c>
      <c r="J580" s="5" t="s">
        <v>4136</v>
      </c>
      <c r="K580" s="5" t="str">
        <f t="shared" ref="K580:K643" si="18">"https://www.google.com/maps?q="&amp;""&amp;LEFT(I580,3)&amp;"."&amp;RIGHT(I580,6)&amp;", "&amp;LEFT(J580,3)&amp;"."&amp;RIGHT(J580,6)</f>
        <v>https://www.google.com/maps?q=-11.307637, -41.469666</v>
      </c>
      <c r="L580" s="5" t="str">
        <f t="shared" ref="L580:L643" si="19">HYPERLINK(K580,"Abrir no Maps")</f>
        <v>Abrir no Maps</v>
      </c>
      <c r="M580" t="s">
        <v>4137</v>
      </c>
      <c r="N580" s="5"/>
      <c r="O580" t="str">
        <f>VLOOKUP(G580,'[1]CONFIG.'!$B:$C,2,0)</f>
        <v>ROBERTO</v>
      </c>
      <c r="P580" t="str">
        <f>VLOOKUP(O580,'[1]CONFIG.'!$C:$D,2,0)</f>
        <v>74 99551147</v>
      </c>
    </row>
    <row r="581" spans="1:16" x14ac:dyDescent="0.3">
      <c r="A581" t="s">
        <v>4138</v>
      </c>
      <c r="B581" t="s">
        <v>4139</v>
      </c>
      <c r="C581" t="s">
        <v>4140</v>
      </c>
      <c r="D581" t="s">
        <v>3708</v>
      </c>
      <c r="E581" t="s">
        <v>4141</v>
      </c>
      <c r="F581" t="s">
        <v>137</v>
      </c>
      <c r="G581">
        <v>206</v>
      </c>
      <c r="H581">
        <v>200</v>
      </c>
      <c r="I581" s="5" t="s">
        <v>4142</v>
      </c>
      <c r="J581" s="5" t="s">
        <v>4143</v>
      </c>
      <c r="K581" s="5" t="str">
        <f t="shared" si="18"/>
        <v>https://www.google.com/maps?q=-11.452263, -41.439137</v>
      </c>
      <c r="L581" s="5" t="str">
        <f t="shared" si="19"/>
        <v>Abrir no Maps</v>
      </c>
      <c r="M581" t="s">
        <v>4144</v>
      </c>
      <c r="N581" s="5"/>
      <c r="O581" t="str">
        <f>VLOOKUP(G581,'[1]CONFIG.'!$B:$C,2,0)</f>
        <v>ROBERTO</v>
      </c>
      <c r="P581" t="str">
        <f>VLOOKUP(O581,'[1]CONFIG.'!$C:$D,2,0)</f>
        <v>74 99551147</v>
      </c>
    </row>
    <row r="582" spans="1:16" x14ac:dyDescent="0.3">
      <c r="A582" t="s">
        <v>4145</v>
      </c>
      <c r="B582" t="s">
        <v>4146</v>
      </c>
      <c r="C582" t="s">
        <v>4147</v>
      </c>
      <c r="D582" t="s">
        <v>3708</v>
      </c>
      <c r="E582" t="s">
        <v>4148</v>
      </c>
      <c r="F582" t="s">
        <v>3718</v>
      </c>
      <c r="G582">
        <v>206</v>
      </c>
      <c r="H582">
        <v>200</v>
      </c>
      <c r="I582" s="5" t="s">
        <v>4149</v>
      </c>
      <c r="J582" s="5" t="s">
        <v>4150</v>
      </c>
      <c r="K582" s="5" t="str">
        <f t="shared" si="18"/>
        <v>https://www.google.com/maps?q=-11.442646, -41.425080</v>
      </c>
      <c r="L582" s="5" t="str">
        <f t="shared" si="19"/>
        <v>Abrir no Maps</v>
      </c>
      <c r="M582" t="s">
        <v>4151</v>
      </c>
      <c r="N582" s="5"/>
      <c r="O582" t="str">
        <f>VLOOKUP(G582,'[1]CONFIG.'!$B:$C,2,0)</f>
        <v>ROBERTO</v>
      </c>
      <c r="P582" t="str">
        <f>VLOOKUP(O582,'[1]CONFIG.'!$C:$D,2,0)</f>
        <v>74 99551147</v>
      </c>
    </row>
    <row r="583" spans="1:16" x14ac:dyDescent="0.3">
      <c r="A583" t="s">
        <v>4152</v>
      </c>
      <c r="B583" t="s">
        <v>4153</v>
      </c>
      <c r="C583" t="s">
        <v>4154</v>
      </c>
      <c r="D583" t="s">
        <v>3708</v>
      </c>
      <c r="E583" t="s">
        <v>4155</v>
      </c>
      <c r="F583" t="s">
        <v>3718</v>
      </c>
      <c r="G583">
        <v>206</v>
      </c>
      <c r="H583">
        <v>200</v>
      </c>
      <c r="I583" s="5" t="s">
        <v>4156</v>
      </c>
      <c r="J583" s="5" t="s">
        <v>4157</v>
      </c>
      <c r="K583" s="5" t="str">
        <f t="shared" si="18"/>
        <v>https://www.google.com/maps?q=-11.441083, -41.421974</v>
      </c>
      <c r="L583" s="5" t="str">
        <f t="shared" si="19"/>
        <v>Abrir no Maps</v>
      </c>
      <c r="M583" t="s">
        <v>4158</v>
      </c>
      <c r="N583" s="5"/>
      <c r="O583" t="str">
        <f>VLOOKUP(G583,'[1]CONFIG.'!$B:$C,2,0)</f>
        <v>ROBERTO</v>
      </c>
      <c r="P583" t="str">
        <f>VLOOKUP(O583,'[1]CONFIG.'!$C:$D,2,0)</f>
        <v>74 99551147</v>
      </c>
    </row>
    <row r="584" spans="1:16" x14ac:dyDescent="0.3">
      <c r="A584" t="s">
        <v>4159</v>
      </c>
      <c r="B584" t="s">
        <v>4160</v>
      </c>
      <c r="C584" t="s">
        <v>4161</v>
      </c>
      <c r="D584" t="s">
        <v>3708</v>
      </c>
      <c r="E584" t="s">
        <v>4162</v>
      </c>
      <c r="F584" t="s">
        <v>3776</v>
      </c>
      <c r="G584">
        <v>206</v>
      </c>
      <c r="H584">
        <v>200</v>
      </c>
      <c r="I584" s="5" t="s">
        <v>4163</v>
      </c>
      <c r="J584" s="5" t="s">
        <v>4164</v>
      </c>
      <c r="K584" s="5" t="str">
        <f t="shared" si="18"/>
        <v>https://www.google.com/maps?q=-11.308825, -41.478973</v>
      </c>
      <c r="L584" s="5" t="str">
        <f t="shared" si="19"/>
        <v>Abrir no Maps</v>
      </c>
      <c r="M584" t="s">
        <v>4165</v>
      </c>
      <c r="N584" s="5"/>
      <c r="O584" t="str">
        <f>VLOOKUP(G584,'[1]CONFIG.'!$B:$C,2,0)</f>
        <v>ROBERTO</v>
      </c>
      <c r="P584" t="str">
        <f>VLOOKUP(O584,'[1]CONFIG.'!$C:$D,2,0)</f>
        <v>74 99551147</v>
      </c>
    </row>
    <row r="585" spans="1:16" x14ac:dyDescent="0.3">
      <c r="A585" t="s">
        <v>4166</v>
      </c>
      <c r="B585" t="s">
        <v>4167</v>
      </c>
      <c r="C585" t="s">
        <v>4168</v>
      </c>
      <c r="D585" t="s">
        <v>3708</v>
      </c>
      <c r="E585" t="s">
        <v>4169</v>
      </c>
      <c r="F585" t="s">
        <v>4044</v>
      </c>
      <c r="G585">
        <v>206</v>
      </c>
      <c r="H585">
        <v>200</v>
      </c>
      <c r="I585" s="5" t="s">
        <v>4030</v>
      </c>
      <c r="J585" s="5" t="s">
        <v>4170</v>
      </c>
      <c r="K585" s="5" t="str">
        <f t="shared" si="18"/>
        <v>https://www.google.com/maps?q=-11.474011, -41.515957</v>
      </c>
      <c r="L585" s="5" t="str">
        <f t="shared" si="19"/>
        <v>Abrir no Maps</v>
      </c>
      <c r="M585" t="s">
        <v>4171</v>
      </c>
      <c r="N585" s="5"/>
      <c r="O585" t="str">
        <f>VLOOKUP(G585,'[1]CONFIG.'!$B:$C,2,0)</f>
        <v>ROBERTO</v>
      </c>
      <c r="P585" t="str">
        <f>VLOOKUP(O585,'[1]CONFIG.'!$C:$D,2,0)</f>
        <v>74 99551147</v>
      </c>
    </row>
    <row r="586" spans="1:16" x14ac:dyDescent="0.3">
      <c r="A586" t="s">
        <v>4172</v>
      </c>
      <c r="B586" t="s">
        <v>4173</v>
      </c>
      <c r="C586" t="s">
        <v>4174</v>
      </c>
      <c r="D586" t="s">
        <v>3708</v>
      </c>
      <c r="E586" t="s">
        <v>4175</v>
      </c>
      <c r="F586" t="s">
        <v>4044</v>
      </c>
      <c r="G586">
        <v>206</v>
      </c>
      <c r="H586">
        <v>200</v>
      </c>
      <c r="I586" s="5" t="s">
        <v>4176</v>
      </c>
      <c r="J586" s="5" t="s">
        <v>4177</v>
      </c>
      <c r="K586" s="5" t="str">
        <f t="shared" si="18"/>
        <v>https://www.google.com/maps?q=-11.474166, -41.517406</v>
      </c>
      <c r="L586" s="5" t="str">
        <f t="shared" si="19"/>
        <v>Abrir no Maps</v>
      </c>
      <c r="M586" t="s">
        <v>4178</v>
      </c>
      <c r="N586" s="5"/>
      <c r="O586" t="str">
        <f>VLOOKUP(G586,'[1]CONFIG.'!$B:$C,2,0)</f>
        <v>ROBERTO</v>
      </c>
      <c r="P586" t="str">
        <f>VLOOKUP(O586,'[1]CONFIG.'!$C:$D,2,0)</f>
        <v>74 99551147</v>
      </c>
    </row>
    <row r="587" spans="1:16" x14ac:dyDescent="0.3">
      <c r="A587" t="s">
        <v>4179</v>
      </c>
      <c r="B587" t="s">
        <v>4180</v>
      </c>
      <c r="C587" t="s">
        <v>4181</v>
      </c>
      <c r="D587" t="s">
        <v>3708</v>
      </c>
      <c r="E587" t="s">
        <v>4182</v>
      </c>
      <c r="F587" t="s">
        <v>3708</v>
      </c>
      <c r="G587">
        <v>206</v>
      </c>
      <c r="H587">
        <v>200</v>
      </c>
      <c r="I587" s="5" t="s">
        <v>4183</v>
      </c>
      <c r="J587" s="5" t="s">
        <v>4184</v>
      </c>
      <c r="K587" s="5" t="str">
        <f t="shared" si="18"/>
        <v>https://www.google.com/maps?q=-11.453341, -41.435920</v>
      </c>
      <c r="L587" s="5" t="str">
        <f t="shared" si="19"/>
        <v>Abrir no Maps</v>
      </c>
      <c r="M587" t="s">
        <v>4185</v>
      </c>
      <c r="N587" s="5"/>
      <c r="O587" t="str">
        <f>VLOOKUP(G587,'[1]CONFIG.'!$B:$C,2,0)</f>
        <v>ROBERTO</v>
      </c>
      <c r="P587" t="str">
        <f>VLOOKUP(O587,'[1]CONFIG.'!$C:$D,2,0)</f>
        <v>74 99551147</v>
      </c>
    </row>
    <row r="588" spans="1:16" x14ac:dyDescent="0.3">
      <c r="A588" t="s">
        <v>4186</v>
      </c>
      <c r="B588" t="s">
        <v>4187</v>
      </c>
      <c r="C588" t="s">
        <v>4188</v>
      </c>
      <c r="D588" t="s">
        <v>3708</v>
      </c>
      <c r="E588" t="s">
        <v>4189</v>
      </c>
      <c r="F588" t="s">
        <v>3718</v>
      </c>
      <c r="G588">
        <v>206</v>
      </c>
      <c r="H588">
        <v>200</v>
      </c>
      <c r="I588" s="5" t="s">
        <v>4190</v>
      </c>
      <c r="J588" s="5" t="s">
        <v>4191</v>
      </c>
      <c r="K588" s="5" t="str">
        <f t="shared" si="18"/>
        <v>https://www.google.com/maps?q=-11.441282, -41.431962</v>
      </c>
      <c r="L588" s="5" t="str">
        <f t="shared" si="19"/>
        <v>Abrir no Maps</v>
      </c>
      <c r="M588" t="s">
        <v>4192</v>
      </c>
      <c r="N588" s="5"/>
      <c r="O588" t="str">
        <f>VLOOKUP(G588,'[1]CONFIG.'!$B:$C,2,0)</f>
        <v>ROBERTO</v>
      </c>
      <c r="P588" t="str">
        <f>VLOOKUP(O588,'[1]CONFIG.'!$C:$D,2,0)</f>
        <v>74 99551147</v>
      </c>
    </row>
    <row r="589" spans="1:16" x14ac:dyDescent="0.3">
      <c r="A589" t="s">
        <v>4193</v>
      </c>
      <c r="B589" t="s">
        <v>4194</v>
      </c>
      <c r="C589" t="s">
        <v>4195</v>
      </c>
      <c r="D589" t="s">
        <v>3708</v>
      </c>
      <c r="E589" t="s">
        <v>4196</v>
      </c>
      <c r="F589" t="s">
        <v>3718</v>
      </c>
      <c r="G589">
        <v>206</v>
      </c>
      <c r="H589">
        <v>200</v>
      </c>
      <c r="I589" s="5" t="s">
        <v>4190</v>
      </c>
      <c r="J589" s="5" t="s">
        <v>4191</v>
      </c>
      <c r="K589" s="5" t="str">
        <f t="shared" si="18"/>
        <v>https://www.google.com/maps?q=-11.441282, -41.431962</v>
      </c>
      <c r="L589" s="5" t="str">
        <f t="shared" si="19"/>
        <v>Abrir no Maps</v>
      </c>
      <c r="M589" t="s">
        <v>4197</v>
      </c>
      <c r="N589" s="5"/>
      <c r="O589" t="str">
        <f>VLOOKUP(G589,'[1]CONFIG.'!$B:$C,2,0)</f>
        <v>ROBERTO</v>
      </c>
      <c r="P589" t="str">
        <f>VLOOKUP(O589,'[1]CONFIG.'!$C:$D,2,0)</f>
        <v>74 99551147</v>
      </c>
    </row>
    <row r="590" spans="1:16" x14ac:dyDescent="0.3">
      <c r="A590" t="s">
        <v>4198</v>
      </c>
      <c r="B590" t="s">
        <v>4199</v>
      </c>
      <c r="C590" t="s">
        <v>4200</v>
      </c>
      <c r="D590" t="s">
        <v>3708</v>
      </c>
      <c r="E590" t="s">
        <v>4201</v>
      </c>
      <c r="F590" t="s">
        <v>3790</v>
      </c>
      <c r="G590">
        <v>206</v>
      </c>
      <c r="H590">
        <v>200</v>
      </c>
      <c r="I590" s="5" t="s">
        <v>4202</v>
      </c>
      <c r="J590" s="5" t="s">
        <v>4203</v>
      </c>
      <c r="K590" s="5" t="str">
        <f t="shared" si="18"/>
        <v>https://www.google.com/maps?q=-11.367340, -41.595634</v>
      </c>
      <c r="L590" s="5" t="str">
        <f t="shared" si="19"/>
        <v>Abrir no Maps</v>
      </c>
      <c r="M590" t="s">
        <v>4204</v>
      </c>
      <c r="N590" s="5"/>
      <c r="O590" t="str">
        <f>VLOOKUP(G590,'[1]CONFIG.'!$B:$C,2,0)</f>
        <v>ROBERTO</v>
      </c>
      <c r="P590" t="str">
        <f>VLOOKUP(O590,'[1]CONFIG.'!$C:$D,2,0)</f>
        <v>74 99551147</v>
      </c>
    </row>
    <row r="591" spans="1:16" x14ac:dyDescent="0.3">
      <c r="A591" t="s">
        <v>4205</v>
      </c>
      <c r="B591" t="s">
        <v>4206</v>
      </c>
      <c r="C591" t="s">
        <v>4207</v>
      </c>
      <c r="D591" t="s">
        <v>3708</v>
      </c>
      <c r="E591" t="s">
        <v>4208</v>
      </c>
      <c r="F591" t="s">
        <v>3776</v>
      </c>
      <c r="G591">
        <v>206</v>
      </c>
      <c r="H591">
        <v>200</v>
      </c>
      <c r="I591" s="5" t="s">
        <v>4209</v>
      </c>
      <c r="J591" s="5" t="s">
        <v>4210</v>
      </c>
      <c r="K591" s="5" t="str">
        <f t="shared" si="18"/>
        <v>https://www.google.com/maps?q=-11.309161, -41.472226</v>
      </c>
      <c r="L591" s="5" t="str">
        <f t="shared" si="19"/>
        <v>Abrir no Maps</v>
      </c>
      <c r="M591" t="s">
        <v>4211</v>
      </c>
      <c r="N591" s="5"/>
      <c r="O591" t="str">
        <f>VLOOKUP(G591,'[1]CONFIG.'!$B:$C,2,0)</f>
        <v>ROBERTO</v>
      </c>
      <c r="P591" t="str">
        <f>VLOOKUP(O591,'[1]CONFIG.'!$C:$D,2,0)</f>
        <v>74 99551147</v>
      </c>
    </row>
    <row r="592" spans="1:16" x14ac:dyDescent="0.3">
      <c r="A592" t="s">
        <v>4212</v>
      </c>
      <c r="B592" t="s">
        <v>4213</v>
      </c>
      <c r="C592" t="s">
        <v>4214</v>
      </c>
      <c r="D592" t="s">
        <v>3708</v>
      </c>
      <c r="E592" t="s">
        <v>4215</v>
      </c>
      <c r="F592" t="s">
        <v>3776</v>
      </c>
      <c r="G592">
        <v>206</v>
      </c>
      <c r="H592">
        <v>200</v>
      </c>
      <c r="I592" s="5" t="s">
        <v>4216</v>
      </c>
      <c r="J592" s="5" t="s">
        <v>4217</v>
      </c>
      <c r="K592" s="5" t="str">
        <f t="shared" si="18"/>
        <v>https://www.google.com/maps?q=-11.445766, -41.432235</v>
      </c>
      <c r="L592" s="5" t="str">
        <f t="shared" si="19"/>
        <v>Abrir no Maps</v>
      </c>
      <c r="M592" t="s">
        <v>4218</v>
      </c>
      <c r="N592" s="5"/>
      <c r="O592" t="str">
        <f>VLOOKUP(G592,'[1]CONFIG.'!$B:$C,2,0)</f>
        <v>ROBERTO</v>
      </c>
      <c r="P592" t="str">
        <f>VLOOKUP(O592,'[1]CONFIG.'!$C:$D,2,0)</f>
        <v>74 99551147</v>
      </c>
    </row>
    <row r="593" spans="1:16" x14ac:dyDescent="0.3">
      <c r="A593" t="s">
        <v>4219</v>
      </c>
      <c r="B593" t="s">
        <v>4220</v>
      </c>
      <c r="C593" t="s">
        <v>4221</v>
      </c>
      <c r="D593" t="s">
        <v>3708</v>
      </c>
      <c r="E593" t="s">
        <v>4222</v>
      </c>
      <c r="F593" t="s">
        <v>137</v>
      </c>
      <c r="G593">
        <v>206</v>
      </c>
      <c r="H593">
        <v>200</v>
      </c>
      <c r="I593" s="5" t="s">
        <v>4223</v>
      </c>
      <c r="J593" s="5" t="s">
        <v>4224</v>
      </c>
      <c r="K593" s="5" t="str">
        <f t="shared" si="18"/>
        <v>https://www.google.com/maps?q=-11.366481, -41.596084</v>
      </c>
      <c r="L593" s="5" t="str">
        <f t="shared" si="19"/>
        <v>Abrir no Maps</v>
      </c>
      <c r="M593" t="s">
        <v>4225</v>
      </c>
      <c r="N593" s="5"/>
      <c r="O593" t="str">
        <f>VLOOKUP(G593,'[1]CONFIG.'!$B:$C,2,0)</f>
        <v>ROBERTO</v>
      </c>
      <c r="P593" t="str">
        <f>VLOOKUP(O593,'[1]CONFIG.'!$C:$D,2,0)</f>
        <v>74 99551147</v>
      </c>
    </row>
    <row r="594" spans="1:16" x14ac:dyDescent="0.3">
      <c r="A594" t="s">
        <v>4226</v>
      </c>
      <c r="B594" t="s">
        <v>4227</v>
      </c>
      <c r="C594" t="s">
        <v>4228</v>
      </c>
      <c r="D594" t="s">
        <v>3708</v>
      </c>
      <c r="E594" t="s">
        <v>4229</v>
      </c>
      <c r="F594" t="s">
        <v>4230</v>
      </c>
      <c r="G594">
        <v>206</v>
      </c>
      <c r="H594">
        <v>200</v>
      </c>
      <c r="I594" s="5" t="s">
        <v>4231</v>
      </c>
      <c r="J594" s="5" t="s">
        <v>4232</v>
      </c>
      <c r="K594" s="5" t="str">
        <f t="shared" si="18"/>
        <v>https://www.google.com/maps?q=-11.308380, -41.472235</v>
      </c>
      <c r="L594" s="5" t="str">
        <f t="shared" si="19"/>
        <v>Abrir no Maps</v>
      </c>
      <c r="M594" t="s">
        <v>4233</v>
      </c>
      <c r="N594" s="5"/>
      <c r="O594" t="str">
        <f>VLOOKUP(G594,'[1]CONFIG.'!$B:$C,2,0)</f>
        <v>ROBERTO</v>
      </c>
      <c r="P594" t="str">
        <f>VLOOKUP(O594,'[1]CONFIG.'!$C:$D,2,0)</f>
        <v>74 99551147</v>
      </c>
    </row>
    <row r="595" spans="1:16" x14ac:dyDescent="0.3">
      <c r="A595" t="s">
        <v>4234</v>
      </c>
      <c r="B595" t="s">
        <v>4235</v>
      </c>
      <c r="C595" t="s">
        <v>4236</v>
      </c>
      <c r="D595" t="s">
        <v>3708</v>
      </c>
      <c r="E595" t="s">
        <v>4237</v>
      </c>
      <c r="F595" t="s">
        <v>3718</v>
      </c>
      <c r="G595">
        <v>206</v>
      </c>
      <c r="H595">
        <v>200</v>
      </c>
      <c r="I595" s="5" t="s">
        <v>4238</v>
      </c>
      <c r="J595" s="5" t="s">
        <v>4239</v>
      </c>
      <c r="K595" s="5" t="str">
        <f t="shared" si="18"/>
        <v>https://www.google.com/maps?q=-11.441496, -41.427383</v>
      </c>
      <c r="L595" s="5" t="str">
        <f t="shared" si="19"/>
        <v>Abrir no Maps</v>
      </c>
      <c r="M595" t="s">
        <v>4240</v>
      </c>
      <c r="N595" s="5"/>
      <c r="O595" t="str">
        <f>VLOOKUP(G595,'[1]CONFIG.'!$B:$C,2,0)</f>
        <v>ROBERTO</v>
      </c>
      <c r="P595" t="str">
        <f>VLOOKUP(O595,'[1]CONFIG.'!$C:$D,2,0)</f>
        <v>74 99551147</v>
      </c>
    </row>
    <row r="596" spans="1:16" x14ac:dyDescent="0.3">
      <c r="A596" t="s">
        <v>4241</v>
      </c>
      <c r="B596" t="s">
        <v>4242</v>
      </c>
      <c r="C596" t="s">
        <v>4243</v>
      </c>
      <c r="D596" t="s">
        <v>3708</v>
      </c>
      <c r="E596" t="s">
        <v>4244</v>
      </c>
      <c r="F596" t="s">
        <v>3776</v>
      </c>
      <c r="G596">
        <v>206</v>
      </c>
      <c r="H596">
        <v>200</v>
      </c>
      <c r="I596" s="5" t="s">
        <v>4245</v>
      </c>
      <c r="J596" s="5" t="s">
        <v>4246</v>
      </c>
      <c r="K596" s="5" t="str">
        <f t="shared" si="18"/>
        <v>https://www.google.com/maps?q=-11.307626, -41.479800</v>
      </c>
      <c r="L596" s="5" t="str">
        <f t="shared" si="19"/>
        <v>Abrir no Maps</v>
      </c>
      <c r="M596" t="s">
        <v>4247</v>
      </c>
      <c r="N596" s="5"/>
      <c r="O596" t="str">
        <f>VLOOKUP(G596,'[1]CONFIG.'!$B:$C,2,0)</f>
        <v>ROBERTO</v>
      </c>
      <c r="P596" t="str">
        <f>VLOOKUP(O596,'[1]CONFIG.'!$C:$D,2,0)</f>
        <v>74 99551147</v>
      </c>
    </row>
    <row r="597" spans="1:16" x14ac:dyDescent="0.3">
      <c r="A597" t="s">
        <v>4248</v>
      </c>
      <c r="B597" t="s">
        <v>4249</v>
      </c>
      <c r="C597" t="s">
        <v>4250</v>
      </c>
      <c r="D597" t="s">
        <v>3708</v>
      </c>
      <c r="E597" t="s">
        <v>4251</v>
      </c>
      <c r="F597" t="s">
        <v>137</v>
      </c>
      <c r="G597">
        <v>206</v>
      </c>
      <c r="H597">
        <v>200</v>
      </c>
      <c r="I597" s="5" t="s">
        <v>4252</v>
      </c>
      <c r="J597" s="5" t="s">
        <v>4253</v>
      </c>
      <c r="K597" s="5" t="str">
        <f t="shared" si="18"/>
        <v>https://www.google.com/maps?q=-11.453566, -41.436914</v>
      </c>
      <c r="L597" s="5" t="str">
        <f t="shared" si="19"/>
        <v>Abrir no Maps</v>
      </c>
      <c r="M597" t="s">
        <v>4254</v>
      </c>
      <c r="N597" s="5"/>
      <c r="O597" t="str">
        <f>VLOOKUP(G597,'[1]CONFIG.'!$B:$C,2,0)</f>
        <v>ROBERTO</v>
      </c>
      <c r="P597" t="str">
        <f>VLOOKUP(O597,'[1]CONFIG.'!$C:$D,2,0)</f>
        <v>74 99551147</v>
      </c>
    </row>
    <row r="598" spans="1:16" x14ac:dyDescent="0.3">
      <c r="A598" t="s">
        <v>4255</v>
      </c>
      <c r="B598" t="s">
        <v>4256</v>
      </c>
      <c r="C598" t="s">
        <v>4257</v>
      </c>
      <c r="D598" t="s">
        <v>3708</v>
      </c>
      <c r="E598" t="s">
        <v>4258</v>
      </c>
      <c r="F598" t="s">
        <v>3861</v>
      </c>
      <c r="G598">
        <v>206</v>
      </c>
      <c r="H598">
        <v>200</v>
      </c>
      <c r="I598" s="5" t="s">
        <v>4259</v>
      </c>
      <c r="J598" s="5" t="s">
        <v>4260</v>
      </c>
      <c r="K598" s="5" t="str">
        <f t="shared" si="18"/>
        <v>https://www.google.com/maps?q=-11.396608, -41.533303</v>
      </c>
      <c r="L598" s="5" t="str">
        <f t="shared" si="19"/>
        <v>Abrir no Maps</v>
      </c>
      <c r="M598" t="s">
        <v>4261</v>
      </c>
      <c r="N598" s="5"/>
      <c r="O598" t="str">
        <f>VLOOKUP(G598,'[1]CONFIG.'!$B:$C,2,0)</f>
        <v>ROBERTO</v>
      </c>
      <c r="P598" t="str">
        <f>VLOOKUP(O598,'[1]CONFIG.'!$C:$D,2,0)</f>
        <v>74 99551147</v>
      </c>
    </row>
    <row r="599" spans="1:16" x14ac:dyDescent="0.3">
      <c r="A599" t="s">
        <v>4262</v>
      </c>
      <c r="B599" t="s">
        <v>4263</v>
      </c>
      <c r="C599" t="s">
        <v>4264</v>
      </c>
      <c r="D599" t="s">
        <v>3708</v>
      </c>
      <c r="E599" t="s">
        <v>4265</v>
      </c>
      <c r="F599" t="s">
        <v>3790</v>
      </c>
      <c r="G599">
        <v>206</v>
      </c>
      <c r="H599">
        <v>200</v>
      </c>
      <c r="I599" s="5" t="s">
        <v>4266</v>
      </c>
      <c r="J599" s="5" t="s">
        <v>4267</v>
      </c>
      <c r="K599" s="5" t="str">
        <f t="shared" si="18"/>
        <v>https://www.google.com/maps?q=-11.367476, -41.593778</v>
      </c>
      <c r="L599" s="5" t="str">
        <f t="shared" si="19"/>
        <v>Abrir no Maps</v>
      </c>
      <c r="M599" t="s">
        <v>4268</v>
      </c>
      <c r="N599" s="5"/>
      <c r="O599" t="str">
        <f>VLOOKUP(G599,'[1]CONFIG.'!$B:$C,2,0)</f>
        <v>ROBERTO</v>
      </c>
      <c r="P599" t="str">
        <f>VLOOKUP(O599,'[1]CONFIG.'!$C:$D,2,0)</f>
        <v>74 99551147</v>
      </c>
    </row>
    <row r="600" spans="1:16" x14ac:dyDescent="0.3">
      <c r="A600" t="s">
        <v>4269</v>
      </c>
      <c r="B600" t="s">
        <v>4270</v>
      </c>
      <c r="C600" t="s">
        <v>4271</v>
      </c>
      <c r="D600" t="s">
        <v>3208</v>
      </c>
      <c r="E600" t="s">
        <v>4272</v>
      </c>
      <c r="F600" t="s">
        <v>137</v>
      </c>
      <c r="G600">
        <v>211</v>
      </c>
      <c r="H600">
        <v>500</v>
      </c>
      <c r="I600" s="5" t="s">
        <v>4273</v>
      </c>
      <c r="J600" s="5" t="s">
        <v>4274</v>
      </c>
      <c r="K600" s="5" t="str">
        <f t="shared" si="18"/>
        <v>https://www.google.com/maps?q=-11.805773, -42.059370</v>
      </c>
      <c r="L600" s="5" t="str">
        <f t="shared" si="19"/>
        <v>Abrir no Maps</v>
      </c>
      <c r="M600" t="s">
        <v>4275</v>
      </c>
      <c r="N600" s="5"/>
      <c r="O600" t="str">
        <f>VLOOKUP(G600,'[1]CONFIG.'!$B:$C,2,0)</f>
        <v>DAIANE</v>
      </c>
      <c r="P600" t="str">
        <f>VLOOKUP(O600,'[1]CONFIG.'!$C:$D,2,0)</f>
        <v>74 99298866</v>
      </c>
    </row>
    <row r="601" spans="1:16" x14ac:dyDescent="0.3">
      <c r="A601" t="s">
        <v>4276</v>
      </c>
      <c r="B601" t="s">
        <v>4277</v>
      </c>
      <c r="C601" t="s">
        <v>4278</v>
      </c>
      <c r="D601" t="s">
        <v>3208</v>
      </c>
      <c r="E601" t="s">
        <v>4279</v>
      </c>
      <c r="F601" t="s">
        <v>137</v>
      </c>
      <c r="G601">
        <v>211</v>
      </c>
      <c r="H601">
        <v>500</v>
      </c>
      <c r="I601" s="5" t="s">
        <v>4280</v>
      </c>
      <c r="J601" s="5" t="s">
        <v>4281</v>
      </c>
      <c r="K601" s="5" t="str">
        <f t="shared" si="18"/>
        <v>https://www.google.com/maps?q=-11.806208, -42.057396</v>
      </c>
      <c r="L601" s="5" t="str">
        <f t="shared" si="19"/>
        <v>Abrir no Maps</v>
      </c>
      <c r="M601" t="s">
        <v>4282</v>
      </c>
      <c r="N601" s="5"/>
      <c r="O601" t="str">
        <f>VLOOKUP(G601,'[1]CONFIG.'!$B:$C,2,0)</f>
        <v>DAIANE</v>
      </c>
      <c r="P601" t="str">
        <f>VLOOKUP(O601,'[1]CONFIG.'!$C:$D,2,0)</f>
        <v>74 99298866</v>
      </c>
    </row>
    <row r="602" spans="1:16" x14ac:dyDescent="0.3">
      <c r="A602" t="s">
        <v>4283</v>
      </c>
      <c r="B602" t="s">
        <v>4284</v>
      </c>
      <c r="C602" t="s">
        <v>4285</v>
      </c>
      <c r="D602" t="s">
        <v>3208</v>
      </c>
      <c r="E602" t="s">
        <v>4286</v>
      </c>
      <c r="F602" t="s">
        <v>137</v>
      </c>
      <c r="G602">
        <v>211</v>
      </c>
      <c r="H602">
        <v>500</v>
      </c>
      <c r="I602" s="5" t="s">
        <v>4287</v>
      </c>
      <c r="J602" s="5" t="s">
        <v>4288</v>
      </c>
      <c r="K602" s="5" t="str">
        <f t="shared" si="18"/>
        <v>https://www.google.com/maps?q=-11.809968, -42.061270</v>
      </c>
      <c r="L602" s="5" t="str">
        <f t="shared" si="19"/>
        <v>Abrir no Maps</v>
      </c>
      <c r="M602" t="s">
        <v>4289</v>
      </c>
      <c r="N602" s="5"/>
      <c r="O602" t="str">
        <f>VLOOKUP(G602,'[1]CONFIG.'!$B:$C,2,0)</f>
        <v>DAIANE</v>
      </c>
      <c r="P602" t="str">
        <f>VLOOKUP(O602,'[1]CONFIG.'!$C:$D,2,0)</f>
        <v>74 99298866</v>
      </c>
    </row>
    <row r="603" spans="1:16" x14ac:dyDescent="0.3">
      <c r="A603" t="s">
        <v>4290</v>
      </c>
      <c r="B603" t="s">
        <v>4291</v>
      </c>
      <c r="C603" t="s">
        <v>4292</v>
      </c>
      <c r="D603" t="s">
        <v>3208</v>
      </c>
      <c r="E603" t="s">
        <v>4293</v>
      </c>
      <c r="F603" t="s">
        <v>137</v>
      </c>
      <c r="G603">
        <v>211</v>
      </c>
      <c r="H603">
        <v>500</v>
      </c>
      <c r="I603" s="5" t="s">
        <v>4294</v>
      </c>
      <c r="J603" s="5" t="s">
        <v>4295</v>
      </c>
      <c r="K603" s="5" t="str">
        <f t="shared" si="18"/>
        <v>https://www.google.com/maps?q=-11.807591, -42.057518</v>
      </c>
      <c r="L603" s="5" t="str">
        <f t="shared" si="19"/>
        <v>Abrir no Maps</v>
      </c>
      <c r="M603" t="s">
        <v>4296</v>
      </c>
      <c r="N603" s="5"/>
      <c r="O603" t="str">
        <f>VLOOKUP(G603,'[1]CONFIG.'!$B:$C,2,0)</f>
        <v>DAIANE</v>
      </c>
      <c r="P603" t="str">
        <f>VLOOKUP(O603,'[1]CONFIG.'!$C:$D,2,0)</f>
        <v>74 99298866</v>
      </c>
    </row>
    <row r="604" spans="1:16" x14ac:dyDescent="0.3">
      <c r="A604" t="s">
        <v>4297</v>
      </c>
      <c r="B604" t="s">
        <v>4298</v>
      </c>
      <c r="C604" t="s">
        <v>4299</v>
      </c>
      <c r="D604" t="s">
        <v>3208</v>
      </c>
      <c r="E604" t="s">
        <v>4300</v>
      </c>
      <c r="F604" t="s">
        <v>4301</v>
      </c>
      <c r="G604">
        <v>211</v>
      </c>
      <c r="H604">
        <v>500</v>
      </c>
      <c r="I604" s="5" t="s">
        <v>4302</v>
      </c>
      <c r="J604" s="5" t="s">
        <v>4303</v>
      </c>
      <c r="K604" s="5" t="str">
        <f t="shared" si="18"/>
        <v>https://www.google.com/maps?q=-11.809425, -42.063793</v>
      </c>
      <c r="L604" s="5" t="str">
        <f t="shared" si="19"/>
        <v>Abrir no Maps</v>
      </c>
      <c r="M604" t="s">
        <v>4304</v>
      </c>
      <c r="N604" s="5"/>
      <c r="O604" t="str">
        <f>VLOOKUP(G604,'[1]CONFIG.'!$B:$C,2,0)</f>
        <v>DAIANE</v>
      </c>
      <c r="P604" t="str">
        <f>VLOOKUP(O604,'[1]CONFIG.'!$C:$D,2,0)</f>
        <v>74 99298866</v>
      </c>
    </row>
    <row r="605" spans="1:16" x14ac:dyDescent="0.3">
      <c r="A605" t="s">
        <v>4305</v>
      </c>
      <c r="B605" t="s">
        <v>4306</v>
      </c>
      <c r="C605" t="s">
        <v>4307</v>
      </c>
      <c r="D605" t="s">
        <v>3208</v>
      </c>
      <c r="E605" t="s">
        <v>4308</v>
      </c>
      <c r="F605" t="s">
        <v>137</v>
      </c>
      <c r="G605">
        <v>211</v>
      </c>
      <c r="H605">
        <v>500</v>
      </c>
      <c r="I605" s="5" t="s">
        <v>4309</v>
      </c>
      <c r="J605" s="5" t="s">
        <v>4310</v>
      </c>
      <c r="K605" s="5" t="str">
        <f t="shared" si="18"/>
        <v>https://www.google.com/maps?q=-11.810116, -42.060707</v>
      </c>
      <c r="L605" s="5" t="str">
        <f t="shared" si="19"/>
        <v>Abrir no Maps</v>
      </c>
      <c r="M605" t="s">
        <v>4311</v>
      </c>
      <c r="N605" s="5"/>
      <c r="O605" t="str">
        <f>VLOOKUP(G605,'[1]CONFIG.'!$B:$C,2,0)</f>
        <v>DAIANE</v>
      </c>
      <c r="P605" t="str">
        <f>VLOOKUP(O605,'[1]CONFIG.'!$C:$D,2,0)</f>
        <v>74 99298866</v>
      </c>
    </row>
    <row r="606" spans="1:16" x14ac:dyDescent="0.3">
      <c r="A606" t="s">
        <v>4312</v>
      </c>
      <c r="B606" t="s">
        <v>4313</v>
      </c>
      <c r="C606" t="s">
        <v>4314</v>
      </c>
      <c r="D606" t="s">
        <v>3208</v>
      </c>
      <c r="E606" t="s">
        <v>4315</v>
      </c>
      <c r="F606" t="s">
        <v>137</v>
      </c>
      <c r="G606">
        <v>211</v>
      </c>
      <c r="H606">
        <v>500</v>
      </c>
      <c r="I606" s="5" t="s">
        <v>4316</v>
      </c>
      <c r="J606" s="5" t="s">
        <v>4317</v>
      </c>
      <c r="K606" s="5" t="str">
        <f t="shared" si="18"/>
        <v>https://www.google.com/maps?q=-11.809681, -42.063080</v>
      </c>
      <c r="L606" s="5" t="str">
        <f t="shared" si="19"/>
        <v>Abrir no Maps</v>
      </c>
      <c r="M606" t="s">
        <v>4318</v>
      </c>
      <c r="N606" s="5"/>
      <c r="O606" t="str">
        <f>VLOOKUP(G606,'[1]CONFIG.'!$B:$C,2,0)</f>
        <v>DAIANE</v>
      </c>
      <c r="P606" t="str">
        <f>VLOOKUP(O606,'[1]CONFIG.'!$C:$D,2,0)</f>
        <v>74 99298866</v>
      </c>
    </row>
    <row r="607" spans="1:16" x14ac:dyDescent="0.3">
      <c r="A607" t="s">
        <v>4319</v>
      </c>
      <c r="B607" t="s">
        <v>4320</v>
      </c>
      <c r="C607" t="s">
        <v>4321</v>
      </c>
      <c r="D607" t="s">
        <v>3208</v>
      </c>
      <c r="E607" t="s">
        <v>4322</v>
      </c>
      <c r="F607" t="s">
        <v>137</v>
      </c>
      <c r="G607">
        <v>211</v>
      </c>
      <c r="H607">
        <v>500</v>
      </c>
      <c r="I607" s="5" t="s">
        <v>4323</v>
      </c>
      <c r="J607" s="5" t="s">
        <v>4324</v>
      </c>
      <c r="K607" s="5" t="str">
        <f t="shared" si="18"/>
        <v>https://www.google.com/maps?q=-11.807731, -42.062393</v>
      </c>
      <c r="L607" s="5" t="str">
        <f t="shared" si="19"/>
        <v>Abrir no Maps</v>
      </c>
      <c r="M607" t="s">
        <v>4325</v>
      </c>
      <c r="N607" s="5"/>
      <c r="O607" t="str">
        <f>VLOOKUP(G607,'[1]CONFIG.'!$B:$C,2,0)</f>
        <v>DAIANE</v>
      </c>
      <c r="P607" t="str">
        <f>VLOOKUP(O607,'[1]CONFIG.'!$C:$D,2,0)</f>
        <v>74 99298866</v>
      </c>
    </row>
    <row r="608" spans="1:16" x14ac:dyDescent="0.3">
      <c r="A608" t="s">
        <v>4326</v>
      </c>
      <c r="B608" t="s">
        <v>4327</v>
      </c>
      <c r="C608" t="s">
        <v>4328</v>
      </c>
      <c r="D608" t="s">
        <v>3208</v>
      </c>
      <c r="E608" t="s">
        <v>4329</v>
      </c>
      <c r="F608" t="s">
        <v>4330</v>
      </c>
      <c r="G608">
        <v>211</v>
      </c>
      <c r="H608">
        <v>500</v>
      </c>
      <c r="I608" s="5" t="s">
        <v>4331</v>
      </c>
      <c r="J608" s="5" t="s">
        <v>4332</v>
      </c>
      <c r="K608" s="5" t="str">
        <f t="shared" si="18"/>
        <v>https://www.google.com/maps?q=-11.765339, -42.058796</v>
      </c>
      <c r="L608" s="5" t="str">
        <f t="shared" si="19"/>
        <v>Abrir no Maps</v>
      </c>
      <c r="M608" t="s">
        <v>4333</v>
      </c>
      <c r="N608" s="5"/>
      <c r="O608" t="str">
        <f>VLOOKUP(G608,'[1]CONFIG.'!$B:$C,2,0)</f>
        <v>DAIANE</v>
      </c>
      <c r="P608" t="str">
        <f>VLOOKUP(O608,'[1]CONFIG.'!$C:$D,2,0)</f>
        <v>74 99298866</v>
      </c>
    </row>
    <row r="609" spans="1:16" x14ac:dyDescent="0.3">
      <c r="A609" t="s">
        <v>4334</v>
      </c>
      <c r="B609" t="s">
        <v>4335</v>
      </c>
      <c r="C609" t="s">
        <v>4336</v>
      </c>
      <c r="D609" t="s">
        <v>3208</v>
      </c>
      <c r="E609" t="s">
        <v>4337</v>
      </c>
      <c r="F609" t="s">
        <v>137</v>
      </c>
      <c r="G609">
        <v>211</v>
      </c>
      <c r="H609">
        <v>500</v>
      </c>
      <c r="I609" s="5" t="s">
        <v>4338</v>
      </c>
      <c r="J609" s="5" t="s">
        <v>4339</v>
      </c>
      <c r="K609" s="5" t="str">
        <f t="shared" si="18"/>
        <v>https://www.google.com/maps?q=-11.809630, -42.061184</v>
      </c>
      <c r="L609" s="5" t="str">
        <f t="shared" si="19"/>
        <v>Abrir no Maps</v>
      </c>
      <c r="M609" t="s">
        <v>4340</v>
      </c>
      <c r="N609" s="5"/>
      <c r="O609" t="str">
        <f>VLOOKUP(G609,'[1]CONFIG.'!$B:$C,2,0)</f>
        <v>DAIANE</v>
      </c>
      <c r="P609" t="str">
        <f>VLOOKUP(O609,'[1]CONFIG.'!$C:$D,2,0)</f>
        <v>74 99298866</v>
      </c>
    </row>
    <row r="610" spans="1:16" x14ac:dyDescent="0.3">
      <c r="A610" t="s">
        <v>4341</v>
      </c>
      <c r="B610" t="s">
        <v>4342</v>
      </c>
      <c r="C610" t="s">
        <v>4343</v>
      </c>
      <c r="D610" t="s">
        <v>3208</v>
      </c>
      <c r="E610" t="s">
        <v>4344</v>
      </c>
      <c r="F610" t="s">
        <v>4345</v>
      </c>
      <c r="G610">
        <v>211</v>
      </c>
      <c r="H610">
        <v>500</v>
      </c>
      <c r="I610" s="5" t="s">
        <v>4346</v>
      </c>
      <c r="J610" s="5" t="s">
        <v>4347</v>
      </c>
      <c r="K610" s="5" t="str">
        <f t="shared" si="18"/>
        <v>https://www.google.com/maps?q=-11.809146, -42.061260</v>
      </c>
      <c r="L610" s="5" t="str">
        <f t="shared" si="19"/>
        <v>Abrir no Maps</v>
      </c>
      <c r="M610" t="s">
        <v>4348</v>
      </c>
      <c r="N610" s="5"/>
      <c r="O610" t="str">
        <f>VLOOKUP(G610,'[1]CONFIG.'!$B:$C,2,0)</f>
        <v>DAIANE</v>
      </c>
      <c r="P610" t="str">
        <f>VLOOKUP(O610,'[1]CONFIG.'!$C:$D,2,0)</f>
        <v>74 99298866</v>
      </c>
    </row>
    <row r="611" spans="1:16" x14ac:dyDescent="0.3">
      <c r="A611" t="s">
        <v>4349</v>
      </c>
      <c r="B611" t="s">
        <v>4350</v>
      </c>
      <c r="C611" t="s">
        <v>4351</v>
      </c>
      <c r="D611" t="s">
        <v>3208</v>
      </c>
      <c r="E611" t="s">
        <v>4352</v>
      </c>
      <c r="F611" t="s">
        <v>137</v>
      </c>
      <c r="G611">
        <v>211</v>
      </c>
      <c r="H611">
        <v>500</v>
      </c>
      <c r="I611" s="5" t="s">
        <v>4353</v>
      </c>
      <c r="J611" s="5" t="s">
        <v>4354</v>
      </c>
      <c r="K611" s="5" t="str">
        <f t="shared" si="18"/>
        <v>https://www.google.com/maps?q=-11.809829, -42.059746</v>
      </c>
      <c r="L611" s="5" t="str">
        <f t="shared" si="19"/>
        <v>Abrir no Maps</v>
      </c>
      <c r="M611" t="s">
        <v>4355</v>
      </c>
      <c r="N611" s="5"/>
      <c r="O611" t="str">
        <f>VLOOKUP(G611,'[1]CONFIG.'!$B:$C,2,0)</f>
        <v>DAIANE</v>
      </c>
      <c r="P611" t="str">
        <f>VLOOKUP(O611,'[1]CONFIG.'!$C:$D,2,0)</f>
        <v>74 99298866</v>
      </c>
    </row>
    <row r="612" spans="1:16" x14ac:dyDescent="0.3">
      <c r="A612" t="s">
        <v>4356</v>
      </c>
      <c r="B612" t="s">
        <v>4357</v>
      </c>
      <c r="C612" t="s">
        <v>4358</v>
      </c>
      <c r="D612" t="s">
        <v>3208</v>
      </c>
      <c r="E612" t="s">
        <v>4359</v>
      </c>
      <c r="F612" t="s">
        <v>137</v>
      </c>
      <c r="G612">
        <v>211</v>
      </c>
      <c r="H612">
        <v>500</v>
      </c>
      <c r="I612" s="5" t="s">
        <v>4360</v>
      </c>
      <c r="J612" s="5" t="s">
        <v>4361</v>
      </c>
      <c r="K612" s="5" t="str">
        <f t="shared" si="18"/>
        <v>https://www.google.com/maps?q=-11.803606, -42.058914</v>
      </c>
      <c r="L612" s="5" t="str">
        <f t="shared" si="19"/>
        <v>Abrir no Maps</v>
      </c>
      <c r="M612" t="s">
        <v>4362</v>
      </c>
      <c r="N612" s="5"/>
      <c r="O612" t="str">
        <f>VLOOKUP(G612,'[1]CONFIG.'!$B:$C,2,0)</f>
        <v>DAIANE</v>
      </c>
      <c r="P612" t="str">
        <f>VLOOKUP(O612,'[1]CONFIG.'!$C:$D,2,0)</f>
        <v>74 99298866</v>
      </c>
    </row>
    <row r="613" spans="1:16" x14ac:dyDescent="0.3">
      <c r="A613" t="s">
        <v>4363</v>
      </c>
      <c r="B613" t="s">
        <v>4364</v>
      </c>
      <c r="C613" t="s">
        <v>4365</v>
      </c>
      <c r="D613" t="s">
        <v>3208</v>
      </c>
      <c r="E613" t="s">
        <v>4366</v>
      </c>
      <c r="F613" t="s">
        <v>137</v>
      </c>
      <c r="G613">
        <v>211</v>
      </c>
      <c r="H613">
        <v>500</v>
      </c>
      <c r="I613" s="5" t="s">
        <v>4367</v>
      </c>
      <c r="J613" s="5" t="s">
        <v>4368</v>
      </c>
      <c r="K613" s="5" t="str">
        <f t="shared" si="18"/>
        <v>https://www.google.com/maps?q=-11.805591, -42.057056</v>
      </c>
      <c r="L613" s="5" t="str">
        <f t="shared" si="19"/>
        <v>Abrir no Maps</v>
      </c>
      <c r="M613">
        <v>0</v>
      </c>
      <c r="N613" s="5"/>
      <c r="O613" t="str">
        <f>VLOOKUP(G613,'[1]CONFIG.'!$B:$C,2,0)</f>
        <v>DAIANE</v>
      </c>
      <c r="P613" t="str">
        <f>VLOOKUP(O613,'[1]CONFIG.'!$C:$D,2,0)</f>
        <v>74 99298866</v>
      </c>
    </row>
    <row r="614" spans="1:16" x14ac:dyDescent="0.3">
      <c r="A614" t="s">
        <v>4369</v>
      </c>
      <c r="B614" t="s">
        <v>4370</v>
      </c>
      <c r="C614" t="s">
        <v>4371</v>
      </c>
      <c r="D614" t="s">
        <v>36</v>
      </c>
      <c r="E614" t="s">
        <v>4372</v>
      </c>
      <c r="F614" t="s">
        <v>853</v>
      </c>
      <c r="G614">
        <v>209</v>
      </c>
      <c r="H614">
        <v>500</v>
      </c>
      <c r="I614" s="5" t="s">
        <v>4373</v>
      </c>
      <c r="J614" s="5" t="s">
        <v>4374</v>
      </c>
      <c r="K614" s="5" t="str">
        <f t="shared" si="18"/>
        <v>https://www.google.com/maps?q=-11.310936, -41.851604</v>
      </c>
      <c r="L614" s="5" t="str">
        <f t="shared" si="19"/>
        <v>Abrir no Maps</v>
      </c>
      <c r="M614" t="s">
        <v>4375</v>
      </c>
      <c r="N614" s="5"/>
      <c r="O614" t="str">
        <f>VLOOKUP(G614,'[1]CONFIG.'!$B:$C,2,0)</f>
        <v>IGOR</v>
      </c>
      <c r="P614" t="str">
        <f>VLOOKUP(O614,'[1]CONFIG.'!$C:$D,2,0)</f>
        <v>74 99590346</v>
      </c>
    </row>
    <row r="615" spans="1:16" x14ac:dyDescent="0.3">
      <c r="A615" t="s">
        <v>4376</v>
      </c>
      <c r="B615" t="s">
        <v>4377</v>
      </c>
      <c r="C615" t="s">
        <v>4378</v>
      </c>
      <c r="D615" t="s">
        <v>3208</v>
      </c>
      <c r="E615" t="s">
        <v>4379</v>
      </c>
      <c r="F615" t="s">
        <v>137</v>
      </c>
      <c r="G615">
        <v>211</v>
      </c>
      <c r="H615">
        <v>500</v>
      </c>
      <c r="I615" s="5" t="s">
        <v>4380</v>
      </c>
      <c r="J615" s="5" t="s">
        <v>4381</v>
      </c>
      <c r="K615" s="5" t="str">
        <f t="shared" si="18"/>
        <v>https://www.google.com/maps?q=-11.810736, -42.058530</v>
      </c>
      <c r="L615" s="5" t="str">
        <f t="shared" si="19"/>
        <v>Abrir no Maps</v>
      </c>
      <c r="M615" t="s">
        <v>4382</v>
      </c>
      <c r="N615" s="5"/>
      <c r="O615" t="str">
        <f>VLOOKUP(G615,'[1]CONFIG.'!$B:$C,2,0)</f>
        <v>DAIANE</v>
      </c>
      <c r="P615" t="str">
        <f>VLOOKUP(O615,'[1]CONFIG.'!$C:$D,2,0)</f>
        <v>74 99298866</v>
      </c>
    </row>
    <row r="616" spans="1:16" x14ac:dyDescent="0.3">
      <c r="A616" t="s">
        <v>4383</v>
      </c>
      <c r="B616" t="s">
        <v>4384</v>
      </c>
      <c r="C616" t="s">
        <v>4385</v>
      </c>
      <c r="D616" t="s">
        <v>3208</v>
      </c>
      <c r="E616" t="s">
        <v>4386</v>
      </c>
      <c r="F616" t="s">
        <v>137</v>
      </c>
      <c r="G616">
        <v>211</v>
      </c>
      <c r="H616">
        <v>500</v>
      </c>
      <c r="I616" s="5" t="s">
        <v>4387</v>
      </c>
      <c r="J616" s="5" t="s">
        <v>4388</v>
      </c>
      <c r="K616" s="5" t="str">
        <f t="shared" si="18"/>
        <v>https://www.google.com/maps?q=-11.806474, -42.059640</v>
      </c>
      <c r="L616" s="5" t="str">
        <f t="shared" si="19"/>
        <v>Abrir no Maps</v>
      </c>
      <c r="M616" t="s">
        <v>4389</v>
      </c>
      <c r="N616" s="5"/>
      <c r="O616" t="str">
        <f>VLOOKUP(G616,'[1]CONFIG.'!$B:$C,2,0)</f>
        <v>DAIANE</v>
      </c>
      <c r="P616" t="str">
        <f>VLOOKUP(O616,'[1]CONFIG.'!$C:$D,2,0)</f>
        <v>74 99298866</v>
      </c>
    </row>
    <row r="617" spans="1:16" x14ac:dyDescent="0.3">
      <c r="A617" t="s">
        <v>4390</v>
      </c>
      <c r="B617" t="s">
        <v>4391</v>
      </c>
      <c r="C617" t="s">
        <v>4392</v>
      </c>
      <c r="D617" t="s">
        <v>3208</v>
      </c>
      <c r="E617" t="s">
        <v>4393</v>
      </c>
      <c r="F617" t="s">
        <v>137</v>
      </c>
      <c r="G617">
        <v>211</v>
      </c>
      <c r="H617">
        <v>500</v>
      </c>
      <c r="I617" s="5" t="s">
        <v>4394</v>
      </c>
      <c r="J617" s="5" t="s">
        <v>4395</v>
      </c>
      <c r="K617" s="5" t="str">
        <f t="shared" si="18"/>
        <v>https://www.google.com/maps?q=-11.803185, -42.061577</v>
      </c>
      <c r="L617" s="5" t="str">
        <f t="shared" si="19"/>
        <v>Abrir no Maps</v>
      </c>
      <c r="M617" t="s">
        <v>4396</v>
      </c>
      <c r="N617" s="5"/>
      <c r="O617" t="str">
        <f>VLOOKUP(G617,'[1]CONFIG.'!$B:$C,2,0)</f>
        <v>DAIANE</v>
      </c>
      <c r="P617" t="str">
        <f>VLOOKUP(O617,'[1]CONFIG.'!$C:$D,2,0)</f>
        <v>74 99298866</v>
      </c>
    </row>
    <row r="618" spans="1:16" x14ac:dyDescent="0.3">
      <c r="A618" t="s">
        <v>4397</v>
      </c>
      <c r="B618" t="s">
        <v>4398</v>
      </c>
      <c r="C618" t="s">
        <v>4399</v>
      </c>
      <c r="D618" t="s">
        <v>3208</v>
      </c>
      <c r="E618" t="s">
        <v>4400</v>
      </c>
      <c r="F618" t="s">
        <v>137</v>
      </c>
      <c r="G618">
        <v>211</v>
      </c>
      <c r="H618">
        <v>500</v>
      </c>
      <c r="I618" s="5" t="s">
        <v>4401</v>
      </c>
      <c r="J618" s="5" t="s">
        <v>4402</v>
      </c>
      <c r="K618" s="5" t="str">
        <f t="shared" si="18"/>
        <v>https://www.google.com/maps?q=-11.809225, -42.061110</v>
      </c>
      <c r="L618" s="5" t="str">
        <f t="shared" si="19"/>
        <v>Abrir no Maps</v>
      </c>
      <c r="M618" t="s">
        <v>4403</v>
      </c>
      <c r="N618" s="5"/>
      <c r="O618" t="str">
        <f>VLOOKUP(G618,'[1]CONFIG.'!$B:$C,2,0)</f>
        <v>DAIANE</v>
      </c>
      <c r="P618" t="str">
        <f>VLOOKUP(O618,'[1]CONFIG.'!$C:$D,2,0)</f>
        <v>74 99298866</v>
      </c>
    </row>
    <row r="619" spans="1:16" x14ac:dyDescent="0.3">
      <c r="A619" t="s">
        <v>4404</v>
      </c>
      <c r="B619" t="s">
        <v>4405</v>
      </c>
      <c r="C619" t="s">
        <v>4406</v>
      </c>
      <c r="D619" t="s">
        <v>3208</v>
      </c>
      <c r="E619" t="s">
        <v>4407</v>
      </c>
      <c r="F619" t="s">
        <v>137</v>
      </c>
      <c r="G619">
        <v>211</v>
      </c>
      <c r="H619">
        <v>500</v>
      </c>
      <c r="I619" s="5" t="s">
        <v>4408</v>
      </c>
      <c r="J619" s="5" t="s">
        <v>4409</v>
      </c>
      <c r="K619" s="5" t="str">
        <f t="shared" si="18"/>
        <v>https://www.google.com/maps?q=-11.810693, -42.058830</v>
      </c>
      <c r="L619" s="5" t="str">
        <f t="shared" si="19"/>
        <v>Abrir no Maps</v>
      </c>
      <c r="M619" t="s">
        <v>4410</v>
      </c>
      <c r="N619" s="5"/>
      <c r="O619" t="str">
        <f>VLOOKUP(G619,'[1]CONFIG.'!$B:$C,2,0)</f>
        <v>DAIANE</v>
      </c>
      <c r="P619" t="str">
        <f>VLOOKUP(O619,'[1]CONFIG.'!$C:$D,2,0)</f>
        <v>74 99298866</v>
      </c>
    </row>
    <row r="620" spans="1:16" x14ac:dyDescent="0.3">
      <c r="A620" t="s">
        <v>4411</v>
      </c>
      <c r="B620" t="s">
        <v>4412</v>
      </c>
      <c r="C620" t="s">
        <v>4413</v>
      </c>
      <c r="D620" t="s">
        <v>3208</v>
      </c>
      <c r="E620" t="s">
        <v>4414</v>
      </c>
      <c r="F620" t="s">
        <v>137</v>
      </c>
      <c r="G620">
        <v>211</v>
      </c>
      <c r="H620">
        <v>500</v>
      </c>
      <c r="I620" s="5" t="s">
        <v>4415</v>
      </c>
      <c r="J620" s="5" t="s">
        <v>4416</v>
      </c>
      <c r="K620" s="5" t="str">
        <f t="shared" si="18"/>
        <v>https://www.google.com/maps?q=-11.807418, -42.057480</v>
      </c>
      <c r="L620" s="5" t="str">
        <f t="shared" si="19"/>
        <v>Abrir no Maps</v>
      </c>
      <c r="M620" t="s">
        <v>4417</v>
      </c>
      <c r="N620" s="5"/>
      <c r="O620" t="str">
        <f>VLOOKUP(G620,'[1]CONFIG.'!$B:$C,2,0)</f>
        <v>DAIANE</v>
      </c>
      <c r="P620" t="str">
        <f>VLOOKUP(O620,'[1]CONFIG.'!$C:$D,2,0)</f>
        <v>74 99298866</v>
      </c>
    </row>
    <row r="621" spans="1:16" x14ac:dyDescent="0.3">
      <c r="A621" t="s">
        <v>4418</v>
      </c>
      <c r="B621" t="s">
        <v>4419</v>
      </c>
      <c r="C621" t="s">
        <v>4420</v>
      </c>
      <c r="D621" t="s">
        <v>3208</v>
      </c>
      <c r="E621" t="s">
        <v>4421</v>
      </c>
      <c r="F621" t="s">
        <v>137</v>
      </c>
      <c r="G621">
        <v>211</v>
      </c>
      <c r="H621">
        <v>500</v>
      </c>
      <c r="I621" s="5" t="s">
        <v>4422</v>
      </c>
      <c r="J621" s="5" t="s">
        <v>4423</v>
      </c>
      <c r="K621" s="5" t="str">
        <f t="shared" si="18"/>
        <v>https://www.google.com/maps?q=-11.807987, -42.061000</v>
      </c>
      <c r="L621" s="5" t="str">
        <f t="shared" si="19"/>
        <v>Abrir no Maps</v>
      </c>
      <c r="M621" t="s">
        <v>4424</v>
      </c>
      <c r="N621" s="5"/>
      <c r="O621" t="str">
        <f>VLOOKUP(G621,'[1]CONFIG.'!$B:$C,2,0)</f>
        <v>DAIANE</v>
      </c>
      <c r="P621" t="str">
        <f>VLOOKUP(O621,'[1]CONFIG.'!$C:$D,2,0)</f>
        <v>74 99298866</v>
      </c>
    </row>
    <row r="622" spans="1:16" x14ac:dyDescent="0.3">
      <c r="A622" t="s">
        <v>4425</v>
      </c>
      <c r="B622" t="s">
        <v>4426</v>
      </c>
      <c r="C622" t="s">
        <v>4427</v>
      </c>
      <c r="D622" t="s">
        <v>3208</v>
      </c>
      <c r="E622" t="s">
        <v>4428</v>
      </c>
      <c r="F622" t="s">
        <v>137</v>
      </c>
      <c r="G622">
        <v>211</v>
      </c>
      <c r="H622">
        <v>500</v>
      </c>
      <c r="I622" s="5" t="s">
        <v>4429</v>
      </c>
      <c r="J622" s="5" t="s">
        <v>4430</v>
      </c>
      <c r="K622" s="5" t="str">
        <f t="shared" si="18"/>
        <v>https://www.google.com/maps?q=-11.810350, -42.059155</v>
      </c>
      <c r="L622" s="5" t="str">
        <f t="shared" si="19"/>
        <v>Abrir no Maps</v>
      </c>
      <c r="M622" t="s">
        <v>4431</v>
      </c>
      <c r="N622" s="5"/>
      <c r="O622" t="str">
        <f>VLOOKUP(G622,'[1]CONFIG.'!$B:$C,2,0)</f>
        <v>DAIANE</v>
      </c>
      <c r="P622" t="str">
        <f>VLOOKUP(O622,'[1]CONFIG.'!$C:$D,2,0)</f>
        <v>74 99298866</v>
      </c>
    </row>
    <row r="623" spans="1:16" x14ac:dyDescent="0.3">
      <c r="A623" t="s">
        <v>4432</v>
      </c>
      <c r="B623" t="s">
        <v>4433</v>
      </c>
      <c r="C623" t="s">
        <v>4434</v>
      </c>
      <c r="D623" t="s">
        <v>3208</v>
      </c>
      <c r="E623" t="s">
        <v>4435</v>
      </c>
      <c r="F623" t="s">
        <v>137</v>
      </c>
      <c r="G623">
        <v>211</v>
      </c>
      <c r="H623">
        <v>500</v>
      </c>
      <c r="I623" s="5" t="s">
        <v>4436</v>
      </c>
      <c r="J623" s="5" t="s">
        <v>4437</v>
      </c>
      <c r="K623" s="5" t="str">
        <f t="shared" si="18"/>
        <v>https://www.google.com/maps?q=-11.809994, -42.060978</v>
      </c>
      <c r="L623" s="5" t="str">
        <f t="shared" si="19"/>
        <v>Abrir no Maps</v>
      </c>
      <c r="M623" t="s">
        <v>4438</v>
      </c>
      <c r="N623" s="5"/>
      <c r="O623" t="str">
        <f>VLOOKUP(G623,'[1]CONFIG.'!$B:$C,2,0)</f>
        <v>DAIANE</v>
      </c>
      <c r="P623" t="str">
        <f>VLOOKUP(O623,'[1]CONFIG.'!$C:$D,2,0)</f>
        <v>74 99298866</v>
      </c>
    </row>
    <row r="624" spans="1:16" x14ac:dyDescent="0.3">
      <c r="A624" t="s">
        <v>4439</v>
      </c>
      <c r="B624" t="s">
        <v>4440</v>
      </c>
      <c r="C624" t="s">
        <v>4441</v>
      </c>
      <c r="D624" t="s">
        <v>3208</v>
      </c>
      <c r="E624" t="s">
        <v>4442</v>
      </c>
      <c r="F624" t="s">
        <v>4443</v>
      </c>
      <c r="G624">
        <v>211</v>
      </c>
      <c r="H624">
        <v>500</v>
      </c>
      <c r="I624" s="5" t="s">
        <v>4444</v>
      </c>
      <c r="J624" s="5" t="s">
        <v>4445</v>
      </c>
      <c r="K624" s="5" t="str">
        <f t="shared" si="18"/>
        <v>https://www.google.com/maps?q=-11.760936, -42.061073</v>
      </c>
      <c r="L624" s="5" t="str">
        <f t="shared" si="19"/>
        <v>Abrir no Maps</v>
      </c>
      <c r="M624" t="s">
        <v>4446</v>
      </c>
      <c r="N624" s="5"/>
      <c r="O624" t="str">
        <f>VLOOKUP(G624,'[1]CONFIG.'!$B:$C,2,0)</f>
        <v>DAIANE</v>
      </c>
      <c r="P624" t="str">
        <f>VLOOKUP(O624,'[1]CONFIG.'!$C:$D,2,0)</f>
        <v>74 99298866</v>
      </c>
    </row>
    <row r="625" spans="1:16" x14ac:dyDescent="0.3">
      <c r="A625" t="s">
        <v>4447</v>
      </c>
      <c r="B625" t="s">
        <v>4448</v>
      </c>
      <c r="C625" t="s">
        <v>4449</v>
      </c>
      <c r="D625" t="s">
        <v>3208</v>
      </c>
      <c r="E625" t="s">
        <v>4450</v>
      </c>
      <c r="F625" t="s">
        <v>137</v>
      </c>
      <c r="G625">
        <v>211</v>
      </c>
      <c r="H625">
        <v>500</v>
      </c>
      <c r="I625" s="5" t="s">
        <v>4451</v>
      </c>
      <c r="J625" s="5" t="s">
        <v>4452</v>
      </c>
      <c r="K625" s="5" t="str">
        <f t="shared" si="18"/>
        <v>https://www.google.com/maps?q=-11.810364, -42.059402</v>
      </c>
      <c r="L625" s="5" t="str">
        <f t="shared" si="19"/>
        <v>Abrir no Maps</v>
      </c>
      <c r="M625" t="s">
        <v>4453</v>
      </c>
      <c r="N625" s="5"/>
      <c r="O625" t="str">
        <f>VLOOKUP(G625,'[1]CONFIG.'!$B:$C,2,0)</f>
        <v>DAIANE</v>
      </c>
      <c r="P625" t="str">
        <f>VLOOKUP(O625,'[1]CONFIG.'!$C:$D,2,0)</f>
        <v>74 99298866</v>
      </c>
    </row>
    <row r="626" spans="1:16" x14ac:dyDescent="0.3">
      <c r="A626" t="s">
        <v>4454</v>
      </c>
      <c r="B626" t="s">
        <v>4455</v>
      </c>
      <c r="C626" t="s">
        <v>4456</v>
      </c>
      <c r="D626" t="s">
        <v>3208</v>
      </c>
      <c r="E626" t="s">
        <v>4457</v>
      </c>
      <c r="F626" t="s">
        <v>137</v>
      </c>
      <c r="G626">
        <v>211</v>
      </c>
      <c r="H626">
        <v>500</v>
      </c>
      <c r="I626" s="5" t="s">
        <v>4458</v>
      </c>
      <c r="J626" s="5" t="s">
        <v>4459</v>
      </c>
      <c r="K626" s="5" t="str">
        <f t="shared" si="18"/>
        <v>https://www.google.com/maps?q=-11.809360, -42.062760</v>
      </c>
      <c r="L626" s="5" t="str">
        <f t="shared" si="19"/>
        <v>Abrir no Maps</v>
      </c>
      <c r="M626" t="s">
        <v>4460</v>
      </c>
      <c r="N626" s="5"/>
      <c r="O626" t="str">
        <f>VLOOKUP(G626,'[1]CONFIG.'!$B:$C,2,0)</f>
        <v>DAIANE</v>
      </c>
      <c r="P626" t="str">
        <f>VLOOKUP(O626,'[1]CONFIG.'!$C:$D,2,0)</f>
        <v>74 99298866</v>
      </c>
    </row>
    <row r="627" spans="1:16" x14ac:dyDescent="0.3">
      <c r="A627" t="s">
        <v>4461</v>
      </c>
      <c r="B627" t="s">
        <v>4462</v>
      </c>
      <c r="C627" t="s">
        <v>4463</v>
      </c>
      <c r="D627" t="s">
        <v>3208</v>
      </c>
      <c r="E627" t="s">
        <v>4464</v>
      </c>
      <c r="F627" t="s">
        <v>137</v>
      </c>
      <c r="G627">
        <v>211</v>
      </c>
      <c r="H627">
        <v>500</v>
      </c>
      <c r="I627" s="5" t="s">
        <v>4465</v>
      </c>
      <c r="J627" s="5" t="s">
        <v>4466</v>
      </c>
      <c r="K627" s="5" t="str">
        <f t="shared" si="18"/>
        <v>https://www.google.com/maps?q=-11.803808, -42.059875</v>
      </c>
      <c r="L627" s="5" t="str">
        <f t="shared" si="19"/>
        <v>Abrir no Maps</v>
      </c>
      <c r="M627" t="s">
        <v>4467</v>
      </c>
      <c r="N627" s="5"/>
      <c r="O627" t="str">
        <f>VLOOKUP(G627,'[1]CONFIG.'!$B:$C,2,0)</f>
        <v>DAIANE</v>
      </c>
      <c r="P627" t="str">
        <f>VLOOKUP(O627,'[1]CONFIG.'!$C:$D,2,0)</f>
        <v>74 99298866</v>
      </c>
    </row>
    <row r="628" spans="1:16" x14ac:dyDescent="0.3">
      <c r="A628" t="s">
        <v>4468</v>
      </c>
      <c r="B628" t="s">
        <v>4469</v>
      </c>
      <c r="C628" t="s">
        <v>4470</v>
      </c>
      <c r="D628" t="s">
        <v>3208</v>
      </c>
      <c r="E628" t="s">
        <v>4471</v>
      </c>
      <c r="F628" t="s">
        <v>137</v>
      </c>
      <c r="G628">
        <v>211</v>
      </c>
      <c r="H628">
        <v>500</v>
      </c>
      <c r="I628" s="5" t="s">
        <v>4472</v>
      </c>
      <c r="J628" s="5" t="s">
        <v>4473</v>
      </c>
      <c r="K628" s="5" t="str">
        <f t="shared" si="18"/>
        <v>https://www.google.com/maps?q=-11.810656, -42.058662</v>
      </c>
      <c r="L628" s="5" t="str">
        <f t="shared" si="19"/>
        <v>Abrir no Maps</v>
      </c>
      <c r="M628" t="s">
        <v>4474</v>
      </c>
      <c r="N628" s="5"/>
      <c r="O628" t="str">
        <f>VLOOKUP(G628,'[1]CONFIG.'!$B:$C,2,0)</f>
        <v>DAIANE</v>
      </c>
      <c r="P628" t="str">
        <f>VLOOKUP(O628,'[1]CONFIG.'!$C:$D,2,0)</f>
        <v>74 99298866</v>
      </c>
    </row>
    <row r="629" spans="1:16" x14ac:dyDescent="0.3">
      <c r="A629" t="s">
        <v>4475</v>
      </c>
      <c r="B629" t="s">
        <v>4476</v>
      </c>
      <c r="C629" t="s">
        <v>4477</v>
      </c>
      <c r="D629" t="s">
        <v>3208</v>
      </c>
      <c r="E629" t="s">
        <v>4478</v>
      </c>
      <c r="F629" t="s">
        <v>137</v>
      </c>
      <c r="G629">
        <v>211</v>
      </c>
      <c r="H629">
        <v>500</v>
      </c>
      <c r="I629" s="5" t="s">
        <v>4479</v>
      </c>
      <c r="J629" s="5" t="s">
        <v>4480</v>
      </c>
      <c r="K629" s="5" t="str">
        <f t="shared" si="18"/>
        <v>https://www.google.com/maps?q=-11.809623, -42.061214</v>
      </c>
      <c r="L629" s="5" t="str">
        <f t="shared" si="19"/>
        <v>Abrir no Maps</v>
      </c>
      <c r="M629" t="s">
        <v>4481</v>
      </c>
      <c r="N629" s="5"/>
      <c r="O629" t="str">
        <f>VLOOKUP(G629,'[1]CONFIG.'!$B:$C,2,0)</f>
        <v>DAIANE</v>
      </c>
      <c r="P629" t="str">
        <f>VLOOKUP(O629,'[1]CONFIG.'!$C:$D,2,0)</f>
        <v>74 99298866</v>
      </c>
    </row>
    <row r="630" spans="1:16" x14ac:dyDescent="0.3">
      <c r="A630" t="s">
        <v>4482</v>
      </c>
      <c r="B630" t="s">
        <v>4483</v>
      </c>
      <c r="C630" t="s">
        <v>4484</v>
      </c>
      <c r="D630" t="s">
        <v>3208</v>
      </c>
      <c r="E630" t="s">
        <v>4485</v>
      </c>
      <c r="F630" t="s">
        <v>137</v>
      </c>
      <c r="G630">
        <v>211</v>
      </c>
      <c r="H630">
        <v>500</v>
      </c>
      <c r="I630" s="5" t="s">
        <v>4486</v>
      </c>
      <c r="J630" s="5" t="s">
        <v>4487</v>
      </c>
      <c r="K630" s="5" t="str">
        <f t="shared" si="18"/>
        <v>https://www.google.com/maps?q=-11.806413, -42.062183</v>
      </c>
      <c r="L630" s="5" t="str">
        <f t="shared" si="19"/>
        <v>Abrir no Maps</v>
      </c>
      <c r="M630" t="s">
        <v>4488</v>
      </c>
      <c r="N630" s="5"/>
      <c r="O630" t="str">
        <f>VLOOKUP(G630,'[1]CONFIG.'!$B:$C,2,0)</f>
        <v>DAIANE</v>
      </c>
      <c r="P630" t="str">
        <f>VLOOKUP(O630,'[1]CONFIG.'!$C:$D,2,0)</f>
        <v>74 99298866</v>
      </c>
    </row>
    <row r="631" spans="1:16" x14ac:dyDescent="0.3">
      <c r="A631" t="s">
        <v>4489</v>
      </c>
      <c r="B631" t="s">
        <v>4490</v>
      </c>
      <c r="C631" t="s">
        <v>4491</v>
      </c>
      <c r="D631" t="s">
        <v>3208</v>
      </c>
      <c r="E631" t="s">
        <v>4492</v>
      </c>
      <c r="F631" t="s">
        <v>4443</v>
      </c>
      <c r="G631">
        <v>211</v>
      </c>
      <c r="H631">
        <v>500</v>
      </c>
      <c r="I631" s="5" t="s">
        <v>4493</v>
      </c>
      <c r="J631" s="5" t="s">
        <v>4494</v>
      </c>
      <c r="K631" s="5" t="str">
        <f t="shared" si="18"/>
        <v>https://www.google.com/maps?q=-11.766220, -42.057995</v>
      </c>
      <c r="L631" s="5" t="str">
        <f t="shared" si="19"/>
        <v>Abrir no Maps</v>
      </c>
      <c r="M631" t="s">
        <v>4495</v>
      </c>
      <c r="N631" s="5"/>
      <c r="O631" t="str">
        <f>VLOOKUP(G631,'[1]CONFIG.'!$B:$C,2,0)</f>
        <v>DAIANE</v>
      </c>
      <c r="P631" t="str">
        <f>VLOOKUP(O631,'[1]CONFIG.'!$C:$D,2,0)</f>
        <v>74 99298866</v>
      </c>
    </row>
    <row r="632" spans="1:16" x14ac:dyDescent="0.3">
      <c r="A632" t="s">
        <v>4496</v>
      </c>
      <c r="B632" t="s">
        <v>4497</v>
      </c>
      <c r="C632" t="s">
        <v>4498</v>
      </c>
      <c r="D632" t="s">
        <v>3208</v>
      </c>
      <c r="E632" t="s">
        <v>4499</v>
      </c>
      <c r="F632" t="s">
        <v>4443</v>
      </c>
      <c r="G632">
        <v>211</v>
      </c>
      <c r="H632">
        <v>500</v>
      </c>
      <c r="I632" s="5" t="s">
        <v>4500</v>
      </c>
      <c r="J632" s="5" t="s">
        <v>4501</v>
      </c>
      <c r="K632" s="5" t="str">
        <f t="shared" si="18"/>
        <v>https://www.google.com/maps?q=-11.761733, -42.060320</v>
      </c>
      <c r="L632" s="5" t="str">
        <f t="shared" si="19"/>
        <v>Abrir no Maps</v>
      </c>
      <c r="M632" t="s">
        <v>4502</v>
      </c>
      <c r="N632" s="5"/>
      <c r="O632" t="str">
        <f>VLOOKUP(G632,'[1]CONFIG.'!$B:$C,2,0)</f>
        <v>DAIANE</v>
      </c>
      <c r="P632" t="str">
        <f>VLOOKUP(O632,'[1]CONFIG.'!$C:$D,2,0)</f>
        <v>74 99298866</v>
      </c>
    </row>
    <row r="633" spans="1:16" x14ac:dyDescent="0.3">
      <c r="A633" t="s">
        <v>4503</v>
      </c>
      <c r="B633" t="s">
        <v>4504</v>
      </c>
      <c r="C633" t="s">
        <v>4505</v>
      </c>
      <c r="D633" t="s">
        <v>3208</v>
      </c>
      <c r="E633" t="s">
        <v>4506</v>
      </c>
      <c r="F633" t="s">
        <v>4443</v>
      </c>
      <c r="G633">
        <v>211</v>
      </c>
      <c r="H633">
        <v>500</v>
      </c>
      <c r="I633" s="5" t="s">
        <v>4507</v>
      </c>
      <c r="J633" s="5" t="s">
        <v>4508</v>
      </c>
      <c r="K633" s="5" t="str">
        <f t="shared" si="18"/>
        <v>https://www.google.com/maps?q=-11.767095, -42.057026</v>
      </c>
      <c r="L633" s="5" t="str">
        <f t="shared" si="19"/>
        <v>Abrir no Maps</v>
      </c>
      <c r="M633" t="s">
        <v>4509</v>
      </c>
      <c r="N633" s="5"/>
      <c r="O633" t="str">
        <f>VLOOKUP(G633,'[1]CONFIG.'!$B:$C,2,0)</f>
        <v>DAIANE</v>
      </c>
      <c r="P633" t="str">
        <f>VLOOKUP(O633,'[1]CONFIG.'!$C:$D,2,0)</f>
        <v>74 99298866</v>
      </c>
    </row>
    <row r="634" spans="1:16" x14ac:dyDescent="0.3">
      <c r="A634" t="s">
        <v>4510</v>
      </c>
      <c r="B634" t="s">
        <v>4511</v>
      </c>
      <c r="C634" t="s">
        <v>4512</v>
      </c>
      <c r="D634" t="s">
        <v>3208</v>
      </c>
      <c r="E634" t="s">
        <v>4513</v>
      </c>
      <c r="F634" t="s">
        <v>4443</v>
      </c>
      <c r="G634">
        <v>211</v>
      </c>
      <c r="H634">
        <v>500</v>
      </c>
      <c r="I634" s="5" t="s">
        <v>4514</v>
      </c>
      <c r="J634" s="5" t="s">
        <v>4515</v>
      </c>
      <c r="K634" s="5" t="str">
        <f t="shared" si="18"/>
        <v>https://www.google.com/maps?q=-11.765048, -42.058533</v>
      </c>
      <c r="L634" s="5" t="str">
        <f t="shared" si="19"/>
        <v>Abrir no Maps</v>
      </c>
      <c r="M634" t="s">
        <v>4516</v>
      </c>
      <c r="N634" s="5"/>
      <c r="O634" t="str">
        <f>VLOOKUP(G634,'[1]CONFIG.'!$B:$C,2,0)</f>
        <v>DAIANE</v>
      </c>
      <c r="P634" t="str">
        <f>VLOOKUP(O634,'[1]CONFIG.'!$C:$D,2,0)</f>
        <v>74 99298866</v>
      </c>
    </row>
    <row r="635" spans="1:16" x14ac:dyDescent="0.3">
      <c r="A635" t="s">
        <v>4517</v>
      </c>
      <c r="B635" t="s">
        <v>4518</v>
      </c>
      <c r="C635" t="s">
        <v>4519</v>
      </c>
      <c r="D635" t="s">
        <v>3208</v>
      </c>
      <c r="E635" t="s">
        <v>4520</v>
      </c>
      <c r="F635" t="s">
        <v>4443</v>
      </c>
      <c r="G635">
        <v>211</v>
      </c>
      <c r="H635">
        <v>500</v>
      </c>
      <c r="I635" s="5" t="s">
        <v>4521</v>
      </c>
      <c r="J635" s="5" t="s">
        <v>4522</v>
      </c>
      <c r="K635" s="5" t="str">
        <f t="shared" si="18"/>
        <v>https://www.google.com/maps?q=-11.767903, -42.056570</v>
      </c>
      <c r="L635" s="5" t="str">
        <f t="shared" si="19"/>
        <v>Abrir no Maps</v>
      </c>
      <c r="M635" t="s">
        <v>4523</v>
      </c>
      <c r="N635" s="5"/>
      <c r="O635" t="str">
        <f>VLOOKUP(G635,'[1]CONFIG.'!$B:$C,2,0)</f>
        <v>DAIANE</v>
      </c>
      <c r="P635" t="str">
        <f>VLOOKUP(O635,'[1]CONFIG.'!$C:$D,2,0)</f>
        <v>74 99298866</v>
      </c>
    </row>
    <row r="636" spans="1:16" x14ac:dyDescent="0.3">
      <c r="A636" t="s">
        <v>4524</v>
      </c>
      <c r="B636" t="s">
        <v>4525</v>
      </c>
      <c r="C636" t="s">
        <v>4526</v>
      </c>
      <c r="D636" t="s">
        <v>3208</v>
      </c>
      <c r="E636" t="s">
        <v>4527</v>
      </c>
      <c r="F636" t="s">
        <v>4528</v>
      </c>
      <c r="G636">
        <v>211</v>
      </c>
      <c r="H636">
        <v>500</v>
      </c>
      <c r="I636" s="5" t="s">
        <v>4529</v>
      </c>
      <c r="J636" s="5" t="s">
        <v>4530</v>
      </c>
      <c r="K636" s="5" t="str">
        <f t="shared" si="18"/>
        <v>https://www.google.com/maps?q=-11.809793, -42.060184</v>
      </c>
      <c r="L636" s="5" t="str">
        <f t="shared" si="19"/>
        <v>Abrir no Maps</v>
      </c>
      <c r="M636" t="s">
        <v>4531</v>
      </c>
      <c r="N636" s="5"/>
      <c r="O636" t="str">
        <f>VLOOKUP(G636,'[1]CONFIG.'!$B:$C,2,0)</f>
        <v>DAIANE</v>
      </c>
      <c r="P636" t="str">
        <f>VLOOKUP(O636,'[1]CONFIG.'!$C:$D,2,0)</f>
        <v>74 99298866</v>
      </c>
    </row>
    <row r="637" spans="1:16" x14ac:dyDescent="0.3">
      <c r="A637" t="s">
        <v>4532</v>
      </c>
      <c r="B637" t="s">
        <v>4533</v>
      </c>
      <c r="C637" t="s">
        <v>4534</v>
      </c>
      <c r="D637" t="s">
        <v>3208</v>
      </c>
      <c r="E637" t="s">
        <v>4535</v>
      </c>
      <c r="F637" t="s">
        <v>4536</v>
      </c>
      <c r="G637">
        <v>211</v>
      </c>
      <c r="H637">
        <v>500</v>
      </c>
      <c r="I637" s="5" t="s">
        <v>4537</v>
      </c>
      <c r="J637" s="5" t="s">
        <v>4538</v>
      </c>
      <c r="K637" s="5" t="str">
        <f t="shared" si="18"/>
        <v>https://www.google.com/maps?q=-11.806006, -42.084316</v>
      </c>
      <c r="L637" s="5" t="str">
        <f t="shared" si="19"/>
        <v>Abrir no Maps</v>
      </c>
      <c r="M637" t="s">
        <v>4539</v>
      </c>
      <c r="N637" s="5"/>
      <c r="O637" t="str">
        <f>VLOOKUP(G637,'[1]CONFIG.'!$B:$C,2,0)</f>
        <v>DAIANE</v>
      </c>
      <c r="P637" t="str">
        <f>VLOOKUP(O637,'[1]CONFIG.'!$C:$D,2,0)</f>
        <v>74 99298866</v>
      </c>
    </row>
    <row r="638" spans="1:16" x14ac:dyDescent="0.3">
      <c r="A638" t="s">
        <v>4540</v>
      </c>
      <c r="B638" t="s">
        <v>4541</v>
      </c>
      <c r="C638" t="s">
        <v>4542</v>
      </c>
      <c r="D638" t="s">
        <v>3208</v>
      </c>
      <c r="E638" t="s">
        <v>4543</v>
      </c>
      <c r="F638" t="s">
        <v>137</v>
      </c>
      <c r="G638">
        <v>211</v>
      </c>
      <c r="H638">
        <v>500</v>
      </c>
      <c r="I638" s="5" t="s">
        <v>4544</v>
      </c>
      <c r="J638" s="5" t="s">
        <v>4545</v>
      </c>
      <c r="K638" s="5" t="str">
        <f t="shared" si="18"/>
        <v>https://www.google.com/maps?q=-11.810832, -42.058086</v>
      </c>
      <c r="L638" s="5" t="str">
        <f t="shared" si="19"/>
        <v>Abrir no Maps</v>
      </c>
      <c r="M638" t="s">
        <v>4546</v>
      </c>
      <c r="N638" s="5"/>
      <c r="O638" t="str">
        <f>VLOOKUP(G638,'[1]CONFIG.'!$B:$C,2,0)</f>
        <v>DAIANE</v>
      </c>
      <c r="P638" t="str">
        <f>VLOOKUP(O638,'[1]CONFIG.'!$C:$D,2,0)</f>
        <v>74 99298866</v>
      </c>
    </row>
    <row r="639" spans="1:16" x14ac:dyDescent="0.3">
      <c r="A639" t="s">
        <v>4547</v>
      </c>
      <c r="B639" t="s">
        <v>4548</v>
      </c>
      <c r="C639" t="s">
        <v>4549</v>
      </c>
      <c r="D639" t="s">
        <v>3208</v>
      </c>
      <c r="E639" t="s">
        <v>4550</v>
      </c>
      <c r="F639" t="s">
        <v>4443</v>
      </c>
      <c r="G639">
        <v>211</v>
      </c>
      <c r="H639">
        <v>500</v>
      </c>
      <c r="I639" s="5" t="s">
        <v>4551</v>
      </c>
      <c r="J639" s="5" t="s">
        <v>4552</v>
      </c>
      <c r="K639" s="5" t="str">
        <f t="shared" si="18"/>
        <v>https://www.google.com/maps?q=-11.766695, -42.057873</v>
      </c>
      <c r="L639" s="5" t="str">
        <f t="shared" si="19"/>
        <v>Abrir no Maps</v>
      </c>
      <c r="M639" t="s">
        <v>4553</v>
      </c>
      <c r="N639" s="5"/>
      <c r="O639" t="str">
        <f>VLOOKUP(G639,'[1]CONFIG.'!$B:$C,2,0)</f>
        <v>DAIANE</v>
      </c>
      <c r="P639" t="str">
        <f>VLOOKUP(O639,'[1]CONFIG.'!$C:$D,2,0)</f>
        <v>74 99298866</v>
      </c>
    </row>
    <row r="640" spans="1:16" x14ac:dyDescent="0.3">
      <c r="A640" t="s">
        <v>4554</v>
      </c>
      <c r="B640" t="s">
        <v>4555</v>
      </c>
      <c r="C640" t="s">
        <v>4556</v>
      </c>
      <c r="D640" t="s">
        <v>3208</v>
      </c>
      <c r="E640" t="s">
        <v>4557</v>
      </c>
      <c r="F640" t="s">
        <v>137</v>
      </c>
      <c r="G640">
        <v>211</v>
      </c>
      <c r="H640">
        <v>500</v>
      </c>
      <c r="I640" s="5" t="s">
        <v>4558</v>
      </c>
      <c r="J640" s="5" t="s">
        <v>4559</v>
      </c>
      <c r="K640" s="5" t="str">
        <f t="shared" si="18"/>
        <v>https://www.google.com/maps?q=-11.803170, -42.061573</v>
      </c>
      <c r="L640" s="5" t="str">
        <f t="shared" si="19"/>
        <v>Abrir no Maps</v>
      </c>
      <c r="M640" t="s">
        <v>4560</v>
      </c>
      <c r="N640" s="5"/>
      <c r="O640" t="str">
        <f>VLOOKUP(G640,'[1]CONFIG.'!$B:$C,2,0)</f>
        <v>DAIANE</v>
      </c>
      <c r="P640" t="str">
        <f>VLOOKUP(O640,'[1]CONFIG.'!$C:$D,2,0)</f>
        <v>74 99298866</v>
      </c>
    </row>
    <row r="641" spans="1:16" x14ac:dyDescent="0.3">
      <c r="A641" t="s">
        <v>4561</v>
      </c>
      <c r="B641" t="s">
        <v>4562</v>
      </c>
      <c r="C641" t="s">
        <v>4563</v>
      </c>
      <c r="D641" t="s">
        <v>3208</v>
      </c>
      <c r="E641" t="s">
        <v>4564</v>
      </c>
      <c r="F641" t="s">
        <v>137</v>
      </c>
      <c r="G641">
        <v>211</v>
      </c>
      <c r="H641">
        <v>500</v>
      </c>
      <c r="I641" s="5" t="s">
        <v>4565</v>
      </c>
      <c r="J641" s="5" t="s">
        <v>4566</v>
      </c>
      <c r="K641" s="5" t="str">
        <f t="shared" si="18"/>
        <v>https://www.google.com/maps?q=-11.806490, -42.061960</v>
      </c>
      <c r="L641" s="5" t="str">
        <f t="shared" si="19"/>
        <v>Abrir no Maps</v>
      </c>
      <c r="M641" t="s">
        <v>4567</v>
      </c>
      <c r="N641" s="5"/>
      <c r="O641" t="str">
        <f>VLOOKUP(G641,'[1]CONFIG.'!$B:$C,2,0)</f>
        <v>DAIANE</v>
      </c>
      <c r="P641" t="str">
        <f>VLOOKUP(O641,'[1]CONFIG.'!$C:$D,2,0)</f>
        <v>74 99298866</v>
      </c>
    </row>
    <row r="642" spans="1:16" x14ac:dyDescent="0.3">
      <c r="A642" t="s">
        <v>4568</v>
      </c>
      <c r="B642" t="s">
        <v>4569</v>
      </c>
      <c r="C642" t="s">
        <v>4570</v>
      </c>
      <c r="D642" t="s">
        <v>3208</v>
      </c>
      <c r="E642" t="s">
        <v>4571</v>
      </c>
      <c r="F642" t="s">
        <v>137</v>
      </c>
      <c r="G642">
        <v>211</v>
      </c>
      <c r="H642">
        <v>500</v>
      </c>
      <c r="I642" s="5" t="s">
        <v>4572</v>
      </c>
      <c r="J642" s="5" t="s">
        <v>4573</v>
      </c>
      <c r="K642" s="5" t="str">
        <f t="shared" si="18"/>
        <v>https://www.google.com/maps?q=-11.804985, -42.058509</v>
      </c>
      <c r="L642" s="5" t="str">
        <f t="shared" si="19"/>
        <v>Abrir no Maps</v>
      </c>
      <c r="M642" t="s">
        <v>4574</v>
      </c>
      <c r="N642" s="5"/>
      <c r="O642" t="str">
        <f>VLOOKUP(G642,'[1]CONFIG.'!$B:$C,2,0)</f>
        <v>DAIANE</v>
      </c>
      <c r="P642" t="str">
        <f>VLOOKUP(O642,'[1]CONFIG.'!$C:$D,2,0)</f>
        <v>74 99298866</v>
      </c>
    </row>
    <row r="643" spans="1:16" x14ac:dyDescent="0.3">
      <c r="A643" t="s">
        <v>4575</v>
      </c>
      <c r="B643" t="s">
        <v>4576</v>
      </c>
      <c r="C643" t="s">
        <v>4577</v>
      </c>
      <c r="D643" t="s">
        <v>3208</v>
      </c>
      <c r="E643" t="s">
        <v>4578</v>
      </c>
      <c r="F643" t="s">
        <v>137</v>
      </c>
      <c r="G643">
        <v>211</v>
      </c>
      <c r="H643">
        <v>500</v>
      </c>
      <c r="I643" s="5" t="s">
        <v>4579</v>
      </c>
      <c r="J643" s="5" t="s">
        <v>4580</v>
      </c>
      <c r="K643" s="5" t="str">
        <f t="shared" si="18"/>
        <v>https://www.google.com/maps?q=-11.810721, -42.058482</v>
      </c>
      <c r="L643" s="5" t="str">
        <f t="shared" si="19"/>
        <v>Abrir no Maps</v>
      </c>
      <c r="M643" t="s">
        <v>4581</v>
      </c>
      <c r="N643" s="5"/>
      <c r="O643" t="str">
        <f>VLOOKUP(G643,'[1]CONFIG.'!$B:$C,2,0)</f>
        <v>DAIANE</v>
      </c>
      <c r="P643" t="str">
        <f>VLOOKUP(O643,'[1]CONFIG.'!$C:$D,2,0)</f>
        <v>74 99298866</v>
      </c>
    </row>
    <row r="644" spans="1:16" x14ac:dyDescent="0.3">
      <c r="A644" t="s">
        <v>4582</v>
      </c>
      <c r="B644" t="s">
        <v>4583</v>
      </c>
      <c r="C644" t="s">
        <v>4584</v>
      </c>
      <c r="D644" t="s">
        <v>3208</v>
      </c>
      <c r="E644" t="s">
        <v>4585</v>
      </c>
      <c r="F644" t="s">
        <v>4443</v>
      </c>
      <c r="G644">
        <v>211</v>
      </c>
      <c r="H644">
        <v>500</v>
      </c>
      <c r="I644" s="5" t="s">
        <v>4586</v>
      </c>
      <c r="J644" s="5" t="s">
        <v>4587</v>
      </c>
      <c r="K644" s="5" t="str">
        <f t="shared" ref="K644:K707" si="20">"https://www.google.com/maps?q="&amp;""&amp;LEFT(I644,3)&amp;"."&amp;RIGHT(I644,6)&amp;", "&amp;LEFT(J644,3)&amp;"."&amp;RIGHT(J644,6)</f>
        <v>https://www.google.com/maps?q=-11.766836, -42.058268</v>
      </c>
      <c r="L644" s="5" t="str">
        <f t="shared" ref="L644:L707" si="21">HYPERLINK(K644,"Abrir no Maps")</f>
        <v>Abrir no Maps</v>
      </c>
      <c r="M644" t="s">
        <v>4588</v>
      </c>
      <c r="N644" s="5"/>
      <c r="O644" t="str">
        <f>VLOOKUP(G644,'[1]CONFIG.'!$B:$C,2,0)</f>
        <v>DAIANE</v>
      </c>
      <c r="P644" t="str">
        <f>VLOOKUP(O644,'[1]CONFIG.'!$C:$D,2,0)</f>
        <v>74 99298866</v>
      </c>
    </row>
    <row r="645" spans="1:16" x14ac:dyDescent="0.3">
      <c r="A645" t="s">
        <v>4589</v>
      </c>
      <c r="B645" t="s">
        <v>4590</v>
      </c>
      <c r="C645" t="s">
        <v>4591</v>
      </c>
      <c r="D645" t="s">
        <v>3208</v>
      </c>
      <c r="E645" t="s">
        <v>4592</v>
      </c>
      <c r="F645" t="s">
        <v>4593</v>
      </c>
      <c r="G645">
        <v>211</v>
      </c>
      <c r="H645">
        <v>500</v>
      </c>
      <c r="I645" s="5" t="s">
        <v>4594</v>
      </c>
      <c r="J645" s="5" t="s">
        <v>4595</v>
      </c>
      <c r="K645" s="5" t="str">
        <f t="shared" si="20"/>
        <v>https://www.google.com/maps?q=-11.810410, -42.059830</v>
      </c>
      <c r="L645" s="5" t="str">
        <f t="shared" si="21"/>
        <v>Abrir no Maps</v>
      </c>
      <c r="M645" t="s">
        <v>4596</v>
      </c>
      <c r="N645" s="5"/>
      <c r="O645" t="str">
        <f>VLOOKUP(G645,'[1]CONFIG.'!$B:$C,2,0)</f>
        <v>DAIANE</v>
      </c>
      <c r="P645" t="str">
        <f>VLOOKUP(O645,'[1]CONFIG.'!$C:$D,2,0)</f>
        <v>74 99298866</v>
      </c>
    </row>
    <row r="646" spans="1:16" x14ac:dyDescent="0.3">
      <c r="A646" t="s">
        <v>4597</v>
      </c>
      <c r="B646" t="s">
        <v>4598</v>
      </c>
      <c r="C646" t="s">
        <v>4599</v>
      </c>
      <c r="D646" t="s">
        <v>3208</v>
      </c>
      <c r="E646" t="s">
        <v>4600</v>
      </c>
      <c r="F646" t="s">
        <v>137</v>
      </c>
      <c r="G646">
        <v>211</v>
      </c>
      <c r="H646">
        <v>500</v>
      </c>
      <c r="I646" s="5" t="s">
        <v>4601</v>
      </c>
      <c r="J646" s="5" t="s">
        <v>4602</v>
      </c>
      <c r="K646" s="5" t="str">
        <f t="shared" si="20"/>
        <v>https://www.google.com/maps?q=-11.809628, -42.061314</v>
      </c>
      <c r="L646" s="5" t="str">
        <f t="shared" si="21"/>
        <v>Abrir no Maps</v>
      </c>
      <c r="M646" t="s">
        <v>4603</v>
      </c>
      <c r="N646" s="5"/>
      <c r="O646" t="str">
        <f>VLOOKUP(G646,'[1]CONFIG.'!$B:$C,2,0)</f>
        <v>DAIANE</v>
      </c>
      <c r="P646" t="str">
        <f>VLOOKUP(O646,'[1]CONFIG.'!$C:$D,2,0)</f>
        <v>74 99298866</v>
      </c>
    </row>
    <row r="647" spans="1:16" x14ac:dyDescent="0.3">
      <c r="A647" t="s">
        <v>4604</v>
      </c>
      <c r="B647" t="s">
        <v>4605</v>
      </c>
      <c r="C647" t="s">
        <v>4606</v>
      </c>
      <c r="D647" t="s">
        <v>3208</v>
      </c>
      <c r="E647" t="s">
        <v>4607</v>
      </c>
      <c r="F647" t="s">
        <v>4528</v>
      </c>
      <c r="G647">
        <v>211</v>
      </c>
      <c r="H647">
        <v>500</v>
      </c>
      <c r="I647" s="5" t="s">
        <v>4608</v>
      </c>
      <c r="J647" s="5" t="s">
        <v>4609</v>
      </c>
      <c r="K647" s="5" t="str">
        <f t="shared" si="20"/>
        <v>https://www.google.com/maps?q=-11.810376, -42.059935</v>
      </c>
      <c r="L647" s="5" t="str">
        <f t="shared" si="21"/>
        <v>Abrir no Maps</v>
      </c>
      <c r="M647" t="s">
        <v>4610</v>
      </c>
      <c r="N647" s="5"/>
      <c r="O647" t="str">
        <f>VLOOKUP(G647,'[1]CONFIG.'!$B:$C,2,0)</f>
        <v>DAIANE</v>
      </c>
      <c r="P647" t="str">
        <f>VLOOKUP(O647,'[1]CONFIG.'!$C:$D,2,0)</f>
        <v>74 99298866</v>
      </c>
    </row>
    <row r="648" spans="1:16" x14ac:dyDescent="0.3">
      <c r="A648" t="s">
        <v>4611</v>
      </c>
      <c r="B648" t="s">
        <v>4612</v>
      </c>
      <c r="C648" t="s">
        <v>4613</v>
      </c>
      <c r="D648" t="s">
        <v>3208</v>
      </c>
      <c r="E648" t="s">
        <v>4614</v>
      </c>
      <c r="F648" t="s">
        <v>137</v>
      </c>
      <c r="G648">
        <v>211</v>
      </c>
      <c r="H648">
        <v>500</v>
      </c>
      <c r="I648" s="5" t="s">
        <v>4615</v>
      </c>
      <c r="J648" s="5" t="s">
        <v>4616</v>
      </c>
      <c r="K648" s="5" t="str">
        <f t="shared" si="20"/>
        <v>https://www.google.com/maps?q=-11.809759, -42.058173</v>
      </c>
      <c r="L648" s="5" t="str">
        <f t="shared" si="21"/>
        <v>Abrir no Maps</v>
      </c>
      <c r="M648" t="s">
        <v>4617</v>
      </c>
      <c r="N648" s="5"/>
      <c r="O648" t="str">
        <f>VLOOKUP(G648,'[1]CONFIG.'!$B:$C,2,0)</f>
        <v>DAIANE</v>
      </c>
      <c r="P648" t="str">
        <f>VLOOKUP(O648,'[1]CONFIG.'!$C:$D,2,0)</f>
        <v>74 99298866</v>
      </c>
    </row>
    <row r="649" spans="1:16" x14ac:dyDescent="0.3">
      <c r="A649" t="s">
        <v>4618</v>
      </c>
      <c r="B649" t="s">
        <v>4619</v>
      </c>
      <c r="C649" t="s">
        <v>4620</v>
      </c>
      <c r="D649" t="s">
        <v>4621</v>
      </c>
      <c r="E649" t="s">
        <v>4622</v>
      </c>
      <c r="F649" t="s">
        <v>137</v>
      </c>
      <c r="G649">
        <v>212</v>
      </c>
      <c r="H649">
        <v>200</v>
      </c>
      <c r="I649" s="5" t="s">
        <v>4623</v>
      </c>
      <c r="J649" s="5" t="s">
        <v>4624</v>
      </c>
      <c r="K649" s="5" t="str">
        <f t="shared" si="20"/>
        <v>https://www.google.com/maps?q=-11.763128, -41.909120</v>
      </c>
      <c r="L649" s="5" t="str">
        <f t="shared" si="21"/>
        <v>Abrir no Maps</v>
      </c>
      <c r="M649" t="s">
        <v>4625</v>
      </c>
      <c r="N649" s="5"/>
      <c r="O649" t="str">
        <f>VLOOKUP(G649,'[1]CONFIG.'!$B:$C,2,0)</f>
        <v>ANDRE</v>
      </c>
      <c r="P649" t="str">
        <f>VLOOKUP(O649,'[1]CONFIG.'!$C:$D,2,0)</f>
        <v>74 99916877</v>
      </c>
    </row>
    <row r="650" spans="1:16" x14ac:dyDescent="0.3">
      <c r="A650" t="s">
        <v>4626</v>
      </c>
      <c r="B650" t="s">
        <v>4627</v>
      </c>
      <c r="C650" t="s">
        <v>4628</v>
      </c>
      <c r="D650" t="s">
        <v>4621</v>
      </c>
      <c r="E650" t="s">
        <v>4629</v>
      </c>
      <c r="F650" t="s">
        <v>137</v>
      </c>
      <c r="G650">
        <v>212</v>
      </c>
      <c r="H650">
        <v>200</v>
      </c>
      <c r="I650" s="5" t="s">
        <v>4630</v>
      </c>
      <c r="J650" s="5" t="s">
        <v>4631</v>
      </c>
      <c r="K650" s="5" t="str">
        <f t="shared" si="20"/>
        <v>https://www.google.com/maps?q=-11.762610, -41.910686</v>
      </c>
      <c r="L650" s="5" t="str">
        <f t="shared" si="21"/>
        <v>Abrir no Maps</v>
      </c>
      <c r="M650" t="s">
        <v>4632</v>
      </c>
      <c r="N650" s="5"/>
      <c r="O650" t="str">
        <f>VLOOKUP(G650,'[1]CONFIG.'!$B:$C,2,0)</f>
        <v>ANDRE</v>
      </c>
      <c r="P650" t="str">
        <f>VLOOKUP(O650,'[1]CONFIG.'!$C:$D,2,0)</f>
        <v>74 99916877</v>
      </c>
    </row>
    <row r="651" spans="1:16" x14ac:dyDescent="0.3">
      <c r="A651" t="s">
        <v>4633</v>
      </c>
      <c r="B651" t="s">
        <v>4634</v>
      </c>
      <c r="C651" t="s">
        <v>4635</v>
      </c>
      <c r="D651" t="s">
        <v>4621</v>
      </c>
      <c r="E651" t="s">
        <v>4636</v>
      </c>
      <c r="F651" t="s">
        <v>137</v>
      </c>
      <c r="G651">
        <v>212</v>
      </c>
      <c r="H651">
        <v>200</v>
      </c>
      <c r="I651" s="5" t="s">
        <v>4637</v>
      </c>
      <c r="J651" s="5" t="s">
        <v>4638</v>
      </c>
      <c r="K651" s="5" t="str">
        <f t="shared" si="20"/>
        <v>https://www.google.com/maps?q=-11.762695, -41.910740</v>
      </c>
      <c r="L651" s="5" t="str">
        <f t="shared" si="21"/>
        <v>Abrir no Maps</v>
      </c>
      <c r="M651" t="s">
        <v>4639</v>
      </c>
      <c r="N651" s="5"/>
      <c r="O651" t="str">
        <f>VLOOKUP(G651,'[1]CONFIG.'!$B:$C,2,0)</f>
        <v>ANDRE</v>
      </c>
      <c r="P651" t="str">
        <f>VLOOKUP(O651,'[1]CONFIG.'!$C:$D,2,0)</f>
        <v>74 99916877</v>
      </c>
    </row>
    <row r="652" spans="1:16" x14ac:dyDescent="0.3">
      <c r="A652" t="s">
        <v>4640</v>
      </c>
      <c r="B652" t="s">
        <v>4641</v>
      </c>
      <c r="C652" t="s">
        <v>4642</v>
      </c>
      <c r="D652" t="s">
        <v>4621</v>
      </c>
      <c r="E652" t="s">
        <v>4643</v>
      </c>
      <c r="F652" t="s">
        <v>4644</v>
      </c>
      <c r="G652">
        <v>210</v>
      </c>
      <c r="H652">
        <v>500</v>
      </c>
      <c r="I652" s="5" t="s">
        <v>4645</v>
      </c>
      <c r="J652" s="5" t="s">
        <v>4646</v>
      </c>
      <c r="K652" s="5" t="str">
        <f t="shared" si="20"/>
        <v>https://www.google.com/maps?q=-11.908298, -41.702530</v>
      </c>
      <c r="L652" s="5" t="str">
        <f t="shared" si="21"/>
        <v>Abrir no Maps</v>
      </c>
      <c r="M652" t="s">
        <v>4647</v>
      </c>
      <c r="N652" s="5"/>
      <c r="O652" t="str">
        <f>VLOOKUP(G652,'[1]CONFIG.'!$B:$C,2,0)</f>
        <v>SILAS</v>
      </c>
      <c r="P652" t="str">
        <f>VLOOKUP(O652,'[1]CONFIG.'!$C:$D,2,0)</f>
        <v>74 98041875</v>
      </c>
    </row>
    <row r="653" spans="1:16" x14ac:dyDescent="0.3">
      <c r="A653" t="s">
        <v>4648</v>
      </c>
      <c r="B653" t="s">
        <v>4649</v>
      </c>
      <c r="C653" t="s">
        <v>4650</v>
      </c>
      <c r="D653" t="s">
        <v>4621</v>
      </c>
      <c r="E653" t="s">
        <v>4651</v>
      </c>
      <c r="F653" t="s">
        <v>137</v>
      </c>
      <c r="G653">
        <v>212</v>
      </c>
      <c r="H653">
        <v>200</v>
      </c>
      <c r="I653" s="5" t="s">
        <v>4652</v>
      </c>
      <c r="J653" s="5" t="s">
        <v>4653</v>
      </c>
      <c r="K653" s="5" t="str">
        <f t="shared" si="20"/>
        <v>https://www.google.com/maps?q=-11.762856, -41.909645</v>
      </c>
      <c r="L653" s="5" t="str">
        <f t="shared" si="21"/>
        <v>Abrir no Maps</v>
      </c>
      <c r="M653" t="s">
        <v>4654</v>
      </c>
      <c r="N653" s="5"/>
      <c r="O653" t="str">
        <f>VLOOKUP(G653,'[1]CONFIG.'!$B:$C,2,0)</f>
        <v>ANDRE</v>
      </c>
      <c r="P653" t="str">
        <f>VLOOKUP(O653,'[1]CONFIG.'!$C:$D,2,0)</f>
        <v>74 99916877</v>
      </c>
    </row>
    <row r="654" spans="1:16" x14ac:dyDescent="0.3">
      <c r="A654" t="s">
        <v>4655</v>
      </c>
      <c r="B654" t="s">
        <v>4656</v>
      </c>
      <c r="C654" t="s">
        <v>4657</v>
      </c>
      <c r="D654" t="s">
        <v>4621</v>
      </c>
      <c r="E654" t="s">
        <v>4658</v>
      </c>
      <c r="F654" t="s">
        <v>4659</v>
      </c>
      <c r="G654">
        <v>210</v>
      </c>
      <c r="H654">
        <v>500</v>
      </c>
      <c r="I654" s="5" t="s">
        <v>4660</v>
      </c>
      <c r="J654" s="5" t="s">
        <v>4661</v>
      </c>
      <c r="K654" s="5" t="str">
        <f t="shared" si="20"/>
        <v>https://www.google.com/maps?q=-11.910200, -41.745125</v>
      </c>
      <c r="L654" s="5" t="str">
        <f t="shared" si="21"/>
        <v>Abrir no Maps</v>
      </c>
      <c r="M654" t="s">
        <v>4662</v>
      </c>
      <c r="N654" s="5"/>
      <c r="O654" t="str">
        <f>VLOOKUP(G654,'[1]CONFIG.'!$B:$C,2,0)</f>
        <v>SILAS</v>
      </c>
      <c r="P654" t="str">
        <f>VLOOKUP(O654,'[1]CONFIG.'!$C:$D,2,0)</f>
        <v>74 98041875</v>
      </c>
    </row>
    <row r="655" spans="1:16" x14ac:dyDescent="0.3">
      <c r="A655" t="s">
        <v>4663</v>
      </c>
      <c r="B655" t="s">
        <v>4664</v>
      </c>
      <c r="C655" t="s">
        <v>4665</v>
      </c>
      <c r="D655" t="s">
        <v>4621</v>
      </c>
      <c r="E655" t="s">
        <v>4666</v>
      </c>
      <c r="F655" t="s">
        <v>4659</v>
      </c>
      <c r="G655">
        <v>210</v>
      </c>
      <c r="H655">
        <v>500</v>
      </c>
      <c r="I655" s="5" t="s">
        <v>4667</v>
      </c>
      <c r="J655" s="5" t="s">
        <v>4668</v>
      </c>
      <c r="K655" s="5" t="str">
        <f t="shared" si="20"/>
        <v>https://www.google.com/maps?q=-11.909964, -41.744995</v>
      </c>
      <c r="L655" s="5" t="str">
        <f t="shared" si="21"/>
        <v>Abrir no Maps</v>
      </c>
      <c r="M655" t="s">
        <v>4669</v>
      </c>
      <c r="N655" s="5"/>
      <c r="O655" t="str">
        <f>VLOOKUP(G655,'[1]CONFIG.'!$B:$C,2,0)</f>
        <v>SILAS</v>
      </c>
      <c r="P655" t="str">
        <f>VLOOKUP(O655,'[1]CONFIG.'!$C:$D,2,0)</f>
        <v>74 98041875</v>
      </c>
    </row>
    <row r="656" spans="1:16" x14ac:dyDescent="0.3">
      <c r="A656" t="s">
        <v>4670</v>
      </c>
      <c r="B656" t="s">
        <v>4671</v>
      </c>
      <c r="C656" t="s">
        <v>4672</v>
      </c>
      <c r="D656" t="s">
        <v>4621</v>
      </c>
      <c r="E656" t="s">
        <v>4673</v>
      </c>
      <c r="F656" t="s">
        <v>4674</v>
      </c>
      <c r="G656">
        <v>212</v>
      </c>
      <c r="H656">
        <v>200</v>
      </c>
      <c r="I656" s="5" t="s">
        <v>4675</v>
      </c>
      <c r="J656" s="5" t="s">
        <v>4676</v>
      </c>
      <c r="K656" s="5" t="str">
        <f t="shared" si="20"/>
        <v>https://www.google.com/maps?q=-11.747807, -41.825700</v>
      </c>
      <c r="L656" s="5" t="str">
        <f t="shared" si="21"/>
        <v>Abrir no Maps</v>
      </c>
      <c r="M656" t="s">
        <v>4677</v>
      </c>
      <c r="N656" s="5"/>
      <c r="O656" t="str">
        <f>VLOOKUP(G656,'[1]CONFIG.'!$B:$C,2,0)</f>
        <v>ANDRE</v>
      </c>
      <c r="P656" t="str">
        <f>VLOOKUP(O656,'[1]CONFIG.'!$C:$D,2,0)</f>
        <v>74 99916877</v>
      </c>
    </row>
    <row r="657" spans="1:16" x14ac:dyDescent="0.3">
      <c r="A657" t="s">
        <v>4678</v>
      </c>
      <c r="B657" t="s">
        <v>4679</v>
      </c>
      <c r="C657" t="s">
        <v>4680</v>
      </c>
      <c r="D657" t="s">
        <v>4621</v>
      </c>
      <c r="E657" t="s">
        <v>4681</v>
      </c>
      <c r="F657" t="s">
        <v>137</v>
      </c>
      <c r="G657">
        <v>212</v>
      </c>
      <c r="H657">
        <v>200</v>
      </c>
      <c r="I657" s="5" t="s">
        <v>4682</v>
      </c>
      <c r="J657" s="5" t="s">
        <v>4683</v>
      </c>
      <c r="K657" s="5" t="str">
        <f t="shared" si="20"/>
        <v>https://www.google.com/maps?q=-11.760903, -41.909626</v>
      </c>
      <c r="L657" s="5" t="str">
        <f t="shared" si="21"/>
        <v>Abrir no Maps</v>
      </c>
      <c r="M657" t="s">
        <v>4684</v>
      </c>
      <c r="N657" s="5"/>
      <c r="O657" t="str">
        <f>VLOOKUP(G657,'[1]CONFIG.'!$B:$C,2,0)</f>
        <v>ANDRE</v>
      </c>
      <c r="P657" t="str">
        <f>VLOOKUP(O657,'[1]CONFIG.'!$C:$D,2,0)</f>
        <v>74 99916877</v>
      </c>
    </row>
    <row r="658" spans="1:16" x14ac:dyDescent="0.3">
      <c r="A658" t="s">
        <v>4685</v>
      </c>
      <c r="B658" t="s">
        <v>4686</v>
      </c>
      <c r="C658" t="s">
        <v>4687</v>
      </c>
      <c r="D658" t="s">
        <v>4621</v>
      </c>
      <c r="E658" t="s">
        <v>4688</v>
      </c>
      <c r="F658" t="s">
        <v>4659</v>
      </c>
      <c r="G658">
        <v>210</v>
      </c>
      <c r="H658">
        <v>500</v>
      </c>
      <c r="I658" s="5" t="s">
        <v>4689</v>
      </c>
      <c r="J658" s="5" t="s">
        <v>4690</v>
      </c>
      <c r="K658" s="5" t="str">
        <f t="shared" si="20"/>
        <v>https://www.google.com/maps?q=-11.910255, -41.745667</v>
      </c>
      <c r="L658" s="5" t="str">
        <f t="shared" si="21"/>
        <v>Abrir no Maps</v>
      </c>
      <c r="M658" t="s">
        <v>4691</v>
      </c>
      <c r="N658" s="5"/>
      <c r="O658" t="str">
        <f>VLOOKUP(G658,'[1]CONFIG.'!$B:$C,2,0)</f>
        <v>SILAS</v>
      </c>
      <c r="P658" t="str">
        <f>VLOOKUP(O658,'[1]CONFIG.'!$C:$D,2,0)</f>
        <v>74 98041875</v>
      </c>
    </row>
    <row r="659" spans="1:16" x14ac:dyDescent="0.3">
      <c r="A659" t="s">
        <v>4692</v>
      </c>
      <c r="B659" t="s">
        <v>4693</v>
      </c>
      <c r="C659" t="s">
        <v>4694</v>
      </c>
      <c r="D659" t="s">
        <v>4621</v>
      </c>
      <c r="E659" t="s">
        <v>4695</v>
      </c>
      <c r="F659" t="s">
        <v>4659</v>
      </c>
      <c r="G659">
        <v>210</v>
      </c>
      <c r="H659">
        <v>500</v>
      </c>
      <c r="I659" s="5" t="s">
        <v>4696</v>
      </c>
      <c r="J659" s="5" t="s">
        <v>4697</v>
      </c>
      <c r="K659" s="5" t="str">
        <f t="shared" si="20"/>
        <v>https://www.google.com/maps?q=-11.910287, -41.744827</v>
      </c>
      <c r="L659" s="5" t="str">
        <f t="shared" si="21"/>
        <v>Abrir no Maps</v>
      </c>
      <c r="M659" t="s">
        <v>4698</v>
      </c>
      <c r="N659" s="5"/>
      <c r="O659" t="str">
        <f>VLOOKUP(G659,'[1]CONFIG.'!$B:$C,2,0)</f>
        <v>SILAS</v>
      </c>
      <c r="P659" t="str">
        <f>VLOOKUP(O659,'[1]CONFIG.'!$C:$D,2,0)</f>
        <v>74 98041875</v>
      </c>
    </row>
    <row r="660" spans="1:16" x14ac:dyDescent="0.3">
      <c r="A660" t="s">
        <v>4699</v>
      </c>
      <c r="B660" t="s">
        <v>4700</v>
      </c>
      <c r="C660" t="s">
        <v>4701</v>
      </c>
      <c r="D660" t="s">
        <v>4621</v>
      </c>
      <c r="E660" t="s">
        <v>4702</v>
      </c>
      <c r="F660" t="s">
        <v>4703</v>
      </c>
      <c r="G660">
        <v>210</v>
      </c>
      <c r="H660">
        <v>500</v>
      </c>
      <c r="I660" s="5" t="s">
        <v>4704</v>
      </c>
      <c r="J660" s="5" t="s">
        <v>4705</v>
      </c>
      <c r="K660" s="5" t="str">
        <f t="shared" si="20"/>
        <v>https://www.google.com/maps?q=-11.884875, -41.771570</v>
      </c>
      <c r="L660" s="5" t="str">
        <f t="shared" si="21"/>
        <v>Abrir no Maps</v>
      </c>
      <c r="M660" t="s">
        <v>4706</v>
      </c>
      <c r="N660" s="5"/>
      <c r="O660" t="str">
        <f>VLOOKUP(G660,'[1]CONFIG.'!$B:$C,2,0)</f>
        <v>SILAS</v>
      </c>
      <c r="P660" t="str">
        <f>VLOOKUP(O660,'[1]CONFIG.'!$C:$D,2,0)</f>
        <v>74 98041875</v>
      </c>
    </row>
    <row r="661" spans="1:16" x14ac:dyDescent="0.3">
      <c r="A661" t="s">
        <v>4707</v>
      </c>
      <c r="B661" t="s">
        <v>4708</v>
      </c>
      <c r="C661" t="s">
        <v>4709</v>
      </c>
      <c r="D661" t="s">
        <v>4621</v>
      </c>
      <c r="E661" t="s">
        <v>4710</v>
      </c>
      <c r="F661" t="s">
        <v>137</v>
      </c>
      <c r="G661">
        <v>212</v>
      </c>
      <c r="H661">
        <v>200</v>
      </c>
      <c r="I661" s="5" t="s">
        <v>4711</v>
      </c>
      <c r="J661" s="5" t="s">
        <v>4712</v>
      </c>
      <c r="K661" s="5" t="str">
        <f t="shared" si="20"/>
        <v>https://www.google.com/maps?q=-11.762602, -41.913410</v>
      </c>
      <c r="L661" s="5" t="str">
        <f t="shared" si="21"/>
        <v>Abrir no Maps</v>
      </c>
      <c r="M661" t="s">
        <v>4713</v>
      </c>
      <c r="N661" s="5"/>
      <c r="O661" t="str">
        <f>VLOOKUP(G661,'[1]CONFIG.'!$B:$C,2,0)</f>
        <v>ANDRE</v>
      </c>
      <c r="P661" t="str">
        <f>VLOOKUP(O661,'[1]CONFIG.'!$C:$D,2,0)</f>
        <v>74 99916877</v>
      </c>
    </row>
    <row r="662" spans="1:16" x14ac:dyDescent="0.3">
      <c r="A662" t="s">
        <v>4714</v>
      </c>
      <c r="B662" t="s">
        <v>4715</v>
      </c>
      <c r="C662" t="s">
        <v>4716</v>
      </c>
      <c r="D662" t="s">
        <v>4621</v>
      </c>
      <c r="E662" t="s">
        <v>4717</v>
      </c>
      <c r="F662" t="s">
        <v>4718</v>
      </c>
      <c r="G662">
        <v>212</v>
      </c>
      <c r="H662">
        <v>200</v>
      </c>
      <c r="I662" s="5" t="s">
        <v>4719</v>
      </c>
      <c r="J662" s="5" t="s">
        <v>4720</v>
      </c>
      <c r="K662" s="5" t="str">
        <f t="shared" si="20"/>
        <v>https://www.google.com/maps?q=-11.874637, -41.887802</v>
      </c>
      <c r="L662" s="5" t="str">
        <f t="shared" si="21"/>
        <v>Abrir no Maps</v>
      </c>
      <c r="M662" t="s">
        <v>4721</v>
      </c>
      <c r="N662" s="5"/>
      <c r="O662" t="str">
        <f>VLOOKUP(G662,'[1]CONFIG.'!$B:$C,2,0)</f>
        <v>ANDRE</v>
      </c>
      <c r="P662" t="str">
        <f>VLOOKUP(O662,'[1]CONFIG.'!$C:$D,2,0)</f>
        <v>74 99916877</v>
      </c>
    </row>
    <row r="663" spans="1:16" x14ac:dyDescent="0.3">
      <c r="A663" t="s">
        <v>4722</v>
      </c>
      <c r="B663" t="s">
        <v>4723</v>
      </c>
      <c r="C663" t="s">
        <v>4724</v>
      </c>
      <c r="D663" t="s">
        <v>4621</v>
      </c>
      <c r="E663" t="s">
        <v>4725</v>
      </c>
      <c r="F663" t="s">
        <v>4726</v>
      </c>
      <c r="G663">
        <v>212</v>
      </c>
      <c r="H663">
        <v>200</v>
      </c>
      <c r="I663" s="5" t="s">
        <v>4727</v>
      </c>
      <c r="J663" s="5" t="s">
        <v>4728</v>
      </c>
      <c r="K663" s="5" t="str">
        <f t="shared" si="20"/>
        <v>https://www.google.com/maps?q=-11.806334, -41.961544</v>
      </c>
      <c r="L663" s="5" t="str">
        <f t="shared" si="21"/>
        <v>Abrir no Maps</v>
      </c>
      <c r="M663">
        <v>0</v>
      </c>
      <c r="N663" s="5"/>
      <c r="O663" t="str">
        <f>VLOOKUP(G663,'[1]CONFIG.'!$B:$C,2,0)</f>
        <v>ANDRE</v>
      </c>
      <c r="P663" t="str">
        <f>VLOOKUP(O663,'[1]CONFIG.'!$C:$D,2,0)</f>
        <v>74 99916877</v>
      </c>
    </row>
    <row r="664" spans="1:16" x14ac:dyDescent="0.3">
      <c r="A664" t="s">
        <v>4729</v>
      </c>
      <c r="B664" t="s">
        <v>4730</v>
      </c>
      <c r="C664" t="s">
        <v>4731</v>
      </c>
      <c r="D664" t="s">
        <v>4621</v>
      </c>
      <c r="E664" t="s">
        <v>4732</v>
      </c>
      <c r="F664" t="s">
        <v>4726</v>
      </c>
      <c r="G664">
        <v>212</v>
      </c>
      <c r="H664">
        <v>200</v>
      </c>
      <c r="I664" s="5" t="s">
        <v>4387</v>
      </c>
      <c r="J664" s="5" t="s">
        <v>4733</v>
      </c>
      <c r="K664" s="5" t="str">
        <f t="shared" si="20"/>
        <v>https://www.google.com/maps?q=-11.806474, -41.961563</v>
      </c>
      <c r="L664" s="5" t="str">
        <f t="shared" si="21"/>
        <v>Abrir no Maps</v>
      </c>
      <c r="M664" t="s">
        <v>4734</v>
      </c>
      <c r="N664" s="5"/>
      <c r="O664" t="str">
        <f>VLOOKUP(G664,'[1]CONFIG.'!$B:$C,2,0)</f>
        <v>ANDRE</v>
      </c>
      <c r="P664" t="str">
        <f>VLOOKUP(O664,'[1]CONFIG.'!$C:$D,2,0)</f>
        <v>74 99916877</v>
      </c>
    </row>
    <row r="665" spans="1:16" x14ac:dyDescent="0.3">
      <c r="A665" t="s">
        <v>4735</v>
      </c>
      <c r="B665" t="s">
        <v>4736</v>
      </c>
      <c r="C665" t="s">
        <v>4737</v>
      </c>
      <c r="D665" t="s">
        <v>4621</v>
      </c>
      <c r="E665" t="s">
        <v>4738</v>
      </c>
      <c r="F665" t="s">
        <v>137</v>
      </c>
      <c r="G665">
        <v>212</v>
      </c>
      <c r="H665">
        <v>200</v>
      </c>
      <c r="I665" s="5" t="s">
        <v>4739</v>
      </c>
      <c r="J665" s="5" t="s">
        <v>4740</v>
      </c>
      <c r="K665" s="5" t="str">
        <f t="shared" si="20"/>
        <v>https://www.google.com/maps?q=-11.759830, -41.908150</v>
      </c>
      <c r="L665" s="5" t="str">
        <f t="shared" si="21"/>
        <v>Abrir no Maps</v>
      </c>
      <c r="M665" t="s">
        <v>4741</v>
      </c>
      <c r="N665" s="5"/>
      <c r="O665" t="str">
        <f>VLOOKUP(G665,'[1]CONFIG.'!$B:$C,2,0)</f>
        <v>ANDRE</v>
      </c>
      <c r="P665" t="str">
        <f>VLOOKUP(O665,'[1]CONFIG.'!$C:$D,2,0)</f>
        <v>74 99916877</v>
      </c>
    </row>
    <row r="666" spans="1:16" x14ac:dyDescent="0.3">
      <c r="A666" t="s">
        <v>4742</v>
      </c>
      <c r="B666" t="s">
        <v>4743</v>
      </c>
      <c r="C666" t="s">
        <v>4744</v>
      </c>
      <c r="D666" t="s">
        <v>4621</v>
      </c>
      <c r="E666" t="s">
        <v>4745</v>
      </c>
      <c r="F666" t="s">
        <v>137</v>
      </c>
      <c r="G666">
        <v>212</v>
      </c>
      <c r="H666">
        <v>200</v>
      </c>
      <c r="I666" s="5" t="s">
        <v>4746</v>
      </c>
      <c r="J666" s="5" t="s">
        <v>4747</v>
      </c>
      <c r="K666" s="5" t="str">
        <f t="shared" si="20"/>
        <v>https://www.google.com/maps?q=-11.764152, -41.906090</v>
      </c>
      <c r="L666" s="5" t="str">
        <f t="shared" si="21"/>
        <v>Abrir no Maps</v>
      </c>
      <c r="M666" t="s">
        <v>4748</v>
      </c>
      <c r="N666" s="5"/>
      <c r="O666" t="str">
        <f>VLOOKUP(G666,'[1]CONFIG.'!$B:$C,2,0)</f>
        <v>ANDRE</v>
      </c>
      <c r="P666" t="str">
        <f>VLOOKUP(O666,'[1]CONFIG.'!$C:$D,2,0)</f>
        <v>74 99916877</v>
      </c>
    </row>
    <row r="667" spans="1:16" x14ac:dyDescent="0.3">
      <c r="A667" t="s">
        <v>4749</v>
      </c>
      <c r="B667" t="s">
        <v>4750</v>
      </c>
      <c r="C667" t="s">
        <v>4751</v>
      </c>
      <c r="D667" t="s">
        <v>4621</v>
      </c>
      <c r="E667" t="s">
        <v>4752</v>
      </c>
      <c r="F667" t="s">
        <v>4753</v>
      </c>
      <c r="G667">
        <v>210</v>
      </c>
      <c r="H667">
        <v>500</v>
      </c>
      <c r="I667" s="5" t="s">
        <v>4754</v>
      </c>
      <c r="J667" s="5" t="s">
        <v>4755</v>
      </c>
      <c r="K667" s="5" t="str">
        <f t="shared" si="20"/>
        <v>https://www.google.com/maps?q=-11.898785, -41.746716</v>
      </c>
      <c r="L667" s="5" t="str">
        <f t="shared" si="21"/>
        <v>Abrir no Maps</v>
      </c>
      <c r="M667" t="s">
        <v>4756</v>
      </c>
      <c r="N667" s="5"/>
      <c r="O667" t="str">
        <f>VLOOKUP(G667,'[1]CONFIG.'!$B:$C,2,0)</f>
        <v>SILAS</v>
      </c>
      <c r="P667" t="str">
        <f>VLOOKUP(O667,'[1]CONFIG.'!$C:$D,2,0)</f>
        <v>74 98041875</v>
      </c>
    </row>
    <row r="668" spans="1:16" x14ac:dyDescent="0.3">
      <c r="A668" t="s">
        <v>4757</v>
      </c>
      <c r="B668" t="s">
        <v>4758</v>
      </c>
      <c r="C668" t="s">
        <v>4759</v>
      </c>
      <c r="D668" t="s">
        <v>4621</v>
      </c>
      <c r="E668" t="s">
        <v>4760</v>
      </c>
      <c r="F668" t="s">
        <v>4659</v>
      </c>
      <c r="G668">
        <v>210</v>
      </c>
      <c r="H668">
        <v>500</v>
      </c>
      <c r="I668" s="5" t="s">
        <v>4761</v>
      </c>
      <c r="J668" s="5" t="s">
        <v>4762</v>
      </c>
      <c r="K668" s="5" t="str">
        <f t="shared" si="20"/>
        <v>https://www.google.com/maps?q=-11.914230, -41.745700</v>
      </c>
      <c r="L668" s="5" t="str">
        <f t="shared" si="21"/>
        <v>Abrir no Maps</v>
      </c>
      <c r="M668" t="s">
        <v>4763</v>
      </c>
      <c r="N668" s="5"/>
      <c r="O668" t="str">
        <f>VLOOKUP(G668,'[1]CONFIG.'!$B:$C,2,0)</f>
        <v>SILAS</v>
      </c>
      <c r="P668" t="str">
        <f>VLOOKUP(O668,'[1]CONFIG.'!$C:$D,2,0)</f>
        <v>74 98041875</v>
      </c>
    </row>
    <row r="669" spans="1:16" x14ac:dyDescent="0.3">
      <c r="A669" t="s">
        <v>4764</v>
      </c>
      <c r="B669" t="s">
        <v>4765</v>
      </c>
      <c r="C669" t="s">
        <v>4766</v>
      </c>
      <c r="D669" t="s">
        <v>4621</v>
      </c>
      <c r="E669" t="s">
        <v>4767</v>
      </c>
      <c r="F669" t="s">
        <v>137</v>
      </c>
      <c r="G669">
        <v>212</v>
      </c>
      <c r="H669">
        <v>200</v>
      </c>
      <c r="I669" s="5" t="s">
        <v>4768</v>
      </c>
      <c r="J669" s="5" t="s">
        <v>4769</v>
      </c>
      <c r="K669" s="5" t="str">
        <f t="shared" si="20"/>
        <v>https://www.google.com/maps?q=-11.764665, -41.903750</v>
      </c>
      <c r="L669" s="5" t="str">
        <f t="shared" si="21"/>
        <v>Abrir no Maps</v>
      </c>
      <c r="M669" t="s">
        <v>4770</v>
      </c>
      <c r="N669" s="5"/>
      <c r="O669" t="str">
        <f>VLOOKUP(G669,'[1]CONFIG.'!$B:$C,2,0)</f>
        <v>ANDRE</v>
      </c>
      <c r="P669" t="str">
        <f>VLOOKUP(O669,'[1]CONFIG.'!$C:$D,2,0)</f>
        <v>74 99916877</v>
      </c>
    </row>
    <row r="670" spans="1:16" x14ac:dyDescent="0.3">
      <c r="A670" t="s">
        <v>4771</v>
      </c>
      <c r="B670" t="s">
        <v>4772</v>
      </c>
      <c r="C670" t="s">
        <v>4773</v>
      </c>
      <c r="D670" t="s">
        <v>4621</v>
      </c>
      <c r="E670" t="s">
        <v>4774</v>
      </c>
      <c r="F670" t="s">
        <v>4659</v>
      </c>
      <c r="G670">
        <v>210</v>
      </c>
      <c r="H670">
        <v>500</v>
      </c>
      <c r="I670" s="5" t="s">
        <v>4775</v>
      </c>
      <c r="J670" s="5" t="s">
        <v>4776</v>
      </c>
      <c r="K670" s="5" t="str">
        <f t="shared" si="20"/>
        <v>https://www.google.com/maps?q=-11.909431, -41.745170</v>
      </c>
      <c r="L670" s="5" t="str">
        <f t="shared" si="21"/>
        <v>Abrir no Maps</v>
      </c>
      <c r="M670" t="s">
        <v>4777</v>
      </c>
      <c r="N670" s="5"/>
      <c r="O670" t="str">
        <f>VLOOKUP(G670,'[1]CONFIG.'!$B:$C,2,0)</f>
        <v>SILAS</v>
      </c>
      <c r="P670" t="str">
        <f>VLOOKUP(O670,'[1]CONFIG.'!$C:$D,2,0)</f>
        <v>74 98041875</v>
      </c>
    </row>
    <row r="671" spans="1:16" x14ac:dyDescent="0.3">
      <c r="A671" t="s">
        <v>4778</v>
      </c>
      <c r="B671" t="s">
        <v>4779</v>
      </c>
      <c r="C671" t="s">
        <v>4780</v>
      </c>
      <c r="D671" t="s">
        <v>4621</v>
      </c>
      <c r="E671" t="s">
        <v>4781</v>
      </c>
      <c r="F671" t="s">
        <v>4782</v>
      </c>
      <c r="G671">
        <v>210</v>
      </c>
      <c r="H671">
        <v>500</v>
      </c>
      <c r="I671" s="5" t="s">
        <v>4783</v>
      </c>
      <c r="J671" s="5" t="s">
        <v>4784</v>
      </c>
      <c r="K671" s="5" t="str">
        <f t="shared" si="20"/>
        <v>https://www.google.com/maps?q=-11.910277, -41.744720</v>
      </c>
      <c r="L671" s="5" t="str">
        <f t="shared" si="21"/>
        <v>Abrir no Maps</v>
      </c>
      <c r="M671" t="s">
        <v>4785</v>
      </c>
      <c r="N671" s="5"/>
      <c r="O671" t="str">
        <f>VLOOKUP(G671,'[1]CONFIG.'!$B:$C,2,0)</f>
        <v>SILAS</v>
      </c>
      <c r="P671" t="str">
        <f>VLOOKUP(O671,'[1]CONFIG.'!$C:$D,2,0)</f>
        <v>74 98041875</v>
      </c>
    </row>
    <row r="672" spans="1:16" x14ac:dyDescent="0.3">
      <c r="A672" t="s">
        <v>4786</v>
      </c>
      <c r="B672" t="s">
        <v>4787</v>
      </c>
      <c r="C672" t="s">
        <v>4788</v>
      </c>
      <c r="D672" t="s">
        <v>4621</v>
      </c>
      <c r="E672" t="s">
        <v>4789</v>
      </c>
      <c r="F672" t="s">
        <v>4790</v>
      </c>
      <c r="G672">
        <v>210</v>
      </c>
      <c r="H672">
        <v>500</v>
      </c>
      <c r="I672" s="5" t="s">
        <v>4791</v>
      </c>
      <c r="J672" s="5" t="s">
        <v>4792</v>
      </c>
      <c r="K672" s="5" t="str">
        <f t="shared" si="20"/>
        <v>https://www.google.com/maps?q=-11.910244, -41.746060</v>
      </c>
      <c r="L672" s="5" t="str">
        <f t="shared" si="21"/>
        <v>Abrir no Maps</v>
      </c>
      <c r="M672" t="s">
        <v>4793</v>
      </c>
      <c r="N672" s="5"/>
      <c r="O672" t="str">
        <f>VLOOKUP(G672,'[1]CONFIG.'!$B:$C,2,0)</f>
        <v>SILAS</v>
      </c>
      <c r="P672" t="str">
        <f>VLOOKUP(O672,'[1]CONFIG.'!$C:$D,2,0)</f>
        <v>74 98041875</v>
      </c>
    </row>
    <row r="673" spans="1:16" x14ac:dyDescent="0.3">
      <c r="A673" t="s">
        <v>4794</v>
      </c>
      <c r="B673" t="s">
        <v>4795</v>
      </c>
      <c r="C673" t="s">
        <v>4796</v>
      </c>
      <c r="D673" t="s">
        <v>4621</v>
      </c>
      <c r="E673" t="s">
        <v>4797</v>
      </c>
      <c r="F673" t="s">
        <v>4753</v>
      </c>
      <c r="G673">
        <v>210</v>
      </c>
      <c r="H673">
        <v>500</v>
      </c>
      <c r="I673" s="5" t="s">
        <v>4798</v>
      </c>
      <c r="J673" s="5" t="s">
        <v>4799</v>
      </c>
      <c r="K673" s="5" t="str">
        <f t="shared" si="20"/>
        <v>https://www.google.com/maps?q=-11.894722, -41.746944</v>
      </c>
      <c r="L673" s="5" t="str">
        <f t="shared" si="21"/>
        <v>Abrir no Maps</v>
      </c>
      <c r="M673" t="s">
        <v>4800</v>
      </c>
      <c r="N673" s="5"/>
      <c r="O673" t="str">
        <f>VLOOKUP(G673,'[1]CONFIG.'!$B:$C,2,0)</f>
        <v>SILAS</v>
      </c>
      <c r="P673" t="str">
        <f>VLOOKUP(O673,'[1]CONFIG.'!$C:$D,2,0)</f>
        <v>74 98041875</v>
      </c>
    </row>
    <row r="674" spans="1:16" x14ac:dyDescent="0.3">
      <c r="A674" t="s">
        <v>4801</v>
      </c>
      <c r="B674" t="s">
        <v>4802</v>
      </c>
      <c r="C674" t="s">
        <v>4803</v>
      </c>
      <c r="D674" t="s">
        <v>4621</v>
      </c>
      <c r="E674" t="s">
        <v>4804</v>
      </c>
      <c r="F674" t="s">
        <v>4674</v>
      </c>
      <c r="G674">
        <v>212</v>
      </c>
      <c r="H674">
        <v>200</v>
      </c>
      <c r="I674" s="5" t="s">
        <v>4805</v>
      </c>
      <c r="J674" s="5" t="s">
        <v>4806</v>
      </c>
      <c r="K674" s="5" t="str">
        <f t="shared" si="20"/>
        <v>https://www.google.com/maps?q=-11.745862, -41.825638</v>
      </c>
      <c r="L674" s="5" t="str">
        <f t="shared" si="21"/>
        <v>Abrir no Maps</v>
      </c>
      <c r="M674" t="s">
        <v>4807</v>
      </c>
      <c r="N674" s="5"/>
      <c r="O674" t="str">
        <f>VLOOKUP(G674,'[1]CONFIG.'!$B:$C,2,0)</f>
        <v>ANDRE</v>
      </c>
      <c r="P674" t="str">
        <f>VLOOKUP(O674,'[1]CONFIG.'!$C:$D,2,0)</f>
        <v>74 99916877</v>
      </c>
    </row>
    <row r="675" spans="1:16" x14ac:dyDescent="0.3">
      <c r="A675" t="s">
        <v>4808</v>
      </c>
      <c r="B675" t="s">
        <v>4809</v>
      </c>
      <c r="C675" t="s">
        <v>4810</v>
      </c>
      <c r="D675" t="s">
        <v>4621</v>
      </c>
      <c r="E675" t="s">
        <v>4811</v>
      </c>
      <c r="F675" t="s">
        <v>4674</v>
      </c>
      <c r="G675">
        <v>212</v>
      </c>
      <c r="H675">
        <v>200</v>
      </c>
      <c r="I675" s="5" t="s">
        <v>4812</v>
      </c>
      <c r="J675" s="5" t="s">
        <v>4813</v>
      </c>
      <c r="K675" s="5" t="str">
        <f t="shared" si="20"/>
        <v>https://www.google.com/maps?q=-11.747834, -41.825930</v>
      </c>
      <c r="L675" s="5" t="str">
        <f t="shared" si="21"/>
        <v>Abrir no Maps</v>
      </c>
      <c r="M675" t="s">
        <v>4814</v>
      </c>
      <c r="N675" s="5"/>
      <c r="O675" t="str">
        <f>VLOOKUP(G675,'[1]CONFIG.'!$B:$C,2,0)</f>
        <v>ANDRE</v>
      </c>
      <c r="P675" t="str">
        <f>VLOOKUP(O675,'[1]CONFIG.'!$C:$D,2,0)</f>
        <v>74 99916877</v>
      </c>
    </row>
    <row r="676" spans="1:16" x14ac:dyDescent="0.3">
      <c r="A676" t="s">
        <v>4815</v>
      </c>
      <c r="B676" t="s">
        <v>4816</v>
      </c>
      <c r="C676" t="s">
        <v>4817</v>
      </c>
      <c r="D676" t="s">
        <v>4621</v>
      </c>
      <c r="E676" t="s">
        <v>4818</v>
      </c>
      <c r="F676" t="s">
        <v>137</v>
      </c>
      <c r="G676">
        <v>212</v>
      </c>
      <c r="H676">
        <v>200</v>
      </c>
      <c r="I676" s="5" t="s">
        <v>4819</v>
      </c>
      <c r="J676" s="5" t="s">
        <v>4820</v>
      </c>
      <c r="K676" s="5" t="str">
        <f t="shared" si="20"/>
        <v>https://www.google.com/maps?q=-11.762853, -41.910206</v>
      </c>
      <c r="L676" s="5" t="str">
        <f t="shared" si="21"/>
        <v>Abrir no Maps</v>
      </c>
      <c r="M676" t="s">
        <v>4821</v>
      </c>
      <c r="N676" s="5"/>
      <c r="O676" t="str">
        <f>VLOOKUP(G676,'[1]CONFIG.'!$B:$C,2,0)</f>
        <v>ANDRE</v>
      </c>
      <c r="P676" t="str">
        <f>VLOOKUP(O676,'[1]CONFIG.'!$C:$D,2,0)</f>
        <v>74 99916877</v>
      </c>
    </row>
    <row r="677" spans="1:16" x14ac:dyDescent="0.3">
      <c r="A677" t="s">
        <v>4822</v>
      </c>
      <c r="B677" t="s">
        <v>4823</v>
      </c>
      <c r="C677" t="s">
        <v>4824</v>
      </c>
      <c r="D677" t="s">
        <v>4621</v>
      </c>
      <c r="E677" t="s">
        <v>4825</v>
      </c>
      <c r="F677" t="s">
        <v>202</v>
      </c>
      <c r="G677">
        <v>212</v>
      </c>
      <c r="H677">
        <v>200</v>
      </c>
      <c r="I677" s="5" t="s">
        <v>4826</v>
      </c>
      <c r="J677" s="5" t="s">
        <v>4827</v>
      </c>
      <c r="K677" s="5" t="str">
        <f t="shared" si="20"/>
        <v>https://www.google.com/maps?q=-11.759132, -41.907635</v>
      </c>
      <c r="L677" s="5" t="str">
        <f t="shared" si="21"/>
        <v>Abrir no Maps</v>
      </c>
      <c r="M677" t="s">
        <v>4828</v>
      </c>
      <c r="N677" s="5"/>
      <c r="O677" t="str">
        <f>VLOOKUP(G677,'[1]CONFIG.'!$B:$C,2,0)</f>
        <v>ANDRE</v>
      </c>
      <c r="P677" t="str">
        <f>VLOOKUP(O677,'[1]CONFIG.'!$C:$D,2,0)</f>
        <v>74 99916877</v>
      </c>
    </row>
    <row r="678" spans="1:16" x14ac:dyDescent="0.3">
      <c r="A678" t="s">
        <v>4829</v>
      </c>
      <c r="B678" t="s">
        <v>4830</v>
      </c>
      <c r="C678" t="s">
        <v>4831</v>
      </c>
      <c r="D678" t="s">
        <v>4621</v>
      </c>
      <c r="E678" t="s">
        <v>4832</v>
      </c>
      <c r="F678" t="s">
        <v>4782</v>
      </c>
      <c r="G678">
        <v>210</v>
      </c>
      <c r="H678">
        <v>500</v>
      </c>
      <c r="I678" s="5" t="s">
        <v>4833</v>
      </c>
      <c r="J678" s="5" t="s">
        <v>4834</v>
      </c>
      <c r="K678" s="5" t="str">
        <f t="shared" si="20"/>
        <v>https://www.google.com/maps?q=-11.910227, -41.746105</v>
      </c>
      <c r="L678" s="5" t="str">
        <f t="shared" si="21"/>
        <v>Abrir no Maps</v>
      </c>
      <c r="M678" t="s">
        <v>4835</v>
      </c>
      <c r="N678" s="5"/>
      <c r="O678" t="str">
        <f>VLOOKUP(G678,'[1]CONFIG.'!$B:$C,2,0)</f>
        <v>SILAS</v>
      </c>
      <c r="P678" t="str">
        <f>VLOOKUP(O678,'[1]CONFIG.'!$C:$D,2,0)</f>
        <v>74 98041875</v>
      </c>
    </row>
    <row r="679" spans="1:16" x14ac:dyDescent="0.3">
      <c r="A679" t="s">
        <v>4836</v>
      </c>
      <c r="B679" t="s">
        <v>4837</v>
      </c>
      <c r="C679" t="s">
        <v>4838</v>
      </c>
      <c r="D679" t="s">
        <v>4621</v>
      </c>
      <c r="E679" t="s">
        <v>4839</v>
      </c>
      <c r="F679" t="s">
        <v>137</v>
      </c>
      <c r="G679">
        <v>212</v>
      </c>
      <c r="H679">
        <v>200</v>
      </c>
      <c r="I679" s="5" t="s">
        <v>4840</v>
      </c>
      <c r="J679" s="5" t="s">
        <v>4841</v>
      </c>
      <c r="K679" s="5" t="str">
        <f t="shared" si="20"/>
        <v>https://www.google.com/maps?q=-11.762427, -41.911920</v>
      </c>
      <c r="L679" s="5" t="str">
        <f t="shared" si="21"/>
        <v>Abrir no Maps</v>
      </c>
      <c r="M679" t="s">
        <v>4842</v>
      </c>
      <c r="N679" s="5"/>
      <c r="O679" t="str">
        <f>VLOOKUP(G679,'[1]CONFIG.'!$B:$C,2,0)</f>
        <v>ANDRE</v>
      </c>
      <c r="P679" t="str">
        <f>VLOOKUP(O679,'[1]CONFIG.'!$C:$D,2,0)</f>
        <v>74 99916877</v>
      </c>
    </row>
    <row r="680" spans="1:16" x14ac:dyDescent="0.3">
      <c r="A680" t="s">
        <v>4843</v>
      </c>
      <c r="B680" t="s">
        <v>4844</v>
      </c>
      <c r="C680" t="s">
        <v>4845</v>
      </c>
      <c r="D680" t="s">
        <v>4621</v>
      </c>
      <c r="E680" t="s">
        <v>4846</v>
      </c>
      <c r="F680" t="s">
        <v>137</v>
      </c>
      <c r="G680">
        <v>212</v>
      </c>
      <c r="H680">
        <v>200</v>
      </c>
      <c r="I680" s="5" t="s">
        <v>4847</v>
      </c>
      <c r="J680" s="5" t="s">
        <v>4848</v>
      </c>
      <c r="K680" s="5" t="str">
        <f t="shared" si="20"/>
        <v>https://www.google.com/maps?q=-11.762992, -41.908770</v>
      </c>
      <c r="L680" s="5" t="str">
        <f t="shared" si="21"/>
        <v>Abrir no Maps</v>
      </c>
      <c r="M680" t="s">
        <v>4849</v>
      </c>
      <c r="N680" s="5"/>
      <c r="O680" t="str">
        <f>VLOOKUP(G680,'[1]CONFIG.'!$B:$C,2,0)</f>
        <v>ANDRE</v>
      </c>
      <c r="P680" t="str">
        <f>VLOOKUP(O680,'[1]CONFIG.'!$C:$D,2,0)</f>
        <v>74 99916877</v>
      </c>
    </row>
    <row r="681" spans="1:16" x14ac:dyDescent="0.3">
      <c r="A681" t="s">
        <v>4850</v>
      </c>
      <c r="B681" t="s">
        <v>4851</v>
      </c>
      <c r="C681" t="s">
        <v>4852</v>
      </c>
      <c r="D681" t="s">
        <v>4621</v>
      </c>
      <c r="E681" t="s">
        <v>4853</v>
      </c>
      <c r="F681" t="s">
        <v>137</v>
      </c>
      <c r="G681">
        <v>212</v>
      </c>
      <c r="H681">
        <v>200</v>
      </c>
      <c r="I681" s="5" t="s">
        <v>4854</v>
      </c>
      <c r="J681" s="5" t="s">
        <v>4855</v>
      </c>
      <c r="K681" s="5" t="str">
        <f t="shared" si="20"/>
        <v>https://www.google.com/maps?q=-11.762584, -41.911370</v>
      </c>
      <c r="L681" s="5" t="str">
        <f t="shared" si="21"/>
        <v>Abrir no Maps</v>
      </c>
      <c r="M681" t="s">
        <v>4856</v>
      </c>
      <c r="N681" s="5"/>
      <c r="O681" t="str">
        <f>VLOOKUP(G681,'[1]CONFIG.'!$B:$C,2,0)</f>
        <v>ANDRE</v>
      </c>
      <c r="P681" t="str">
        <f>VLOOKUP(O681,'[1]CONFIG.'!$C:$D,2,0)</f>
        <v>74 99916877</v>
      </c>
    </row>
    <row r="682" spans="1:16" x14ac:dyDescent="0.3">
      <c r="A682" t="s">
        <v>4857</v>
      </c>
      <c r="B682" t="s">
        <v>4858</v>
      </c>
      <c r="C682" t="s">
        <v>4859</v>
      </c>
      <c r="D682" t="s">
        <v>4621</v>
      </c>
      <c r="E682" t="s">
        <v>4860</v>
      </c>
      <c r="F682" t="s">
        <v>137</v>
      </c>
      <c r="G682">
        <v>212</v>
      </c>
      <c r="H682">
        <v>200</v>
      </c>
      <c r="I682" s="5" t="s">
        <v>4861</v>
      </c>
      <c r="J682" s="5" t="s">
        <v>4862</v>
      </c>
      <c r="K682" s="5" t="str">
        <f t="shared" si="20"/>
        <v>https://www.google.com/maps?q=-11.762993, -41.909737</v>
      </c>
      <c r="L682" s="5" t="str">
        <f t="shared" si="21"/>
        <v>Abrir no Maps</v>
      </c>
      <c r="M682" t="s">
        <v>4863</v>
      </c>
      <c r="N682" s="5"/>
      <c r="O682" t="str">
        <f>VLOOKUP(G682,'[1]CONFIG.'!$B:$C,2,0)</f>
        <v>ANDRE</v>
      </c>
      <c r="P682" t="str">
        <f>VLOOKUP(O682,'[1]CONFIG.'!$C:$D,2,0)</f>
        <v>74 99916877</v>
      </c>
    </row>
    <row r="683" spans="1:16" x14ac:dyDescent="0.3">
      <c r="A683" t="s">
        <v>4864</v>
      </c>
      <c r="B683" t="s">
        <v>4865</v>
      </c>
      <c r="C683" t="s">
        <v>4866</v>
      </c>
      <c r="D683" t="s">
        <v>4621</v>
      </c>
      <c r="E683" t="s">
        <v>4867</v>
      </c>
      <c r="F683" t="s">
        <v>4868</v>
      </c>
      <c r="G683">
        <v>210</v>
      </c>
      <c r="H683">
        <v>500</v>
      </c>
      <c r="I683" s="5" t="s">
        <v>4869</v>
      </c>
      <c r="J683" s="5" t="s">
        <v>4870</v>
      </c>
      <c r="K683" s="5" t="str">
        <f t="shared" si="20"/>
        <v>https://www.google.com/maps?q=-11.910094, -41.745472</v>
      </c>
      <c r="L683" s="5" t="str">
        <f t="shared" si="21"/>
        <v>Abrir no Maps</v>
      </c>
      <c r="M683" t="s">
        <v>4871</v>
      </c>
      <c r="N683" s="5"/>
      <c r="O683" t="str">
        <f>VLOOKUP(G683,'[1]CONFIG.'!$B:$C,2,0)</f>
        <v>SILAS</v>
      </c>
      <c r="P683" t="str">
        <f>VLOOKUP(O683,'[1]CONFIG.'!$C:$D,2,0)</f>
        <v>74 98041875</v>
      </c>
    </row>
    <row r="684" spans="1:16" x14ac:dyDescent="0.3">
      <c r="A684" t="s">
        <v>4872</v>
      </c>
      <c r="B684" t="s">
        <v>4873</v>
      </c>
      <c r="C684" t="s">
        <v>4874</v>
      </c>
      <c r="D684" t="s">
        <v>4621</v>
      </c>
      <c r="E684" t="s">
        <v>4875</v>
      </c>
      <c r="F684" t="s">
        <v>4876</v>
      </c>
      <c r="G684">
        <v>212</v>
      </c>
      <c r="H684">
        <v>200</v>
      </c>
      <c r="I684" s="5" t="s">
        <v>4877</v>
      </c>
      <c r="J684" s="5" t="s">
        <v>4878</v>
      </c>
      <c r="K684" s="5" t="str">
        <f t="shared" si="20"/>
        <v>https://www.google.com/maps?q=-11.874063, -41.887733</v>
      </c>
      <c r="L684" s="5" t="str">
        <f t="shared" si="21"/>
        <v>Abrir no Maps</v>
      </c>
      <c r="M684" t="s">
        <v>4879</v>
      </c>
      <c r="N684" s="5"/>
      <c r="O684" t="str">
        <f>VLOOKUP(G684,'[1]CONFIG.'!$B:$C,2,0)</f>
        <v>ANDRE</v>
      </c>
      <c r="P684" t="str">
        <f>VLOOKUP(O684,'[1]CONFIG.'!$C:$D,2,0)</f>
        <v>74 99916877</v>
      </c>
    </row>
    <row r="685" spans="1:16" x14ac:dyDescent="0.3">
      <c r="A685" t="s">
        <v>4880</v>
      </c>
      <c r="B685" t="s">
        <v>4881</v>
      </c>
      <c r="C685" t="s">
        <v>4882</v>
      </c>
      <c r="D685" t="s">
        <v>4621</v>
      </c>
      <c r="E685" t="s">
        <v>4883</v>
      </c>
      <c r="F685" t="s">
        <v>137</v>
      </c>
      <c r="G685">
        <v>212</v>
      </c>
      <c r="H685">
        <v>200</v>
      </c>
      <c r="I685" s="5" t="s">
        <v>4623</v>
      </c>
      <c r="J685" s="5" t="s">
        <v>4884</v>
      </c>
      <c r="K685" s="5" t="str">
        <f t="shared" si="20"/>
        <v>https://www.google.com/maps?q=-11.763128, -41.909130</v>
      </c>
      <c r="L685" s="5" t="str">
        <f t="shared" si="21"/>
        <v>Abrir no Maps</v>
      </c>
      <c r="M685" t="s">
        <v>4885</v>
      </c>
      <c r="N685" s="5"/>
      <c r="O685" t="str">
        <f>VLOOKUP(G685,'[1]CONFIG.'!$B:$C,2,0)</f>
        <v>ANDRE</v>
      </c>
      <c r="P685" t="str">
        <f>VLOOKUP(O685,'[1]CONFIG.'!$C:$D,2,0)</f>
        <v>74 99916877</v>
      </c>
    </row>
    <row r="686" spans="1:16" x14ac:dyDescent="0.3">
      <c r="A686" t="s">
        <v>4886</v>
      </c>
      <c r="B686" t="s">
        <v>4887</v>
      </c>
      <c r="C686" t="s">
        <v>4888</v>
      </c>
      <c r="D686" t="s">
        <v>4621</v>
      </c>
      <c r="E686" t="s">
        <v>4889</v>
      </c>
      <c r="F686" t="s">
        <v>137</v>
      </c>
      <c r="G686">
        <v>212</v>
      </c>
      <c r="H686">
        <v>200</v>
      </c>
      <c r="I686" s="5" t="s">
        <v>4890</v>
      </c>
      <c r="J686" s="5" t="s">
        <v>4891</v>
      </c>
      <c r="K686" s="5" t="str">
        <f t="shared" si="20"/>
        <v>https://www.google.com/maps?q=-11.762493, -41.911950</v>
      </c>
      <c r="L686" s="5" t="str">
        <f t="shared" si="21"/>
        <v>Abrir no Maps</v>
      </c>
      <c r="M686" t="s">
        <v>4892</v>
      </c>
      <c r="N686" s="5"/>
      <c r="O686" t="str">
        <f>VLOOKUP(G686,'[1]CONFIG.'!$B:$C,2,0)</f>
        <v>ANDRE</v>
      </c>
      <c r="P686" t="str">
        <f>VLOOKUP(O686,'[1]CONFIG.'!$C:$D,2,0)</f>
        <v>74 99916877</v>
      </c>
    </row>
    <row r="687" spans="1:16" x14ac:dyDescent="0.3">
      <c r="A687" t="s">
        <v>4893</v>
      </c>
      <c r="B687" t="s">
        <v>4894</v>
      </c>
      <c r="C687" t="s">
        <v>4895</v>
      </c>
      <c r="D687" t="s">
        <v>4621</v>
      </c>
      <c r="E687" t="s">
        <v>4896</v>
      </c>
      <c r="F687" t="s">
        <v>137</v>
      </c>
      <c r="G687">
        <v>212</v>
      </c>
      <c r="H687">
        <v>200</v>
      </c>
      <c r="I687" s="5" t="s">
        <v>4897</v>
      </c>
      <c r="J687" s="5" t="s">
        <v>4898</v>
      </c>
      <c r="K687" s="5" t="str">
        <f t="shared" si="20"/>
        <v>https://www.google.com/maps?q=-11.761718, -41.910706</v>
      </c>
      <c r="L687" s="5" t="str">
        <f t="shared" si="21"/>
        <v>Abrir no Maps</v>
      </c>
      <c r="M687" t="s">
        <v>4899</v>
      </c>
      <c r="N687" s="5"/>
      <c r="O687" t="str">
        <f>VLOOKUP(G687,'[1]CONFIG.'!$B:$C,2,0)</f>
        <v>ANDRE</v>
      </c>
      <c r="P687" t="str">
        <f>VLOOKUP(O687,'[1]CONFIG.'!$C:$D,2,0)</f>
        <v>74 99916877</v>
      </c>
    </row>
    <row r="688" spans="1:16" x14ac:dyDescent="0.3">
      <c r="A688" t="s">
        <v>4900</v>
      </c>
      <c r="B688" t="s">
        <v>4901</v>
      </c>
      <c r="C688" t="s">
        <v>4902</v>
      </c>
      <c r="D688" t="s">
        <v>4621</v>
      </c>
      <c r="E688" t="s">
        <v>4903</v>
      </c>
      <c r="F688" t="s">
        <v>137</v>
      </c>
      <c r="G688">
        <v>212</v>
      </c>
      <c r="H688">
        <v>200</v>
      </c>
      <c r="I688" s="5" t="s">
        <v>4904</v>
      </c>
      <c r="J688" s="5" t="s">
        <v>4905</v>
      </c>
      <c r="K688" s="5" t="str">
        <f t="shared" si="20"/>
        <v>https://www.google.com/maps?q=-11.762406, -41.911934</v>
      </c>
      <c r="L688" s="5" t="str">
        <f t="shared" si="21"/>
        <v>Abrir no Maps</v>
      </c>
      <c r="M688" t="s">
        <v>4906</v>
      </c>
      <c r="N688" s="5"/>
      <c r="O688" t="str">
        <f>VLOOKUP(G688,'[1]CONFIG.'!$B:$C,2,0)</f>
        <v>ANDRE</v>
      </c>
      <c r="P688" t="str">
        <f>VLOOKUP(O688,'[1]CONFIG.'!$C:$D,2,0)</f>
        <v>74 99916877</v>
      </c>
    </row>
    <row r="689" spans="1:16" x14ac:dyDescent="0.3">
      <c r="A689" t="s">
        <v>4907</v>
      </c>
      <c r="B689" t="s">
        <v>4908</v>
      </c>
      <c r="C689" t="s">
        <v>4909</v>
      </c>
      <c r="D689" t="s">
        <v>4621</v>
      </c>
      <c r="E689" t="s">
        <v>4910</v>
      </c>
      <c r="F689" t="s">
        <v>137</v>
      </c>
      <c r="G689">
        <v>212</v>
      </c>
      <c r="H689">
        <v>200</v>
      </c>
      <c r="I689" s="5" t="s">
        <v>4911</v>
      </c>
      <c r="J689" s="5" t="s">
        <v>4912</v>
      </c>
      <c r="K689" s="5" t="str">
        <f t="shared" si="20"/>
        <v>https://www.google.com/maps?q=-11.760229, -41.907190</v>
      </c>
      <c r="L689" s="5" t="str">
        <f t="shared" si="21"/>
        <v>Abrir no Maps</v>
      </c>
      <c r="M689" t="s">
        <v>4913</v>
      </c>
      <c r="N689" s="5"/>
      <c r="O689" t="str">
        <f>VLOOKUP(G689,'[1]CONFIG.'!$B:$C,2,0)</f>
        <v>ANDRE</v>
      </c>
      <c r="P689" t="str">
        <f>VLOOKUP(O689,'[1]CONFIG.'!$C:$D,2,0)</f>
        <v>74 99916877</v>
      </c>
    </row>
    <row r="690" spans="1:16" x14ac:dyDescent="0.3">
      <c r="A690" t="s">
        <v>4914</v>
      </c>
      <c r="B690" t="s">
        <v>4915</v>
      </c>
      <c r="C690" t="s">
        <v>4916</v>
      </c>
      <c r="D690" t="s">
        <v>4621</v>
      </c>
      <c r="E690" t="s">
        <v>4917</v>
      </c>
      <c r="F690" t="s">
        <v>4868</v>
      </c>
      <c r="G690">
        <v>210</v>
      </c>
      <c r="H690">
        <v>500</v>
      </c>
      <c r="I690" s="5" t="s">
        <v>4918</v>
      </c>
      <c r="J690" s="5" t="s">
        <v>4919</v>
      </c>
      <c r="K690" s="5" t="str">
        <f t="shared" si="20"/>
        <v>https://www.google.com/maps?q=-11.909493, -41.745926</v>
      </c>
      <c r="L690" s="5" t="str">
        <f t="shared" si="21"/>
        <v>Abrir no Maps</v>
      </c>
      <c r="M690" t="s">
        <v>4920</v>
      </c>
      <c r="N690" s="5"/>
      <c r="O690" t="str">
        <f>VLOOKUP(G690,'[1]CONFIG.'!$B:$C,2,0)</f>
        <v>SILAS</v>
      </c>
      <c r="P690" t="str">
        <f>VLOOKUP(O690,'[1]CONFIG.'!$C:$D,2,0)</f>
        <v>74 98041875</v>
      </c>
    </row>
    <row r="691" spans="1:16" x14ac:dyDescent="0.3">
      <c r="A691" t="s">
        <v>4921</v>
      </c>
      <c r="B691" t="s">
        <v>4922</v>
      </c>
      <c r="C691" t="s">
        <v>4923</v>
      </c>
      <c r="D691" t="s">
        <v>4621</v>
      </c>
      <c r="E691" t="s">
        <v>4924</v>
      </c>
      <c r="F691" t="s">
        <v>4925</v>
      </c>
      <c r="G691">
        <v>210</v>
      </c>
      <c r="H691">
        <v>500</v>
      </c>
      <c r="I691" s="5" t="s">
        <v>4926</v>
      </c>
      <c r="J691" s="5" t="s">
        <v>4927</v>
      </c>
      <c r="K691" s="5" t="str">
        <f t="shared" si="20"/>
        <v>https://www.google.com/maps?q=-11.914071, -41.741554</v>
      </c>
      <c r="L691" s="5" t="str">
        <f t="shared" si="21"/>
        <v>Abrir no Maps</v>
      </c>
      <c r="M691" t="s">
        <v>4928</v>
      </c>
      <c r="N691" s="5"/>
      <c r="O691" t="str">
        <f>VLOOKUP(G691,'[1]CONFIG.'!$B:$C,2,0)</f>
        <v>SILAS</v>
      </c>
      <c r="P691" t="str">
        <f>VLOOKUP(O691,'[1]CONFIG.'!$C:$D,2,0)</f>
        <v>74 98041875</v>
      </c>
    </row>
    <row r="692" spans="1:16" x14ac:dyDescent="0.3">
      <c r="A692" t="s">
        <v>4929</v>
      </c>
      <c r="B692" t="s">
        <v>4930</v>
      </c>
      <c r="C692" t="s">
        <v>4931</v>
      </c>
      <c r="D692" t="s">
        <v>4621</v>
      </c>
      <c r="E692" t="s">
        <v>4932</v>
      </c>
      <c r="F692" t="s">
        <v>137</v>
      </c>
      <c r="G692">
        <v>212</v>
      </c>
      <c r="H692">
        <v>200</v>
      </c>
      <c r="I692" s="5" t="s">
        <v>4933</v>
      </c>
      <c r="J692" s="5" t="s">
        <v>4934</v>
      </c>
      <c r="K692" s="5" t="str">
        <f t="shared" si="20"/>
        <v>https://www.google.com/maps?q=-11.763040, -41.908913</v>
      </c>
      <c r="L692" s="5" t="str">
        <f t="shared" si="21"/>
        <v>Abrir no Maps</v>
      </c>
      <c r="M692" t="s">
        <v>4935</v>
      </c>
      <c r="N692" s="5"/>
      <c r="O692" t="str">
        <f>VLOOKUP(G692,'[1]CONFIG.'!$B:$C,2,0)</f>
        <v>ANDRE</v>
      </c>
      <c r="P692" t="str">
        <f>VLOOKUP(O692,'[1]CONFIG.'!$C:$D,2,0)</f>
        <v>74 99916877</v>
      </c>
    </row>
    <row r="693" spans="1:16" x14ac:dyDescent="0.3">
      <c r="A693" t="s">
        <v>4936</v>
      </c>
      <c r="B693" t="s">
        <v>4937</v>
      </c>
      <c r="C693" t="s">
        <v>4938</v>
      </c>
      <c r="D693" t="s">
        <v>4621</v>
      </c>
      <c r="E693" t="s">
        <v>4939</v>
      </c>
      <c r="F693" t="s">
        <v>4940</v>
      </c>
      <c r="G693">
        <v>212</v>
      </c>
      <c r="H693">
        <v>200</v>
      </c>
      <c r="I693" s="5" t="s">
        <v>4941</v>
      </c>
      <c r="J693" s="5" t="s">
        <v>4942</v>
      </c>
      <c r="K693" s="5" t="str">
        <f t="shared" si="20"/>
        <v>https://www.google.com/maps?q=-11.765496, -41.902220</v>
      </c>
      <c r="L693" s="5" t="str">
        <f t="shared" si="21"/>
        <v>Abrir no Maps</v>
      </c>
      <c r="M693" t="s">
        <v>4943</v>
      </c>
      <c r="N693" s="5"/>
      <c r="O693" t="str">
        <f>VLOOKUP(G693,'[1]CONFIG.'!$B:$C,2,0)</f>
        <v>ANDRE</v>
      </c>
      <c r="P693" t="str">
        <f>VLOOKUP(O693,'[1]CONFIG.'!$C:$D,2,0)</f>
        <v>74 99916877</v>
      </c>
    </row>
    <row r="694" spans="1:16" x14ac:dyDescent="0.3">
      <c r="A694" t="s">
        <v>4944</v>
      </c>
      <c r="B694" t="s">
        <v>4945</v>
      </c>
      <c r="C694" t="s">
        <v>4946</v>
      </c>
      <c r="D694" t="s">
        <v>4621</v>
      </c>
      <c r="E694" t="s">
        <v>4947</v>
      </c>
      <c r="F694" t="s">
        <v>4948</v>
      </c>
      <c r="G694">
        <v>210</v>
      </c>
      <c r="H694">
        <v>500</v>
      </c>
      <c r="I694" s="5" t="s">
        <v>4949</v>
      </c>
      <c r="J694" s="5" t="s">
        <v>4950</v>
      </c>
      <c r="K694" s="5" t="str">
        <f t="shared" si="20"/>
        <v>https://www.google.com/maps?q=-11.886795, -41.839102</v>
      </c>
      <c r="L694" s="5" t="str">
        <f t="shared" si="21"/>
        <v>Abrir no Maps</v>
      </c>
      <c r="M694" t="s">
        <v>4951</v>
      </c>
      <c r="N694" s="5"/>
      <c r="O694" t="str">
        <f>VLOOKUP(G694,'[1]CONFIG.'!$B:$C,2,0)</f>
        <v>SILAS</v>
      </c>
      <c r="P694" t="str">
        <f>VLOOKUP(O694,'[1]CONFIG.'!$C:$D,2,0)</f>
        <v>74 98041875</v>
      </c>
    </row>
    <row r="695" spans="1:16" x14ac:dyDescent="0.3">
      <c r="A695" t="s">
        <v>4952</v>
      </c>
      <c r="B695" t="s">
        <v>4953</v>
      </c>
      <c r="C695" t="s">
        <v>4954</v>
      </c>
      <c r="D695" t="s">
        <v>4621</v>
      </c>
      <c r="E695" t="s">
        <v>4955</v>
      </c>
      <c r="F695" t="s">
        <v>137</v>
      </c>
      <c r="G695">
        <v>210</v>
      </c>
      <c r="H695">
        <v>500</v>
      </c>
      <c r="I695" s="5" t="s">
        <v>4956</v>
      </c>
      <c r="J695" s="5" t="s">
        <v>4957</v>
      </c>
      <c r="K695" s="5" t="str">
        <f t="shared" si="20"/>
        <v>https://www.google.com/maps?q=-11.910162, -41.745114</v>
      </c>
      <c r="L695" s="5" t="str">
        <f t="shared" si="21"/>
        <v>Abrir no Maps</v>
      </c>
      <c r="M695" t="s">
        <v>4958</v>
      </c>
      <c r="N695" s="5"/>
      <c r="O695" t="str">
        <f>VLOOKUP(G695,'[1]CONFIG.'!$B:$C,2,0)</f>
        <v>SILAS</v>
      </c>
      <c r="P695" t="str">
        <f>VLOOKUP(O695,'[1]CONFIG.'!$C:$D,2,0)</f>
        <v>74 98041875</v>
      </c>
    </row>
    <row r="696" spans="1:16" x14ac:dyDescent="0.3">
      <c r="A696" t="s">
        <v>4959</v>
      </c>
      <c r="B696" t="s">
        <v>4960</v>
      </c>
      <c r="C696" t="s">
        <v>4961</v>
      </c>
      <c r="D696" t="s">
        <v>4621</v>
      </c>
      <c r="E696" t="s">
        <v>4962</v>
      </c>
      <c r="F696" t="s">
        <v>4674</v>
      </c>
      <c r="G696">
        <v>212</v>
      </c>
      <c r="H696">
        <v>200</v>
      </c>
      <c r="I696" s="5" t="s">
        <v>4963</v>
      </c>
      <c r="J696" s="5" t="s">
        <v>4964</v>
      </c>
      <c r="K696" s="5" t="str">
        <f t="shared" si="20"/>
        <v>https://www.google.com/maps?q=-11.747128, -41.825772</v>
      </c>
      <c r="L696" s="5" t="str">
        <f t="shared" si="21"/>
        <v>Abrir no Maps</v>
      </c>
      <c r="M696" t="s">
        <v>4965</v>
      </c>
      <c r="N696" s="5"/>
      <c r="O696" t="str">
        <f>VLOOKUP(G696,'[1]CONFIG.'!$B:$C,2,0)</f>
        <v>ANDRE</v>
      </c>
      <c r="P696" t="str">
        <f>VLOOKUP(O696,'[1]CONFIG.'!$C:$D,2,0)</f>
        <v>74 99916877</v>
      </c>
    </row>
    <row r="697" spans="1:16" x14ac:dyDescent="0.3">
      <c r="A697" t="s">
        <v>4966</v>
      </c>
      <c r="B697" t="s">
        <v>4967</v>
      </c>
      <c r="C697" t="s">
        <v>4968</v>
      </c>
      <c r="D697" t="s">
        <v>4621</v>
      </c>
      <c r="E697" t="s">
        <v>4969</v>
      </c>
      <c r="F697" t="s">
        <v>4948</v>
      </c>
      <c r="G697">
        <v>210</v>
      </c>
      <c r="H697">
        <v>500</v>
      </c>
      <c r="I697" s="5" t="s">
        <v>4970</v>
      </c>
      <c r="J697" s="5" t="s">
        <v>4971</v>
      </c>
      <c r="K697" s="5" t="str">
        <f t="shared" si="20"/>
        <v>https://www.google.com/maps?q=-11.886513, -41.838755</v>
      </c>
      <c r="L697" s="5" t="str">
        <f t="shared" si="21"/>
        <v>Abrir no Maps</v>
      </c>
      <c r="M697" t="s">
        <v>4972</v>
      </c>
      <c r="N697" s="5"/>
      <c r="O697" t="str">
        <f>VLOOKUP(G697,'[1]CONFIG.'!$B:$C,2,0)</f>
        <v>SILAS</v>
      </c>
      <c r="P697" t="str">
        <f>VLOOKUP(O697,'[1]CONFIG.'!$C:$D,2,0)</f>
        <v>74 98041875</v>
      </c>
    </row>
    <row r="698" spans="1:16" x14ac:dyDescent="0.3">
      <c r="A698" t="s">
        <v>4973</v>
      </c>
      <c r="B698" t="s">
        <v>4974</v>
      </c>
      <c r="C698" t="s">
        <v>4975</v>
      </c>
      <c r="D698" t="s">
        <v>4621</v>
      </c>
      <c r="E698" t="s">
        <v>4976</v>
      </c>
      <c r="F698" t="s">
        <v>4659</v>
      </c>
      <c r="G698">
        <v>210</v>
      </c>
      <c r="H698">
        <v>500</v>
      </c>
      <c r="I698" s="5" t="s">
        <v>4977</v>
      </c>
      <c r="J698" s="5" t="s">
        <v>4978</v>
      </c>
      <c r="K698" s="5" t="str">
        <f t="shared" si="20"/>
        <v>https://www.google.com/maps?q=-11.909435, -41.744858</v>
      </c>
      <c r="L698" s="5" t="str">
        <f t="shared" si="21"/>
        <v>Abrir no Maps</v>
      </c>
      <c r="M698" t="s">
        <v>4979</v>
      </c>
      <c r="N698" s="5"/>
      <c r="O698" t="str">
        <f>VLOOKUP(G698,'[1]CONFIG.'!$B:$C,2,0)</f>
        <v>SILAS</v>
      </c>
      <c r="P698" t="str">
        <f>VLOOKUP(O698,'[1]CONFIG.'!$C:$D,2,0)</f>
        <v>74 98041875</v>
      </c>
    </row>
    <row r="699" spans="1:16" x14ac:dyDescent="0.3">
      <c r="A699" t="s">
        <v>4980</v>
      </c>
      <c r="B699" t="s">
        <v>4981</v>
      </c>
      <c r="C699" t="s">
        <v>4982</v>
      </c>
      <c r="D699" t="s">
        <v>4621</v>
      </c>
      <c r="E699" t="s">
        <v>4983</v>
      </c>
      <c r="F699" t="s">
        <v>4753</v>
      </c>
      <c r="G699">
        <v>210</v>
      </c>
      <c r="H699">
        <v>500</v>
      </c>
      <c r="I699" s="5" t="s">
        <v>4984</v>
      </c>
      <c r="J699" s="5" t="s">
        <v>4985</v>
      </c>
      <c r="K699" s="5" t="str">
        <f t="shared" si="20"/>
        <v>https://www.google.com/maps?q=-11.894709, -41.746965</v>
      </c>
      <c r="L699" s="5" t="str">
        <f t="shared" si="21"/>
        <v>Abrir no Maps</v>
      </c>
      <c r="M699" t="s">
        <v>4986</v>
      </c>
      <c r="N699" s="5"/>
      <c r="O699" t="str">
        <f>VLOOKUP(G699,'[1]CONFIG.'!$B:$C,2,0)</f>
        <v>SILAS</v>
      </c>
      <c r="P699" t="str">
        <f>VLOOKUP(O699,'[1]CONFIG.'!$C:$D,2,0)</f>
        <v>74 98041875</v>
      </c>
    </row>
    <row r="700" spans="1:16" x14ac:dyDescent="0.3">
      <c r="A700" t="s">
        <v>4987</v>
      </c>
      <c r="B700" t="s">
        <v>4988</v>
      </c>
      <c r="C700" t="s">
        <v>4989</v>
      </c>
      <c r="D700" t="s">
        <v>4621</v>
      </c>
      <c r="E700" t="s">
        <v>4990</v>
      </c>
      <c r="F700" t="s">
        <v>4674</v>
      </c>
      <c r="G700">
        <v>212</v>
      </c>
      <c r="H700">
        <v>200</v>
      </c>
      <c r="I700" s="5" t="s">
        <v>4991</v>
      </c>
      <c r="J700" s="5" t="s">
        <v>4992</v>
      </c>
      <c r="K700" s="5" t="str">
        <f t="shared" si="20"/>
        <v>https://www.google.com/maps?q=-11.747382, -41.825811</v>
      </c>
      <c r="L700" s="5" t="str">
        <f t="shared" si="21"/>
        <v>Abrir no Maps</v>
      </c>
      <c r="M700" t="s">
        <v>4993</v>
      </c>
      <c r="N700" s="5"/>
      <c r="O700" t="str">
        <f>VLOOKUP(G700,'[1]CONFIG.'!$B:$C,2,0)</f>
        <v>ANDRE</v>
      </c>
      <c r="P700" t="str">
        <f>VLOOKUP(O700,'[1]CONFIG.'!$C:$D,2,0)</f>
        <v>74 99916877</v>
      </c>
    </row>
    <row r="701" spans="1:16" x14ac:dyDescent="0.3">
      <c r="A701" t="s">
        <v>4994</v>
      </c>
      <c r="B701" t="s">
        <v>4995</v>
      </c>
      <c r="C701" t="s">
        <v>4996</v>
      </c>
      <c r="D701" t="s">
        <v>4621</v>
      </c>
      <c r="E701" t="s">
        <v>4997</v>
      </c>
      <c r="F701" t="s">
        <v>4674</v>
      </c>
      <c r="G701">
        <v>212</v>
      </c>
      <c r="H701">
        <v>200</v>
      </c>
      <c r="I701" s="5" t="s">
        <v>4998</v>
      </c>
      <c r="J701" s="5" t="s">
        <v>4999</v>
      </c>
      <c r="K701" s="5" t="str">
        <f t="shared" si="20"/>
        <v>https://www.google.com/maps?q=-11.747732, -41.825582</v>
      </c>
      <c r="L701" s="5" t="str">
        <f t="shared" si="21"/>
        <v>Abrir no Maps</v>
      </c>
      <c r="M701" t="s">
        <v>5000</v>
      </c>
      <c r="N701" s="5"/>
      <c r="O701" t="str">
        <f>VLOOKUP(G701,'[1]CONFIG.'!$B:$C,2,0)</f>
        <v>ANDRE</v>
      </c>
      <c r="P701" t="str">
        <f>VLOOKUP(O701,'[1]CONFIG.'!$C:$D,2,0)</f>
        <v>74 99916877</v>
      </c>
    </row>
    <row r="702" spans="1:16" x14ac:dyDescent="0.3">
      <c r="A702" t="s">
        <v>5001</v>
      </c>
      <c r="B702" t="s">
        <v>5002</v>
      </c>
      <c r="C702" t="s">
        <v>5003</v>
      </c>
      <c r="D702" t="s">
        <v>4621</v>
      </c>
      <c r="E702" t="s">
        <v>5004</v>
      </c>
      <c r="F702" t="s">
        <v>4868</v>
      </c>
      <c r="G702">
        <v>210</v>
      </c>
      <c r="H702">
        <v>500</v>
      </c>
      <c r="I702" s="5" t="s">
        <v>5005</v>
      </c>
      <c r="J702" s="5" t="s">
        <v>5006</v>
      </c>
      <c r="K702" s="5" t="str">
        <f t="shared" si="20"/>
        <v>https://www.google.com/maps?q=-11.910084, -41.743830</v>
      </c>
      <c r="L702" s="5" t="str">
        <f t="shared" si="21"/>
        <v>Abrir no Maps</v>
      </c>
      <c r="M702" t="s">
        <v>5007</v>
      </c>
      <c r="N702" s="5"/>
      <c r="O702" t="str">
        <f>VLOOKUP(G702,'[1]CONFIG.'!$B:$C,2,0)</f>
        <v>SILAS</v>
      </c>
      <c r="P702" t="str">
        <f>VLOOKUP(O702,'[1]CONFIG.'!$C:$D,2,0)</f>
        <v>74 98041875</v>
      </c>
    </row>
    <row r="703" spans="1:16" x14ac:dyDescent="0.3">
      <c r="A703" t="s">
        <v>5008</v>
      </c>
      <c r="B703" t="s">
        <v>5009</v>
      </c>
      <c r="C703" t="s">
        <v>5010</v>
      </c>
      <c r="D703" t="s">
        <v>5011</v>
      </c>
      <c r="E703" t="s">
        <v>5012</v>
      </c>
      <c r="F703" t="s">
        <v>5013</v>
      </c>
      <c r="G703">
        <v>213</v>
      </c>
      <c r="H703">
        <v>300</v>
      </c>
      <c r="I703" s="5" t="s">
        <v>5014</v>
      </c>
      <c r="J703" s="5" t="s">
        <v>5015</v>
      </c>
      <c r="K703" s="5" t="str">
        <f t="shared" si="20"/>
        <v>https://www.google.com/maps?q=-11.858651, -41.309540</v>
      </c>
      <c r="L703" s="5" t="str">
        <f t="shared" si="21"/>
        <v>Abrir no Maps</v>
      </c>
      <c r="M703" t="s">
        <v>5016</v>
      </c>
      <c r="N703" s="5"/>
      <c r="O703" t="str">
        <f>VLOOKUP(G703,'[1]CONFIG.'!$B:$C,2,0)</f>
        <v>DANIEL</v>
      </c>
      <c r="P703" t="str">
        <f>VLOOKUP(O703,'[1]CONFIG.'!$C:$D,2,0)</f>
        <v>74 99461824</v>
      </c>
    </row>
    <row r="704" spans="1:16" x14ac:dyDescent="0.3">
      <c r="A704" t="s">
        <v>5017</v>
      </c>
      <c r="B704" t="s">
        <v>5018</v>
      </c>
      <c r="C704" t="s">
        <v>5019</v>
      </c>
      <c r="D704" t="s">
        <v>5011</v>
      </c>
      <c r="E704" t="s">
        <v>5020</v>
      </c>
      <c r="F704" t="s">
        <v>5013</v>
      </c>
      <c r="G704">
        <v>213</v>
      </c>
      <c r="H704">
        <v>300</v>
      </c>
      <c r="I704" s="5" t="s">
        <v>5021</v>
      </c>
      <c r="J704" s="5" t="s">
        <v>5022</v>
      </c>
      <c r="K704" s="5" t="str">
        <f t="shared" si="20"/>
        <v>https://www.google.com/maps?q=-11.858772, -41.309654</v>
      </c>
      <c r="L704" s="5" t="str">
        <f t="shared" si="21"/>
        <v>Abrir no Maps</v>
      </c>
      <c r="M704" t="s">
        <v>5023</v>
      </c>
      <c r="N704" s="5"/>
      <c r="O704" t="str">
        <f>VLOOKUP(G704,'[1]CONFIG.'!$B:$C,2,0)</f>
        <v>DANIEL</v>
      </c>
      <c r="P704" t="str">
        <f>VLOOKUP(O704,'[1]CONFIG.'!$C:$D,2,0)</f>
        <v>74 99461824</v>
      </c>
    </row>
    <row r="705" spans="1:16" x14ac:dyDescent="0.3">
      <c r="A705" t="s">
        <v>5024</v>
      </c>
      <c r="B705" t="s">
        <v>5025</v>
      </c>
      <c r="C705" t="s">
        <v>5026</v>
      </c>
      <c r="D705" t="s">
        <v>5011</v>
      </c>
      <c r="E705" t="s">
        <v>5027</v>
      </c>
      <c r="F705" t="s">
        <v>137</v>
      </c>
      <c r="G705">
        <v>213</v>
      </c>
      <c r="H705">
        <v>300</v>
      </c>
      <c r="I705" s="5" t="s">
        <v>5028</v>
      </c>
      <c r="J705" s="5" t="s">
        <v>5029</v>
      </c>
      <c r="K705" s="5" t="str">
        <f t="shared" si="20"/>
        <v>https://www.google.com/maps?q=-11.968177, -41.268257</v>
      </c>
      <c r="L705" s="5" t="str">
        <f t="shared" si="21"/>
        <v>Abrir no Maps</v>
      </c>
      <c r="M705" t="s">
        <v>5030</v>
      </c>
      <c r="N705" s="5"/>
      <c r="O705" t="str">
        <f>VLOOKUP(G705,'[1]CONFIG.'!$B:$C,2,0)</f>
        <v>DANIEL</v>
      </c>
      <c r="P705" t="str">
        <f>VLOOKUP(O705,'[1]CONFIG.'!$C:$D,2,0)</f>
        <v>74 99461824</v>
      </c>
    </row>
    <row r="706" spans="1:16" x14ac:dyDescent="0.3">
      <c r="A706" t="s">
        <v>5031</v>
      </c>
      <c r="B706" t="s">
        <v>5032</v>
      </c>
      <c r="C706" t="s">
        <v>5033</v>
      </c>
      <c r="D706" t="s">
        <v>5011</v>
      </c>
      <c r="E706" t="s">
        <v>5034</v>
      </c>
      <c r="F706" t="s">
        <v>137</v>
      </c>
      <c r="G706">
        <v>213</v>
      </c>
      <c r="H706">
        <v>300</v>
      </c>
      <c r="I706" s="5" t="s">
        <v>5035</v>
      </c>
      <c r="J706" s="5" t="s">
        <v>5036</v>
      </c>
      <c r="K706" s="5" t="str">
        <f t="shared" si="20"/>
        <v>https://www.google.com/maps?q=-11.969480, -41.264810</v>
      </c>
      <c r="L706" s="5" t="str">
        <f t="shared" si="21"/>
        <v>Abrir no Maps</v>
      </c>
      <c r="M706" t="s">
        <v>5037</v>
      </c>
      <c r="N706" s="5"/>
      <c r="O706" t="str">
        <f>VLOOKUP(G706,'[1]CONFIG.'!$B:$C,2,0)</f>
        <v>DANIEL</v>
      </c>
      <c r="P706" t="str">
        <f>VLOOKUP(O706,'[1]CONFIG.'!$C:$D,2,0)</f>
        <v>74 99461824</v>
      </c>
    </row>
    <row r="707" spans="1:16" x14ac:dyDescent="0.3">
      <c r="A707" t="s">
        <v>5038</v>
      </c>
      <c r="B707" t="s">
        <v>5039</v>
      </c>
      <c r="C707" t="s">
        <v>5040</v>
      </c>
      <c r="D707" t="s">
        <v>5011</v>
      </c>
      <c r="E707" t="s">
        <v>5041</v>
      </c>
      <c r="F707" t="s">
        <v>137</v>
      </c>
      <c r="G707">
        <v>213</v>
      </c>
      <c r="H707">
        <v>300</v>
      </c>
      <c r="I707" s="5" t="s">
        <v>5042</v>
      </c>
      <c r="J707" s="5" t="s">
        <v>5043</v>
      </c>
      <c r="K707" s="5" t="str">
        <f t="shared" si="20"/>
        <v>https://www.google.com/maps?q=-11.967365, -41.268208</v>
      </c>
      <c r="L707" s="5" t="str">
        <f t="shared" si="21"/>
        <v>Abrir no Maps</v>
      </c>
      <c r="M707" t="s">
        <v>5044</v>
      </c>
      <c r="N707" s="5"/>
      <c r="O707" t="str">
        <f>VLOOKUP(G707,'[1]CONFIG.'!$B:$C,2,0)</f>
        <v>DANIEL</v>
      </c>
      <c r="P707" t="str">
        <f>VLOOKUP(O707,'[1]CONFIG.'!$C:$D,2,0)</f>
        <v>74 99461824</v>
      </c>
    </row>
    <row r="708" spans="1:16" x14ac:dyDescent="0.3">
      <c r="A708" t="s">
        <v>5045</v>
      </c>
      <c r="B708" t="s">
        <v>5046</v>
      </c>
      <c r="C708" t="s">
        <v>5047</v>
      </c>
      <c r="D708" t="s">
        <v>5011</v>
      </c>
      <c r="E708" t="s">
        <v>5048</v>
      </c>
      <c r="F708" t="s">
        <v>5049</v>
      </c>
      <c r="G708">
        <v>213</v>
      </c>
      <c r="H708">
        <v>300</v>
      </c>
      <c r="I708" s="5" t="s">
        <v>5050</v>
      </c>
      <c r="J708" s="5" t="s">
        <v>5051</v>
      </c>
      <c r="K708" s="5" t="str">
        <f t="shared" ref="K708:K771" si="22">"https://www.google.com/maps?q="&amp;""&amp;LEFT(I708,3)&amp;"."&amp;RIGHT(I708,6)&amp;", "&amp;LEFT(J708,3)&amp;"."&amp;RIGHT(J708,6)</f>
        <v>https://www.google.com/maps?q=-11.906970, -41.293488</v>
      </c>
      <c r="L708" s="5" t="str">
        <f t="shared" ref="L708:L771" si="23">HYPERLINK(K708,"Abrir no Maps")</f>
        <v>Abrir no Maps</v>
      </c>
      <c r="M708" t="s">
        <v>5052</v>
      </c>
      <c r="N708" s="5"/>
      <c r="O708" t="str">
        <f>VLOOKUP(G708,'[1]CONFIG.'!$B:$C,2,0)</f>
        <v>DANIEL</v>
      </c>
      <c r="P708" t="str">
        <f>VLOOKUP(O708,'[1]CONFIG.'!$C:$D,2,0)</f>
        <v>74 99461824</v>
      </c>
    </row>
    <row r="709" spans="1:16" x14ac:dyDescent="0.3">
      <c r="A709" t="s">
        <v>5053</v>
      </c>
      <c r="B709" t="s">
        <v>5054</v>
      </c>
      <c r="C709" t="s">
        <v>5055</v>
      </c>
      <c r="D709" t="s">
        <v>5011</v>
      </c>
      <c r="E709" t="s">
        <v>5056</v>
      </c>
      <c r="F709" t="s">
        <v>5057</v>
      </c>
      <c r="G709">
        <v>213</v>
      </c>
      <c r="H709">
        <v>300</v>
      </c>
      <c r="I709" s="5" t="s">
        <v>5058</v>
      </c>
      <c r="J709" s="5" t="s">
        <v>5059</v>
      </c>
      <c r="K709" s="5" t="str">
        <f t="shared" si="22"/>
        <v>https://www.google.com/maps?q=-11.967704, -41.266340</v>
      </c>
      <c r="L709" s="5" t="str">
        <f t="shared" si="23"/>
        <v>Abrir no Maps</v>
      </c>
      <c r="M709" t="s">
        <v>5060</v>
      </c>
      <c r="N709" s="5"/>
      <c r="O709" t="str">
        <f>VLOOKUP(G709,'[1]CONFIG.'!$B:$C,2,0)</f>
        <v>DANIEL</v>
      </c>
      <c r="P709" t="str">
        <f>VLOOKUP(O709,'[1]CONFIG.'!$C:$D,2,0)</f>
        <v>74 99461824</v>
      </c>
    </row>
    <row r="710" spans="1:16" x14ac:dyDescent="0.3">
      <c r="A710" t="s">
        <v>5061</v>
      </c>
      <c r="B710" t="s">
        <v>5062</v>
      </c>
      <c r="C710" t="s">
        <v>5063</v>
      </c>
      <c r="D710" t="s">
        <v>5011</v>
      </c>
      <c r="E710" t="s">
        <v>5064</v>
      </c>
      <c r="F710" t="s">
        <v>137</v>
      </c>
      <c r="G710">
        <v>213</v>
      </c>
      <c r="H710">
        <v>300</v>
      </c>
      <c r="I710" s="5" t="s">
        <v>5065</v>
      </c>
      <c r="J710" s="5" t="s">
        <v>5066</v>
      </c>
      <c r="K710" s="5" t="str">
        <f t="shared" si="22"/>
        <v>https://www.google.com/maps?q=-11.964229, -41.266710</v>
      </c>
      <c r="L710" s="5" t="str">
        <f t="shared" si="23"/>
        <v>Abrir no Maps</v>
      </c>
      <c r="M710" t="s">
        <v>5067</v>
      </c>
      <c r="N710" s="5"/>
      <c r="O710" t="str">
        <f>VLOOKUP(G710,'[1]CONFIG.'!$B:$C,2,0)</f>
        <v>DANIEL</v>
      </c>
      <c r="P710" t="str">
        <f>VLOOKUP(O710,'[1]CONFIG.'!$C:$D,2,0)</f>
        <v>74 99461824</v>
      </c>
    </row>
    <row r="711" spans="1:16" x14ac:dyDescent="0.3">
      <c r="A711" t="s">
        <v>5068</v>
      </c>
      <c r="B711" t="s">
        <v>5069</v>
      </c>
      <c r="C711" t="s">
        <v>5070</v>
      </c>
      <c r="D711" t="s">
        <v>5011</v>
      </c>
      <c r="E711" t="s">
        <v>5071</v>
      </c>
      <c r="F711" t="s">
        <v>137</v>
      </c>
      <c r="G711">
        <v>213</v>
      </c>
      <c r="H711">
        <v>300</v>
      </c>
      <c r="I711" s="5" t="s">
        <v>5072</v>
      </c>
      <c r="J711" s="5" t="s">
        <v>5073</v>
      </c>
      <c r="K711" s="5" t="str">
        <f t="shared" si="22"/>
        <v>https://www.google.com/maps?q=-11.964214, -41.267185</v>
      </c>
      <c r="L711" s="5" t="str">
        <f t="shared" si="23"/>
        <v>Abrir no Maps</v>
      </c>
      <c r="M711" t="s">
        <v>5074</v>
      </c>
      <c r="N711" s="5"/>
      <c r="O711" t="str">
        <f>VLOOKUP(G711,'[1]CONFIG.'!$B:$C,2,0)</f>
        <v>DANIEL</v>
      </c>
      <c r="P711" t="str">
        <f>VLOOKUP(O711,'[1]CONFIG.'!$C:$D,2,0)</f>
        <v>74 99461824</v>
      </c>
    </row>
    <row r="712" spans="1:16" x14ac:dyDescent="0.3">
      <c r="A712" t="s">
        <v>5075</v>
      </c>
      <c r="B712" t="s">
        <v>5076</v>
      </c>
      <c r="C712" t="s">
        <v>5077</v>
      </c>
      <c r="D712" t="s">
        <v>5011</v>
      </c>
      <c r="E712" t="s">
        <v>5078</v>
      </c>
      <c r="F712" t="s">
        <v>137</v>
      </c>
      <c r="G712">
        <v>213</v>
      </c>
      <c r="H712">
        <v>300</v>
      </c>
      <c r="I712" s="5" t="s">
        <v>5079</v>
      </c>
      <c r="J712" s="5" t="s">
        <v>5080</v>
      </c>
      <c r="K712" s="5" t="str">
        <f t="shared" si="22"/>
        <v>https://www.google.com/maps?q=-11.970038, -41.266712</v>
      </c>
      <c r="L712" s="5" t="str">
        <f t="shared" si="23"/>
        <v>Abrir no Maps</v>
      </c>
      <c r="M712" t="s">
        <v>5081</v>
      </c>
      <c r="N712" s="5"/>
      <c r="O712" t="str">
        <f>VLOOKUP(G712,'[1]CONFIG.'!$B:$C,2,0)</f>
        <v>DANIEL</v>
      </c>
      <c r="P712" t="str">
        <f>VLOOKUP(O712,'[1]CONFIG.'!$C:$D,2,0)</f>
        <v>74 99461824</v>
      </c>
    </row>
    <row r="713" spans="1:16" x14ac:dyDescent="0.3">
      <c r="A713" t="s">
        <v>5082</v>
      </c>
      <c r="B713" t="s">
        <v>5083</v>
      </c>
      <c r="C713" t="s">
        <v>5084</v>
      </c>
      <c r="D713" t="s">
        <v>5011</v>
      </c>
      <c r="E713" t="s">
        <v>5085</v>
      </c>
      <c r="F713" t="s">
        <v>137</v>
      </c>
      <c r="G713">
        <v>213</v>
      </c>
      <c r="H713">
        <v>300</v>
      </c>
      <c r="I713" s="5" t="s">
        <v>5086</v>
      </c>
      <c r="J713" s="5" t="s">
        <v>5087</v>
      </c>
      <c r="K713" s="5" t="str">
        <f t="shared" si="22"/>
        <v>https://www.google.com/maps?q=-11.973352, -41.263430</v>
      </c>
      <c r="L713" s="5" t="str">
        <f t="shared" si="23"/>
        <v>Abrir no Maps</v>
      </c>
      <c r="M713" t="s">
        <v>5088</v>
      </c>
      <c r="N713" s="5"/>
      <c r="O713" t="str">
        <f>VLOOKUP(G713,'[1]CONFIG.'!$B:$C,2,0)</f>
        <v>DANIEL</v>
      </c>
      <c r="P713" t="str">
        <f>VLOOKUP(O713,'[1]CONFIG.'!$C:$D,2,0)</f>
        <v>74 99461824</v>
      </c>
    </row>
    <row r="714" spans="1:16" x14ac:dyDescent="0.3">
      <c r="A714" t="s">
        <v>5089</v>
      </c>
      <c r="B714" t="s">
        <v>5090</v>
      </c>
      <c r="C714" t="s">
        <v>5091</v>
      </c>
      <c r="D714" t="s">
        <v>5011</v>
      </c>
      <c r="E714" t="s">
        <v>5092</v>
      </c>
      <c r="F714" t="s">
        <v>137</v>
      </c>
      <c r="G714">
        <v>213</v>
      </c>
      <c r="H714">
        <v>300</v>
      </c>
      <c r="I714" s="5" t="s">
        <v>5093</v>
      </c>
      <c r="J714" s="5" t="s">
        <v>5094</v>
      </c>
      <c r="K714" s="5" t="str">
        <f t="shared" si="22"/>
        <v>https://www.google.com/maps?q=-11.964795, -41.266270</v>
      </c>
      <c r="L714" s="5" t="str">
        <f t="shared" si="23"/>
        <v>Abrir no Maps</v>
      </c>
      <c r="M714" t="s">
        <v>5095</v>
      </c>
      <c r="N714" s="5"/>
      <c r="O714" t="str">
        <f>VLOOKUP(G714,'[1]CONFIG.'!$B:$C,2,0)</f>
        <v>DANIEL</v>
      </c>
      <c r="P714" t="str">
        <f>VLOOKUP(O714,'[1]CONFIG.'!$C:$D,2,0)</f>
        <v>74 99461824</v>
      </c>
    </row>
    <row r="715" spans="1:16" x14ac:dyDescent="0.3">
      <c r="A715" t="s">
        <v>5096</v>
      </c>
      <c r="B715" t="s">
        <v>5097</v>
      </c>
      <c r="C715" t="s">
        <v>5098</v>
      </c>
      <c r="D715" t="s">
        <v>5011</v>
      </c>
      <c r="E715" t="s">
        <v>5099</v>
      </c>
      <c r="F715" t="s">
        <v>5013</v>
      </c>
      <c r="G715">
        <v>213</v>
      </c>
      <c r="H715">
        <v>300</v>
      </c>
      <c r="I715" s="5" t="s">
        <v>5100</v>
      </c>
      <c r="J715" s="5" t="s">
        <v>5101</v>
      </c>
      <c r="K715" s="5" t="str">
        <f t="shared" si="22"/>
        <v>https://www.google.com/maps?q=-11.857822, -41.309420</v>
      </c>
      <c r="L715" s="5" t="str">
        <f t="shared" si="23"/>
        <v>Abrir no Maps</v>
      </c>
      <c r="M715" t="s">
        <v>5102</v>
      </c>
      <c r="N715" s="5"/>
      <c r="O715" t="str">
        <f>VLOOKUP(G715,'[1]CONFIG.'!$B:$C,2,0)</f>
        <v>DANIEL</v>
      </c>
      <c r="P715" t="str">
        <f>VLOOKUP(O715,'[1]CONFIG.'!$C:$D,2,0)</f>
        <v>74 99461824</v>
      </c>
    </row>
    <row r="716" spans="1:16" x14ac:dyDescent="0.3">
      <c r="A716" t="s">
        <v>5103</v>
      </c>
      <c r="B716" t="s">
        <v>5104</v>
      </c>
      <c r="C716" t="s">
        <v>5105</v>
      </c>
      <c r="D716" t="s">
        <v>5011</v>
      </c>
      <c r="E716" t="s">
        <v>5106</v>
      </c>
      <c r="F716" t="s">
        <v>5013</v>
      </c>
      <c r="G716">
        <v>213</v>
      </c>
      <c r="H716">
        <v>300</v>
      </c>
      <c r="I716" s="5" t="s">
        <v>5107</v>
      </c>
      <c r="J716" s="5" t="s">
        <v>5108</v>
      </c>
      <c r="K716" s="5" t="str">
        <f t="shared" si="22"/>
        <v>https://www.google.com/maps?q=-11.858295, -41.308582</v>
      </c>
      <c r="L716" s="5" t="str">
        <f t="shared" si="23"/>
        <v>Abrir no Maps</v>
      </c>
      <c r="M716" t="s">
        <v>5109</v>
      </c>
      <c r="N716" s="5"/>
      <c r="O716" t="str">
        <f>VLOOKUP(G716,'[1]CONFIG.'!$B:$C,2,0)</f>
        <v>DANIEL</v>
      </c>
      <c r="P716" t="str">
        <f>VLOOKUP(O716,'[1]CONFIG.'!$C:$D,2,0)</f>
        <v>74 99461824</v>
      </c>
    </row>
    <row r="717" spans="1:16" x14ac:dyDescent="0.3">
      <c r="A717" t="s">
        <v>5110</v>
      </c>
      <c r="B717" t="s">
        <v>5111</v>
      </c>
      <c r="C717" t="s">
        <v>5112</v>
      </c>
      <c r="D717" t="s">
        <v>5011</v>
      </c>
      <c r="E717" t="s">
        <v>5113</v>
      </c>
      <c r="F717" t="s">
        <v>137</v>
      </c>
      <c r="G717">
        <v>213</v>
      </c>
      <c r="H717">
        <v>300</v>
      </c>
      <c r="I717" s="5" t="s">
        <v>5114</v>
      </c>
      <c r="J717" s="5" t="s">
        <v>5115</v>
      </c>
      <c r="K717" s="5" t="str">
        <f t="shared" si="22"/>
        <v>https://www.google.com/maps?q=-11.976018, -41.260487</v>
      </c>
      <c r="L717" s="5" t="str">
        <f t="shared" si="23"/>
        <v>Abrir no Maps</v>
      </c>
      <c r="M717" t="s">
        <v>5116</v>
      </c>
      <c r="N717" s="5"/>
      <c r="O717" t="str">
        <f>VLOOKUP(G717,'[1]CONFIG.'!$B:$C,2,0)</f>
        <v>DANIEL</v>
      </c>
      <c r="P717" t="str">
        <f>VLOOKUP(O717,'[1]CONFIG.'!$C:$D,2,0)</f>
        <v>74 99461824</v>
      </c>
    </row>
    <row r="718" spans="1:16" x14ac:dyDescent="0.3">
      <c r="A718" t="s">
        <v>5117</v>
      </c>
      <c r="B718" t="s">
        <v>5118</v>
      </c>
      <c r="C718" t="s">
        <v>5119</v>
      </c>
      <c r="D718" t="s">
        <v>5011</v>
      </c>
      <c r="E718" t="s">
        <v>5120</v>
      </c>
      <c r="F718" t="s">
        <v>137</v>
      </c>
      <c r="G718">
        <v>213</v>
      </c>
      <c r="H718">
        <v>300</v>
      </c>
      <c r="I718" s="5" t="s">
        <v>5121</v>
      </c>
      <c r="J718" s="5" t="s">
        <v>5122</v>
      </c>
      <c r="K718" s="5" t="str">
        <f t="shared" si="22"/>
        <v>https://www.google.com/maps?q=-11.966610, -41.268127</v>
      </c>
      <c r="L718" s="5" t="str">
        <f t="shared" si="23"/>
        <v>Abrir no Maps</v>
      </c>
      <c r="M718" t="s">
        <v>5123</v>
      </c>
      <c r="N718" s="5"/>
      <c r="O718" t="str">
        <f>VLOOKUP(G718,'[1]CONFIG.'!$B:$C,2,0)</f>
        <v>DANIEL</v>
      </c>
      <c r="P718" t="str">
        <f>VLOOKUP(O718,'[1]CONFIG.'!$C:$D,2,0)</f>
        <v>74 99461824</v>
      </c>
    </row>
    <row r="719" spans="1:16" x14ac:dyDescent="0.3">
      <c r="A719" t="s">
        <v>5124</v>
      </c>
      <c r="B719" t="s">
        <v>5125</v>
      </c>
      <c r="C719" t="s">
        <v>5126</v>
      </c>
      <c r="D719" t="s">
        <v>5011</v>
      </c>
      <c r="E719" t="s">
        <v>5127</v>
      </c>
      <c r="F719" t="s">
        <v>137</v>
      </c>
      <c r="G719">
        <v>213</v>
      </c>
      <c r="H719">
        <v>300</v>
      </c>
      <c r="I719" s="5" t="s">
        <v>5128</v>
      </c>
      <c r="J719" s="5" t="s">
        <v>5129</v>
      </c>
      <c r="K719" s="5" t="str">
        <f t="shared" si="22"/>
        <v>https://www.google.com/maps?q=-11.965429, -41.267925</v>
      </c>
      <c r="L719" s="5" t="str">
        <f t="shared" si="23"/>
        <v>Abrir no Maps</v>
      </c>
      <c r="M719" t="s">
        <v>5130</v>
      </c>
      <c r="N719" s="5"/>
      <c r="O719" t="str">
        <f>VLOOKUP(G719,'[1]CONFIG.'!$B:$C,2,0)</f>
        <v>DANIEL</v>
      </c>
      <c r="P719" t="str">
        <f>VLOOKUP(O719,'[1]CONFIG.'!$C:$D,2,0)</f>
        <v>74 99461824</v>
      </c>
    </row>
    <row r="720" spans="1:16" x14ac:dyDescent="0.3">
      <c r="A720" t="s">
        <v>5131</v>
      </c>
      <c r="B720" t="s">
        <v>5132</v>
      </c>
      <c r="C720" t="s">
        <v>5133</v>
      </c>
      <c r="D720" t="s">
        <v>5011</v>
      </c>
      <c r="E720" t="s">
        <v>5134</v>
      </c>
      <c r="F720" t="s">
        <v>137</v>
      </c>
      <c r="G720">
        <v>213</v>
      </c>
      <c r="H720">
        <v>300</v>
      </c>
      <c r="I720" s="5" t="s">
        <v>5135</v>
      </c>
      <c r="J720" s="5" t="s">
        <v>5136</v>
      </c>
      <c r="K720" s="5" t="str">
        <f t="shared" si="22"/>
        <v>https://www.google.com/maps?q=-11.969200, -41.268100</v>
      </c>
      <c r="L720" s="5" t="str">
        <f t="shared" si="23"/>
        <v>Abrir no Maps</v>
      </c>
      <c r="M720" t="s">
        <v>5137</v>
      </c>
      <c r="N720" s="5"/>
      <c r="O720" t="str">
        <f>VLOOKUP(G720,'[1]CONFIG.'!$B:$C,2,0)</f>
        <v>DANIEL</v>
      </c>
      <c r="P720" t="str">
        <f>VLOOKUP(O720,'[1]CONFIG.'!$C:$D,2,0)</f>
        <v>74 99461824</v>
      </c>
    </row>
    <row r="721" spans="1:16" x14ac:dyDescent="0.3">
      <c r="A721" t="s">
        <v>5138</v>
      </c>
      <c r="B721" t="s">
        <v>5139</v>
      </c>
      <c r="C721" t="s">
        <v>5140</v>
      </c>
      <c r="D721" t="s">
        <v>5011</v>
      </c>
      <c r="E721" t="s">
        <v>5141</v>
      </c>
      <c r="F721" t="s">
        <v>137</v>
      </c>
      <c r="G721">
        <v>213</v>
      </c>
      <c r="H721">
        <v>300</v>
      </c>
      <c r="I721" s="5" t="s">
        <v>5142</v>
      </c>
      <c r="J721" s="5" t="s">
        <v>5143</v>
      </c>
      <c r="K721" s="5" t="str">
        <f t="shared" si="22"/>
        <v>https://www.google.com/maps?q=-11.969078, -41.267982</v>
      </c>
      <c r="L721" s="5" t="str">
        <f t="shared" si="23"/>
        <v>Abrir no Maps</v>
      </c>
      <c r="M721" t="s">
        <v>5144</v>
      </c>
      <c r="N721" s="5"/>
      <c r="O721" t="str">
        <f>VLOOKUP(G721,'[1]CONFIG.'!$B:$C,2,0)</f>
        <v>DANIEL</v>
      </c>
      <c r="P721" t="str">
        <f>VLOOKUP(O721,'[1]CONFIG.'!$C:$D,2,0)</f>
        <v>74 99461824</v>
      </c>
    </row>
    <row r="722" spans="1:16" x14ac:dyDescent="0.3">
      <c r="A722" t="s">
        <v>5145</v>
      </c>
      <c r="B722" t="s">
        <v>5146</v>
      </c>
      <c r="C722" t="s">
        <v>5147</v>
      </c>
      <c r="D722" t="s">
        <v>5011</v>
      </c>
      <c r="E722" t="s">
        <v>5148</v>
      </c>
      <c r="F722" t="s">
        <v>137</v>
      </c>
      <c r="G722">
        <v>213</v>
      </c>
      <c r="H722">
        <v>300</v>
      </c>
      <c r="I722" s="5" t="s">
        <v>5149</v>
      </c>
      <c r="J722" s="5" t="s">
        <v>5150</v>
      </c>
      <c r="K722" s="5" t="str">
        <f t="shared" si="22"/>
        <v>https://www.google.com/maps?q=-11.967342, -41.268420</v>
      </c>
      <c r="L722" s="5" t="str">
        <f t="shared" si="23"/>
        <v>Abrir no Maps</v>
      </c>
      <c r="M722" t="s">
        <v>5151</v>
      </c>
      <c r="N722" s="5"/>
      <c r="O722" t="str">
        <f>VLOOKUP(G722,'[1]CONFIG.'!$B:$C,2,0)</f>
        <v>DANIEL</v>
      </c>
      <c r="P722" t="str">
        <f>VLOOKUP(O722,'[1]CONFIG.'!$C:$D,2,0)</f>
        <v>74 99461824</v>
      </c>
    </row>
    <row r="723" spans="1:16" x14ac:dyDescent="0.3">
      <c r="A723" t="s">
        <v>5152</v>
      </c>
      <c r="B723" t="s">
        <v>5153</v>
      </c>
      <c r="C723" t="s">
        <v>5154</v>
      </c>
      <c r="D723" t="s">
        <v>5011</v>
      </c>
      <c r="E723" t="s">
        <v>5155</v>
      </c>
      <c r="F723" t="s">
        <v>137</v>
      </c>
      <c r="G723">
        <v>213</v>
      </c>
      <c r="H723">
        <v>300</v>
      </c>
      <c r="I723" s="5" t="s">
        <v>5156</v>
      </c>
      <c r="J723" s="5" t="s">
        <v>5157</v>
      </c>
      <c r="K723" s="5" t="str">
        <f t="shared" si="22"/>
        <v>https://www.google.com/maps?q=-11.968065, -41.268646</v>
      </c>
      <c r="L723" s="5" t="str">
        <f t="shared" si="23"/>
        <v>Abrir no Maps</v>
      </c>
      <c r="M723" t="s">
        <v>5158</v>
      </c>
      <c r="N723" s="5"/>
      <c r="O723" t="str">
        <f>VLOOKUP(G723,'[1]CONFIG.'!$B:$C,2,0)</f>
        <v>DANIEL</v>
      </c>
      <c r="P723" t="str">
        <f>VLOOKUP(O723,'[1]CONFIG.'!$C:$D,2,0)</f>
        <v>74 99461824</v>
      </c>
    </row>
    <row r="724" spans="1:16" x14ac:dyDescent="0.3">
      <c r="A724" t="s">
        <v>5159</v>
      </c>
      <c r="B724" t="s">
        <v>5160</v>
      </c>
      <c r="C724" t="s">
        <v>5161</v>
      </c>
      <c r="D724" t="s">
        <v>5011</v>
      </c>
      <c r="E724" t="s">
        <v>5162</v>
      </c>
      <c r="F724" t="s">
        <v>137</v>
      </c>
      <c r="G724">
        <v>213</v>
      </c>
      <c r="H724">
        <v>300</v>
      </c>
      <c r="I724" s="5" t="s">
        <v>5163</v>
      </c>
      <c r="J724" s="5" t="s">
        <v>5164</v>
      </c>
      <c r="K724" s="5" t="str">
        <f t="shared" si="22"/>
        <v>https://www.google.com/maps?q=-11.969562, -41.267387</v>
      </c>
      <c r="L724" s="5" t="str">
        <f t="shared" si="23"/>
        <v>Abrir no Maps</v>
      </c>
      <c r="M724" t="s">
        <v>5165</v>
      </c>
      <c r="N724" s="5"/>
      <c r="O724" t="str">
        <f>VLOOKUP(G724,'[1]CONFIG.'!$B:$C,2,0)</f>
        <v>DANIEL</v>
      </c>
      <c r="P724" t="str">
        <f>VLOOKUP(O724,'[1]CONFIG.'!$C:$D,2,0)</f>
        <v>74 99461824</v>
      </c>
    </row>
    <row r="725" spans="1:16" x14ac:dyDescent="0.3">
      <c r="A725" t="s">
        <v>5166</v>
      </c>
      <c r="B725" t="s">
        <v>5167</v>
      </c>
      <c r="C725" t="s">
        <v>5168</v>
      </c>
      <c r="D725" t="s">
        <v>5011</v>
      </c>
      <c r="E725" t="s">
        <v>5169</v>
      </c>
      <c r="F725" t="s">
        <v>5170</v>
      </c>
      <c r="G725">
        <v>213</v>
      </c>
      <c r="H725">
        <v>300</v>
      </c>
      <c r="I725" s="5" t="s">
        <v>5171</v>
      </c>
      <c r="J725" s="5" t="s">
        <v>5172</v>
      </c>
      <c r="K725" s="5" t="str">
        <f t="shared" si="22"/>
        <v>https://www.google.com/maps?q=-11.945703, -41.270702</v>
      </c>
      <c r="L725" s="5" t="str">
        <f t="shared" si="23"/>
        <v>Abrir no Maps</v>
      </c>
      <c r="M725" t="s">
        <v>5173</v>
      </c>
      <c r="N725" s="5"/>
      <c r="O725" t="str">
        <f>VLOOKUP(G725,'[1]CONFIG.'!$B:$C,2,0)</f>
        <v>DANIEL</v>
      </c>
      <c r="P725" t="str">
        <f>VLOOKUP(O725,'[1]CONFIG.'!$C:$D,2,0)</f>
        <v>74 99461824</v>
      </c>
    </row>
    <row r="726" spans="1:16" x14ac:dyDescent="0.3">
      <c r="A726" t="s">
        <v>5174</v>
      </c>
      <c r="B726" t="s">
        <v>5175</v>
      </c>
      <c r="C726" t="s">
        <v>5176</v>
      </c>
      <c r="D726" t="s">
        <v>5011</v>
      </c>
      <c r="E726" t="s">
        <v>5177</v>
      </c>
      <c r="F726" t="s">
        <v>137</v>
      </c>
      <c r="G726">
        <v>213</v>
      </c>
      <c r="H726">
        <v>300</v>
      </c>
      <c r="I726" s="5" t="s">
        <v>5178</v>
      </c>
      <c r="J726" s="5" t="s">
        <v>5179</v>
      </c>
      <c r="K726" s="5" t="str">
        <f t="shared" si="22"/>
        <v>https://www.google.com/maps?q=-11.969582, -41.267390</v>
      </c>
      <c r="L726" s="5" t="str">
        <f t="shared" si="23"/>
        <v>Abrir no Maps</v>
      </c>
      <c r="M726" t="s">
        <v>5180</v>
      </c>
      <c r="N726" s="5"/>
      <c r="O726" t="str">
        <f>VLOOKUP(G726,'[1]CONFIG.'!$B:$C,2,0)</f>
        <v>DANIEL</v>
      </c>
      <c r="P726" t="str">
        <f>VLOOKUP(O726,'[1]CONFIG.'!$C:$D,2,0)</f>
        <v>74 99461824</v>
      </c>
    </row>
    <row r="727" spans="1:16" x14ac:dyDescent="0.3">
      <c r="A727" t="s">
        <v>5181</v>
      </c>
      <c r="B727" t="s">
        <v>5182</v>
      </c>
      <c r="C727" t="s">
        <v>5183</v>
      </c>
      <c r="D727" t="s">
        <v>5011</v>
      </c>
      <c r="E727" t="s">
        <v>5184</v>
      </c>
      <c r="F727" t="s">
        <v>137</v>
      </c>
      <c r="G727">
        <v>213</v>
      </c>
      <c r="H727">
        <v>300</v>
      </c>
      <c r="I727" s="5" t="s">
        <v>5185</v>
      </c>
      <c r="J727" s="5" t="s">
        <v>5186</v>
      </c>
      <c r="K727" s="5" t="str">
        <f t="shared" si="22"/>
        <v>https://www.google.com/maps?q=-11.969795, -41.264410</v>
      </c>
      <c r="L727" s="5" t="str">
        <f t="shared" si="23"/>
        <v>Abrir no Maps</v>
      </c>
      <c r="M727" t="s">
        <v>5187</v>
      </c>
      <c r="N727" s="5"/>
      <c r="O727" t="str">
        <f>VLOOKUP(G727,'[1]CONFIG.'!$B:$C,2,0)</f>
        <v>DANIEL</v>
      </c>
      <c r="P727" t="str">
        <f>VLOOKUP(O727,'[1]CONFIG.'!$C:$D,2,0)</f>
        <v>74 99461824</v>
      </c>
    </row>
    <row r="728" spans="1:16" x14ac:dyDescent="0.3">
      <c r="A728" t="s">
        <v>5188</v>
      </c>
      <c r="B728" t="s">
        <v>5189</v>
      </c>
      <c r="C728" t="s">
        <v>5190</v>
      </c>
      <c r="D728" t="s">
        <v>5011</v>
      </c>
      <c r="E728" t="s">
        <v>5191</v>
      </c>
      <c r="F728" t="s">
        <v>137</v>
      </c>
      <c r="G728">
        <v>213</v>
      </c>
      <c r="H728">
        <v>300</v>
      </c>
      <c r="I728" s="5" t="s">
        <v>5192</v>
      </c>
      <c r="J728" s="5" t="s">
        <v>5193</v>
      </c>
      <c r="K728" s="5" t="str">
        <f t="shared" si="22"/>
        <v>https://www.google.com/maps?q=-11.900108, -41.293884</v>
      </c>
      <c r="L728" s="5" t="str">
        <f t="shared" si="23"/>
        <v>Abrir no Maps</v>
      </c>
      <c r="M728" t="s">
        <v>5194</v>
      </c>
      <c r="N728" s="5"/>
      <c r="O728" t="str">
        <f>VLOOKUP(G728,'[1]CONFIG.'!$B:$C,2,0)</f>
        <v>DANIEL</v>
      </c>
      <c r="P728" t="str">
        <f>VLOOKUP(O728,'[1]CONFIG.'!$C:$D,2,0)</f>
        <v>74 99461824</v>
      </c>
    </row>
    <row r="729" spans="1:16" x14ac:dyDescent="0.3">
      <c r="A729" t="s">
        <v>5195</v>
      </c>
      <c r="B729" t="s">
        <v>5196</v>
      </c>
      <c r="C729" t="s">
        <v>5197</v>
      </c>
      <c r="D729" t="s">
        <v>5011</v>
      </c>
      <c r="E729" t="s">
        <v>5198</v>
      </c>
      <c r="F729" t="s">
        <v>5199</v>
      </c>
      <c r="G729">
        <v>213</v>
      </c>
      <c r="H729">
        <v>300</v>
      </c>
      <c r="I729" s="5" t="s">
        <v>5200</v>
      </c>
      <c r="J729" s="5" t="s">
        <v>5201</v>
      </c>
      <c r="K729" s="5" t="str">
        <f t="shared" si="22"/>
        <v>https://www.google.com/maps?q=-11.959599, -41.276882</v>
      </c>
      <c r="L729" s="5" t="str">
        <f t="shared" si="23"/>
        <v>Abrir no Maps</v>
      </c>
      <c r="M729" t="s">
        <v>5202</v>
      </c>
      <c r="N729" s="5"/>
      <c r="O729" t="str">
        <f>VLOOKUP(G729,'[1]CONFIG.'!$B:$C,2,0)</f>
        <v>DANIEL</v>
      </c>
      <c r="P729" t="str">
        <f>VLOOKUP(O729,'[1]CONFIG.'!$C:$D,2,0)</f>
        <v>74 99461824</v>
      </c>
    </row>
    <row r="730" spans="1:16" x14ac:dyDescent="0.3">
      <c r="A730" t="s">
        <v>5203</v>
      </c>
      <c r="B730" t="s">
        <v>5204</v>
      </c>
      <c r="C730" t="s">
        <v>5205</v>
      </c>
      <c r="D730" t="s">
        <v>5011</v>
      </c>
      <c r="E730" t="s">
        <v>5206</v>
      </c>
      <c r="F730" t="s">
        <v>5013</v>
      </c>
      <c r="G730">
        <v>213</v>
      </c>
      <c r="H730">
        <v>300</v>
      </c>
      <c r="I730" s="5" t="s">
        <v>5207</v>
      </c>
      <c r="J730" s="5" t="s">
        <v>5208</v>
      </c>
      <c r="K730" s="5" t="str">
        <f t="shared" si="22"/>
        <v>https://www.google.com/maps?q=-11.869877, -41.301544</v>
      </c>
      <c r="L730" s="5" t="str">
        <f t="shared" si="23"/>
        <v>Abrir no Maps</v>
      </c>
      <c r="M730" t="s">
        <v>5209</v>
      </c>
      <c r="N730" s="5"/>
      <c r="O730" t="str">
        <f>VLOOKUP(G730,'[1]CONFIG.'!$B:$C,2,0)</f>
        <v>DANIEL</v>
      </c>
      <c r="P730" t="str">
        <f>VLOOKUP(O730,'[1]CONFIG.'!$C:$D,2,0)</f>
        <v>74 99461824</v>
      </c>
    </row>
    <row r="731" spans="1:16" x14ac:dyDescent="0.3">
      <c r="A731" t="s">
        <v>5210</v>
      </c>
      <c r="B731" t="s">
        <v>5211</v>
      </c>
      <c r="C731" t="s">
        <v>5212</v>
      </c>
      <c r="D731" t="s">
        <v>5011</v>
      </c>
      <c r="E731" t="s">
        <v>5213</v>
      </c>
      <c r="F731" t="s">
        <v>137</v>
      </c>
      <c r="G731">
        <v>213</v>
      </c>
      <c r="H731">
        <v>300</v>
      </c>
      <c r="I731" s="5" t="s">
        <v>5214</v>
      </c>
      <c r="J731" s="5" t="s">
        <v>5215</v>
      </c>
      <c r="K731" s="5" t="str">
        <f t="shared" si="22"/>
        <v>https://www.google.com/maps?q=-11.960806, -41.269344</v>
      </c>
      <c r="L731" s="5" t="str">
        <f t="shared" si="23"/>
        <v>Abrir no Maps</v>
      </c>
      <c r="M731" t="s">
        <v>5216</v>
      </c>
      <c r="N731" s="5"/>
      <c r="O731" t="str">
        <f>VLOOKUP(G731,'[1]CONFIG.'!$B:$C,2,0)</f>
        <v>DANIEL</v>
      </c>
      <c r="P731" t="str">
        <f>VLOOKUP(O731,'[1]CONFIG.'!$C:$D,2,0)</f>
        <v>74 99461824</v>
      </c>
    </row>
    <row r="732" spans="1:16" x14ac:dyDescent="0.3">
      <c r="A732" t="s">
        <v>5217</v>
      </c>
      <c r="B732" t="s">
        <v>5218</v>
      </c>
      <c r="C732" t="s">
        <v>5219</v>
      </c>
      <c r="D732" t="s">
        <v>5011</v>
      </c>
      <c r="E732" t="s">
        <v>5220</v>
      </c>
      <c r="F732" t="s">
        <v>5221</v>
      </c>
      <c r="G732">
        <v>213</v>
      </c>
      <c r="H732">
        <v>300</v>
      </c>
      <c r="I732" s="5" t="s">
        <v>5222</v>
      </c>
      <c r="J732" s="5" t="s">
        <v>5223</v>
      </c>
      <c r="K732" s="5" t="str">
        <f t="shared" si="22"/>
        <v>https://www.google.com/maps?q=-11.974541, -41.259710</v>
      </c>
      <c r="L732" s="5" t="str">
        <f t="shared" si="23"/>
        <v>Abrir no Maps</v>
      </c>
      <c r="M732" t="s">
        <v>5224</v>
      </c>
      <c r="N732" s="5"/>
      <c r="O732" t="str">
        <f>VLOOKUP(G732,'[1]CONFIG.'!$B:$C,2,0)</f>
        <v>DANIEL</v>
      </c>
      <c r="P732" t="str">
        <f>VLOOKUP(O732,'[1]CONFIG.'!$C:$D,2,0)</f>
        <v>74 99461824</v>
      </c>
    </row>
    <row r="733" spans="1:16" x14ac:dyDescent="0.3">
      <c r="A733" t="s">
        <v>5225</v>
      </c>
      <c r="B733" t="s">
        <v>5226</v>
      </c>
      <c r="C733" t="s">
        <v>5227</v>
      </c>
      <c r="D733" t="s">
        <v>5011</v>
      </c>
      <c r="E733" t="s">
        <v>5228</v>
      </c>
      <c r="F733" t="s">
        <v>137</v>
      </c>
      <c r="G733">
        <v>213</v>
      </c>
      <c r="H733">
        <v>300</v>
      </c>
      <c r="I733" s="5" t="s">
        <v>5229</v>
      </c>
      <c r="J733" s="5" t="s">
        <v>5230</v>
      </c>
      <c r="K733" s="5" t="str">
        <f t="shared" si="22"/>
        <v>https://www.google.com/maps?q=-11.966869, -41.267117</v>
      </c>
      <c r="L733" s="5" t="str">
        <f t="shared" si="23"/>
        <v>Abrir no Maps</v>
      </c>
      <c r="M733" t="s">
        <v>5231</v>
      </c>
      <c r="N733" s="5"/>
      <c r="O733" t="str">
        <f>VLOOKUP(G733,'[1]CONFIG.'!$B:$C,2,0)</f>
        <v>DANIEL</v>
      </c>
      <c r="P733" t="str">
        <f>VLOOKUP(O733,'[1]CONFIG.'!$C:$D,2,0)</f>
        <v>74 99461824</v>
      </c>
    </row>
    <row r="734" spans="1:16" x14ac:dyDescent="0.3">
      <c r="A734" t="s">
        <v>5232</v>
      </c>
      <c r="B734" t="s">
        <v>5233</v>
      </c>
      <c r="C734" t="s">
        <v>5234</v>
      </c>
      <c r="D734" t="s">
        <v>5011</v>
      </c>
      <c r="E734" t="s">
        <v>5235</v>
      </c>
      <c r="F734" t="s">
        <v>137</v>
      </c>
      <c r="G734">
        <v>213</v>
      </c>
      <c r="H734">
        <v>300</v>
      </c>
      <c r="I734" s="5" t="s">
        <v>5236</v>
      </c>
      <c r="J734" s="5" t="s">
        <v>5237</v>
      </c>
      <c r="K734" s="5" t="str">
        <f t="shared" si="22"/>
        <v>https://www.google.com/maps?q=-11.967566, -41.266743</v>
      </c>
      <c r="L734" s="5" t="str">
        <f t="shared" si="23"/>
        <v>Abrir no Maps</v>
      </c>
      <c r="M734" t="s">
        <v>5238</v>
      </c>
      <c r="N734" s="5"/>
      <c r="O734" t="str">
        <f>VLOOKUP(G734,'[1]CONFIG.'!$B:$C,2,0)</f>
        <v>DANIEL</v>
      </c>
      <c r="P734" t="str">
        <f>VLOOKUP(O734,'[1]CONFIG.'!$C:$D,2,0)</f>
        <v>74 99461824</v>
      </c>
    </row>
    <row r="735" spans="1:16" x14ac:dyDescent="0.3">
      <c r="A735" t="s">
        <v>5239</v>
      </c>
      <c r="B735" t="s">
        <v>5240</v>
      </c>
      <c r="C735" t="s">
        <v>5241</v>
      </c>
      <c r="D735" t="s">
        <v>5011</v>
      </c>
      <c r="E735" t="s">
        <v>5242</v>
      </c>
      <c r="F735" t="s">
        <v>137</v>
      </c>
      <c r="G735">
        <v>213</v>
      </c>
      <c r="H735">
        <v>300</v>
      </c>
      <c r="I735" s="5" t="s">
        <v>5243</v>
      </c>
      <c r="J735" s="5" t="s">
        <v>5244</v>
      </c>
      <c r="K735" s="5" t="str">
        <f t="shared" si="22"/>
        <v>https://www.google.com/maps?q=-11.962344, -41.267765</v>
      </c>
      <c r="L735" s="5" t="str">
        <f t="shared" si="23"/>
        <v>Abrir no Maps</v>
      </c>
      <c r="M735">
        <v>0</v>
      </c>
      <c r="N735" s="5"/>
      <c r="O735" t="str">
        <f>VLOOKUP(G735,'[1]CONFIG.'!$B:$C,2,0)</f>
        <v>DANIEL</v>
      </c>
      <c r="P735" t="str">
        <f>VLOOKUP(O735,'[1]CONFIG.'!$C:$D,2,0)</f>
        <v>74 99461824</v>
      </c>
    </row>
    <row r="736" spans="1:16" x14ac:dyDescent="0.3">
      <c r="A736" t="s">
        <v>5245</v>
      </c>
      <c r="B736" t="s">
        <v>5246</v>
      </c>
      <c r="C736" t="s">
        <v>5247</v>
      </c>
      <c r="D736" t="s">
        <v>5011</v>
      </c>
      <c r="E736" t="s">
        <v>5248</v>
      </c>
      <c r="F736" t="s">
        <v>137</v>
      </c>
      <c r="G736">
        <v>213</v>
      </c>
      <c r="H736">
        <v>300</v>
      </c>
      <c r="I736" s="5" t="s">
        <v>5249</v>
      </c>
      <c r="J736" s="5" t="s">
        <v>5250</v>
      </c>
      <c r="K736" s="5" t="str">
        <f t="shared" si="22"/>
        <v>https://www.google.com/maps?q=-11.965244, -41.264606</v>
      </c>
      <c r="L736" s="5" t="str">
        <f t="shared" si="23"/>
        <v>Abrir no Maps</v>
      </c>
      <c r="M736" t="s">
        <v>5251</v>
      </c>
      <c r="N736" s="5"/>
      <c r="O736" t="str">
        <f>VLOOKUP(G736,'[1]CONFIG.'!$B:$C,2,0)</f>
        <v>DANIEL</v>
      </c>
      <c r="P736" t="str">
        <f>VLOOKUP(O736,'[1]CONFIG.'!$C:$D,2,0)</f>
        <v>74 99461824</v>
      </c>
    </row>
    <row r="737" spans="1:16" x14ac:dyDescent="0.3">
      <c r="A737" t="s">
        <v>5252</v>
      </c>
      <c r="B737" t="s">
        <v>5253</v>
      </c>
      <c r="C737" t="s">
        <v>5254</v>
      </c>
      <c r="D737" t="s">
        <v>5011</v>
      </c>
      <c r="E737" t="s">
        <v>5255</v>
      </c>
      <c r="F737" t="s">
        <v>137</v>
      </c>
      <c r="G737">
        <v>213</v>
      </c>
      <c r="H737">
        <v>300</v>
      </c>
      <c r="I737" s="5" t="s">
        <v>5256</v>
      </c>
      <c r="J737" s="5" t="s">
        <v>5257</v>
      </c>
      <c r="K737" s="5" t="str">
        <f t="shared" si="22"/>
        <v>https://www.google.com/maps?q=-11.973831, -41.264217</v>
      </c>
      <c r="L737" s="5" t="str">
        <f t="shared" si="23"/>
        <v>Abrir no Maps</v>
      </c>
      <c r="M737" t="s">
        <v>5258</v>
      </c>
      <c r="N737" s="5"/>
      <c r="O737" t="str">
        <f>VLOOKUP(G737,'[1]CONFIG.'!$B:$C,2,0)</f>
        <v>DANIEL</v>
      </c>
      <c r="P737" t="str">
        <f>VLOOKUP(O737,'[1]CONFIG.'!$C:$D,2,0)</f>
        <v>74 99461824</v>
      </c>
    </row>
    <row r="738" spans="1:16" x14ac:dyDescent="0.3">
      <c r="A738" t="s">
        <v>5259</v>
      </c>
      <c r="B738" t="s">
        <v>5260</v>
      </c>
      <c r="C738" t="s">
        <v>5261</v>
      </c>
      <c r="D738" t="s">
        <v>5011</v>
      </c>
      <c r="E738" t="s">
        <v>5262</v>
      </c>
      <c r="F738" t="s">
        <v>137</v>
      </c>
      <c r="G738">
        <v>213</v>
      </c>
      <c r="H738">
        <v>300</v>
      </c>
      <c r="I738" s="5" t="s">
        <v>5263</v>
      </c>
      <c r="J738" s="5" t="s">
        <v>5264</v>
      </c>
      <c r="K738" s="5" t="str">
        <f t="shared" si="22"/>
        <v>https://www.google.com/maps?q=-11.972222, -41.262962</v>
      </c>
      <c r="L738" s="5" t="str">
        <f t="shared" si="23"/>
        <v>Abrir no Maps</v>
      </c>
      <c r="M738" t="s">
        <v>5265</v>
      </c>
      <c r="N738" s="5"/>
      <c r="O738" t="str">
        <f>VLOOKUP(G738,'[1]CONFIG.'!$B:$C,2,0)</f>
        <v>DANIEL</v>
      </c>
      <c r="P738" t="str">
        <f>VLOOKUP(O738,'[1]CONFIG.'!$C:$D,2,0)</f>
        <v>74 99461824</v>
      </c>
    </row>
    <row r="739" spans="1:16" x14ac:dyDescent="0.3">
      <c r="A739" t="s">
        <v>5266</v>
      </c>
      <c r="B739" t="s">
        <v>5267</v>
      </c>
      <c r="C739" t="s">
        <v>5268</v>
      </c>
      <c r="D739" t="s">
        <v>5011</v>
      </c>
      <c r="E739" t="s">
        <v>5269</v>
      </c>
      <c r="F739" t="s">
        <v>137</v>
      </c>
      <c r="G739">
        <v>213</v>
      </c>
      <c r="H739">
        <v>300</v>
      </c>
      <c r="I739" s="5" t="s">
        <v>5270</v>
      </c>
      <c r="J739" s="5" t="s">
        <v>5271</v>
      </c>
      <c r="K739" s="5" t="str">
        <f t="shared" si="22"/>
        <v>https://www.google.com/maps?q=-11.967825, -41.266430</v>
      </c>
      <c r="L739" s="5" t="str">
        <f t="shared" si="23"/>
        <v>Abrir no Maps</v>
      </c>
      <c r="M739" t="s">
        <v>5272</v>
      </c>
      <c r="N739" s="5"/>
      <c r="O739" t="str">
        <f>VLOOKUP(G739,'[1]CONFIG.'!$B:$C,2,0)</f>
        <v>DANIEL</v>
      </c>
      <c r="P739" t="str">
        <f>VLOOKUP(O739,'[1]CONFIG.'!$C:$D,2,0)</f>
        <v>74 99461824</v>
      </c>
    </row>
    <row r="740" spans="1:16" x14ac:dyDescent="0.3">
      <c r="A740" t="s">
        <v>5273</v>
      </c>
      <c r="B740" t="s">
        <v>5274</v>
      </c>
      <c r="C740" t="s">
        <v>5275</v>
      </c>
      <c r="D740" t="s">
        <v>5011</v>
      </c>
      <c r="E740" t="s">
        <v>5276</v>
      </c>
      <c r="F740" t="s">
        <v>5013</v>
      </c>
      <c r="G740">
        <v>213</v>
      </c>
      <c r="H740">
        <v>300</v>
      </c>
      <c r="I740" s="5" t="s">
        <v>5277</v>
      </c>
      <c r="J740" s="5" t="s">
        <v>5278</v>
      </c>
      <c r="K740" s="5" t="str">
        <f t="shared" si="22"/>
        <v>https://www.google.com/maps?q=-11.857760, -41.308460</v>
      </c>
      <c r="L740" s="5" t="str">
        <f t="shared" si="23"/>
        <v>Abrir no Maps</v>
      </c>
      <c r="M740" t="s">
        <v>5279</v>
      </c>
      <c r="N740" s="5"/>
      <c r="O740" t="str">
        <f>VLOOKUP(G740,'[1]CONFIG.'!$B:$C,2,0)</f>
        <v>DANIEL</v>
      </c>
      <c r="P740" t="str">
        <f>VLOOKUP(O740,'[1]CONFIG.'!$C:$D,2,0)</f>
        <v>74 99461824</v>
      </c>
    </row>
    <row r="741" spans="1:16" x14ac:dyDescent="0.3">
      <c r="A741" t="s">
        <v>5280</v>
      </c>
      <c r="B741" t="s">
        <v>5281</v>
      </c>
      <c r="C741" t="s">
        <v>5282</v>
      </c>
      <c r="D741" t="s">
        <v>5011</v>
      </c>
      <c r="E741" t="s">
        <v>5283</v>
      </c>
      <c r="F741" t="s">
        <v>137</v>
      </c>
      <c r="G741">
        <v>213</v>
      </c>
      <c r="H741">
        <v>300</v>
      </c>
      <c r="I741" s="5" t="s">
        <v>5284</v>
      </c>
      <c r="J741" s="5" t="s">
        <v>5285</v>
      </c>
      <c r="K741" s="5" t="str">
        <f t="shared" si="22"/>
        <v>https://www.google.com/maps?q=-11.973042, -41.263560</v>
      </c>
      <c r="L741" s="5" t="str">
        <f t="shared" si="23"/>
        <v>Abrir no Maps</v>
      </c>
      <c r="M741" t="s">
        <v>5286</v>
      </c>
      <c r="N741" s="5"/>
      <c r="O741" t="str">
        <f>VLOOKUP(G741,'[1]CONFIG.'!$B:$C,2,0)</f>
        <v>DANIEL</v>
      </c>
      <c r="P741" t="str">
        <f>VLOOKUP(O741,'[1]CONFIG.'!$C:$D,2,0)</f>
        <v>74 99461824</v>
      </c>
    </row>
    <row r="742" spans="1:16" x14ac:dyDescent="0.3">
      <c r="A742" t="s">
        <v>5287</v>
      </c>
      <c r="B742" t="s">
        <v>5288</v>
      </c>
      <c r="C742" t="s">
        <v>5289</v>
      </c>
      <c r="D742" t="s">
        <v>5011</v>
      </c>
      <c r="E742" t="s">
        <v>5290</v>
      </c>
      <c r="F742" t="s">
        <v>5013</v>
      </c>
      <c r="G742">
        <v>213</v>
      </c>
      <c r="H742">
        <v>300</v>
      </c>
      <c r="I742" s="5" t="s">
        <v>5291</v>
      </c>
      <c r="J742" s="5" t="s">
        <v>5292</v>
      </c>
      <c r="K742" s="5" t="str">
        <f t="shared" si="22"/>
        <v>https://www.google.com/maps?q=-11.856702, -41.306790</v>
      </c>
      <c r="L742" s="5" t="str">
        <f t="shared" si="23"/>
        <v>Abrir no Maps</v>
      </c>
      <c r="M742" t="s">
        <v>5293</v>
      </c>
      <c r="N742" s="5"/>
      <c r="O742" t="str">
        <f>VLOOKUP(G742,'[1]CONFIG.'!$B:$C,2,0)</f>
        <v>DANIEL</v>
      </c>
      <c r="P742" t="str">
        <f>VLOOKUP(O742,'[1]CONFIG.'!$C:$D,2,0)</f>
        <v>74 99461824</v>
      </c>
    </row>
    <row r="743" spans="1:16" x14ac:dyDescent="0.3">
      <c r="A743" t="s">
        <v>5294</v>
      </c>
      <c r="B743" t="s">
        <v>5295</v>
      </c>
      <c r="C743" t="s">
        <v>5296</v>
      </c>
      <c r="D743" t="s">
        <v>5011</v>
      </c>
      <c r="E743" t="s">
        <v>5297</v>
      </c>
      <c r="F743" t="s">
        <v>5013</v>
      </c>
      <c r="G743">
        <v>213</v>
      </c>
      <c r="H743">
        <v>300</v>
      </c>
      <c r="I743" s="5" t="s">
        <v>5298</v>
      </c>
      <c r="J743" s="5" t="s">
        <v>5299</v>
      </c>
      <c r="K743" s="5" t="str">
        <f t="shared" si="22"/>
        <v>https://www.google.com/maps?q=-11.856832, -41.309193</v>
      </c>
      <c r="L743" s="5" t="str">
        <f t="shared" si="23"/>
        <v>Abrir no Maps</v>
      </c>
      <c r="M743" t="s">
        <v>5300</v>
      </c>
      <c r="N743" s="5"/>
      <c r="O743" t="str">
        <f>VLOOKUP(G743,'[1]CONFIG.'!$B:$C,2,0)</f>
        <v>DANIEL</v>
      </c>
      <c r="P743" t="str">
        <f>VLOOKUP(O743,'[1]CONFIG.'!$C:$D,2,0)</f>
        <v>74 99461824</v>
      </c>
    </row>
    <row r="744" spans="1:16" x14ac:dyDescent="0.3">
      <c r="A744" t="s">
        <v>5301</v>
      </c>
      <c r="B744" t="s">
        <v>5302</v>
      </c>
      <c r="C744" t="s">
        <v>5303</v>
      </c>
      <c r="D744" t="s">
        <v>5011</v>
      </c>
      <c r="E744" t="s">
        <v>5304</v>
      </c>
      <c r="F744" t="s">
        <v>5305</v>
      </c>
      <c r="G744">
        <v>213</v>
      </c>
      <c r="H744">
        <v>300</v>
      </c>
      <c r="I744" s="5" t="s">
        <v>5306</v>
      </c>
      <c r="J744" s="5" t="s">
        <v>5307</v>
      </c>
      <c r="K744" s="5" t="str">
        <f t="shared" si="22"/>
        <v>https://www.google.com/maps?q=-11.856004, -41.308067</v>
      </c>
      <c r="L744" s="5" t="str">
        <f t="shared" si="23"/>
        <v>Abrir no Maps</v>
      </c>
      <c r="M744" t="s">
        <v>5308</v>
      </c>
      <c r="N744" s="5"/>
      <c r="O744" t="str">
        <f>VLOOKUP(G744,'[1]CONFIG.'!$B:$C,2,0)</f>
        <v>DANIEL</v>
      </c>
      <c r="P744" t="str">
        <f>VLOOKUP(O744,'[1]CONFIG.'!$C:$D,2,0)</f>
        <v>74 99461824</v>
      </c>
    </row>
    <row r="745" spans="1:16" x14ac:dyDescent="0.3">
      <c r="A745" t="s">
        <v>5309</v>
      </c>
      <c r="B745" t="s">
        <v>5310</v>
      </c>
      <c r="C745" t="s">
        <v>5311</v>
      </c>
      <c r="D745" t="s">
        <v>5011</v>
      </c>
      <c r="E745" t="s">
        <v>5312</v>
      </c>
      <c r="F745" t="s">
        <v>137</v>
      </c>
      <c r="G745">
        <v>213</v>
      </c>
      <c r="H745">
        <v>300</v>
      </c>
      <c r="I745" s="5" t="s">
        <v>5313</v>
      </c>
      <c r="J745" s="5" t="s">
        <v>5314</v>
      </c>
      <c r="K745" s="5" t="str">
        <f t="shared" si="22"/>
        <v>https://www.google.com/maps?q=-11.968864, -41.268528</v>
      </c>
      <c r="L745" s="5" t="str">
        <f t="shared" si="23"/>
        <v>Abrir no Maps</v>
      </c>
      <c r="M745">
        <v>0</v>
      </c>
      <c r="N745" s="5"/>
      <c r="O745" t="str">
        <f>VLOOKUP(G745,'[1]CONFIG.'!$B:$C,2,0)</f>
        <v>DANIEL</v>
      </c>
      <c r="P745" t="str">
        <f>VLOOKUP(O745,'[1]CONFIG.'!$C:$D,2,0)</f>
        <v>74 99461824</v>
      </c>
    </row>
    <row r="746" spans="1:16" x14ac:dyDescent="0.3">
      <c r="A746" t="s">
        <v>5315</v>
      </c>
      <c r="B746" t="s">
        <v>5316</v>
      </c>
      <c r="C746" t="s">
        <v>5317</v>
      </c>
      <c r="D746" t="s">
        <v>5011</v>
      </c>
      <c r="E746" t="s">
        <v>5318</v>
      </c>
      <c r="F746" t="s">
        <v>137</v>
      </c>
      <c r="G746">
        <v>213</v>
      </c>
      <c r="H746">
        <v>300</v>
      </c>
      <c r="I746" s="5" t="s">
        <v>5319</v>
      </c>
      <c r="J746" s="5" t="s">
        <v>5320</v>
      </c>
      <c r="K746" s="5" t="str">
        <f t="shared" si="22"/>
        <v>https://www.google.com/maps?q=-11.973192, -41.263393</v>
      </c>
      <c r="L746" s="5" t="str">
        <f t="shared" si="23"/>
        <v>Abrir no Maps</v>
      </c>
      <c r="M746" t="s">
        <v>5321</v>
      </c>
      <c r="N746" s="5"/>
      <c r="O746" t="str">
        <f>VLOOKUP(G746,'[1]CONFIG.'!$B:$C,2,0)</f>
        <v>DANIEL</v>
      </c>
      <c r="P746" t="str">
        <f>VLOOKUP(O746,'[1]CONFIG.'!$C:$D,2,0)</f>
        <v>74 99461824</v>
      </c>
    </row>
    <row r="747" spans="1:16" x14ac:dyDescent="0.3">
      <c r="A747" t="s">
        <v>5322</v>
      </c>
      <c r="B747" t="s">
        <v>5323</v>
      </c>
      <c r="C747" t="s">
        <v>5324</v>
      </c>
      <c r="D747" t="s">
        <v>5011</v>
      </c>
      <c r="E747" t="s">
        <v>5325</v>
      </c>
      <c r="F747" t="s">
        <v>137</v>
      </c>
      <c r="G747">
        <v>213</v>
      </c>
      <c r="H747">
        <v>300</v>
      </c>
      <c r="I747" s="5" t="s">
        <v>5326</v>
      </c>
      <c r="J747" s="5" t="s">
        <v>5327</v>
      </c>
      <c r="K747" s="5" t="str">
        <f t="shared" si="22"/>
        <v>https://www.google.com/maps?q=-11.966132, -41.268070</v>
      </c>
      <c r="L747" s="5" t="str">
        <f t="shared" si="23"/>
        <v>Abrir no Maps</v>
      </c>
      <c r="M747" t="s">
        <v>5328</v>
      </c>
      <c r="N747" s="5"/>
      <c r="O747" t="str">
        <f>VLOOKUP(G747,'[1]CONFIG.'!$B:$C,2,0)</f>
        <v>DANIEL</v>
      </c>
      <c r="P747" t="str">
        <f>VLOOKUP(O747,'[1]CONFIG.'!$C:$D,2,0)</f>
        <v>74 99461824</v>
      </c>
    </row>
    <row r="748" spans="1:16" x14ac:dyDescent="0.3">
      <c r="A748" t="s">
        <v>5329</v>
      </c>
      <c r="B748" t="s">
        <v>5330</v>
      </c>
      <c r="C748" t="s">
        <v>5331</v>
      </c>
      <c r="D748" t="s">
        <v>5011</v>
      </c>
      <c r="E748" t="s">
        <v>5332</v>
      </c>
      <c r="F748" t="s">
        <v>137</v>
      </c>
      <c r="G748">
        <v>213</v>
      </c>
      <c r="H748">
        <v>300</v>
      </c>
      <c r="I748" s="5" t="s">
        <v>5333</v>
      </c>
      <c r="J748" s="5" t="s">
        <v>5334</v>
      </c>
      <c r="K748" s="5" t="str">
        <f t="shared" si="22"/>
        <v>https://www.google.com/maps?q=-11.969211, -41.268199</v>
      </c>
      <c r="L748" s="5" t="str">
        <f t="shared" si="23"/>
        <v>Abrir no Maps</v>
      </c>
      <c r="M748" t="s">
        <v>5335</v>
      </c>
      <c r="N748" s="5"/>
      <c r="O748" t="str">
        <f>VLOOKUP(G748,'[1]CONFIG.'!$B:$C,2,0)</f>
        <v>DANIEL</v>
      </c>
      <c r="P748" t="str">
        <f>VLOOKUP(O748,'[1]CONFIG.'!$C:$D,2,0)</f>
        <v>74 99461824</v>
      </c>
    </row>
    <row r="749" spans="1:16" x14ac:dyDescent="0.3">
      <c r="A749" t="s">
        <v>5336</v>
      </c>
      <c r="B749" t="s">
        <v>5337</v>
      </c>
      <c r="C749" t="s">
        <v>5338</v>
      </c>
      <c r="D749" t="s">
        <v>5011</v>
      </c>
      <c r="E749" t="s">
        <v>5339</v>
      </c>
      <c r="F749" t="s">
        <v>137</v>
      </c>
      <c r="G749">
        <v>213</v>
      </c>
      <c r="H749">
        <v>300</v>
      </c>
      <c r="I749" s="5" t="s">
        <v>5340</v>
      </c>
      <c r="J749" s="5" t="s">
        <v>5341</v>
      </c>
      <c r="K749" s="5" t="str">
        <f t="shared" si="22"/>
        <v>https://www.google.com/maps?q=-11.973793, -41.264205</v>
      </c>
      <c r="L749" s="5" t="str">
        <f t="shared" si="23"/>
        <v>Abrir no Maps</v>
      </c>
      <c r="M749" t="s">
        <v>5342</v>
      </c>
      <c r="N749" s="5"/>
      <c r="O749" t="str">
        <f>VLOOKUP(G749,'[1]CONFIG.'!$B:$C,2,0)</f>
        <v>DANIEL</v>
      </c>
      <c r="P749" t="str">
        <f>VLOOKUP(O749,'[1]CONFIG.'!$C:$D,2,0)</f>
        <v>74 99461824</v>
      </c>
    </row>
    <row r="750" spans="1:16" x14ac:dyDescent="0.3">
      <c r="A750" t="s">
        <v>5343</v>
      </c>
      <c r="B750" t="s">
        <v>5344</v>
      </c>
      <c r="C750" t="s">
        <v>5345</v>
      </c>
      <c r="D750" t="s">
        <v>5011</v>
      </c>
      <c r="E750" t="s">
        <v>5346</v>
      </c>
      <c r="F750" t="s">
        <v>5013</v>
      </c>
      <c r="G750">
        <v>213</v>
      </c>
      <c r="H750">
        <v>300</v>
      </c>
      <c r="I750" s="5" t="s">
        <v>5347</v>
      </c>
      <c r="J750" s="5" t="s">
        <v>5348</v>
      </c>
      <c r="K750" s="5" t="str">
        <f t="shared" si="22"/>
        <v>https://www.google.com/maps?q=-11.856776, -41.310464</v>
      </c>
      <c r="L750" s="5" t="str">
        <f t="shared" si="23"/>
        <v>Abrir no Maps</v>
      </c>
      <c r="M750" t="s">
        <v>5349</v>
      </c>
      <c r="N750" s="5"/>
      <c r="O750" t="str">
        <f>VLOOKUP(G750,'[1]CONFIG.'!$B:$C,2,0)</f>
        <v>DANIEL</v>
      </c>
      <c r="P750" t="str">
        <f>VLOOKUP(O750,'[1]CONFIG.'!$C:$D,2,0)</f>
        <v>74 99461824</v>
      </c>
    </row>
    <row r="751" spans="1:16" x14ac:dyDescent="0.3">
      <c r="A751" t="s">
        <v>5350</v>
      </c>
      <c r="B751" t="s">
        <v>5351</v>
      </c>
      <c r="C751" t="s">
        <v>5352</v>
      </c>
      <c r="D751" t="s">
        <v>5011</v>
      </c>
      <c r="E751" t="s">
        <v>5353</v>
      </c>
      <c r="F751" t="s">
        <v>137</v>
      </c>
      <c r="G751">
        <v>213</v>
      </c>
      <c r="H751">
        <v>300</v>
      </c>
      <c r="I751" s="5" t="s">
        <v>5354</v>
      </c>
      <c r="J751" s="5" t="s">
        <v>5355</v>
      </c>
      <c r="K751" s="5" t="str">
        <f t="shared" si="22"/>
        <v>https://www.google.com/maps?q=-11.971584, -41.265186</v>
      </c>
      <c r="L751" s="5" t="str">
        <f t="shared" si="23"/>
        <v>Abrir no Maps</v>
      </c>
      <c r="M751" t="s">
        <v>5356</v>
      </c>
      <c r="N751" s="5"/>
      <c r="O751" t="str">
        <f>VLOOKUP(G751,'[1]CONFIG.'!$B:$C,2,0)</f>
        <v>DANIEL</v>
      </c>
      <c r="P751" t="str">
        <f>VLOOKUP(O751,'[1]CONFIG.'!$C:$D,2,0)</f>
        <v>74 99461824</v>
      </c>
    </row>
    <row r="752" spans="1:16" x14ac:dyDescent="0.3">
      <c r="A752" t="s">
        <v>5357</v>
      </c>
      <c r="B752" t="s">
        <v>5358</v>
      </c>
      <c r="C752" t="s">
        <v>5359</v>
      </c>
      <c r="D752" t="s">
        <v>5011</v>
      </c>
      <c r="E752" t="s">
        <v>5360</v>
      </c>
      <c r="F752" t="s">
        <v>5013</v>
      </c>
      <c r="G752">
        <v>213</v>
      </c>
      <c r="H752">
        <v>300</v>
      </c>
      <c r="I752" s="5" t="s">
        <v>5361</v>
      </c>
      <c r="J752" s="5" t="s">
        <v>5362</v>
      </c>
      <c r="K752" s="5" t="str">
        <f t="shared" si="22"/>
        <v>https://www.google.com/maps?q=-11.858436, -41.310269</v>
      </c>
      <c r="L752" s="5" t="str">
        <f t="shared" si="23"/>
        <v>Abrir no Maps</v>
      </c>
      <c r="M752" t="s">
        <v>5363</v>
      </c>
      <c r="N752" s="5"/>
      <c r="O752" t="str">
        <f>VLOOKUP(G752,'[1]CONFIG.'!$B:$C,2,0)</f>
        <v>DANIEL</v>
      </c>
      <c r="P752" t="str">
        <f>VLOOKUP(O752,'[1]CONFIG.'!$C:$D,2,0)</f>
        <v>74 99461824</v>
      </c>
    </row>
    <row r="753" spans="1:16" x14ac:dyDescent="0.3">
      <c r="A753" t="s">
        <v>5364</v>
      </c>
      <c r="B753" t="s">
        <v>5365</v>
      </c>
      <c r="C753" t="s">
        <v>5366</v>
      </c>
      <c r="D753" t="s">
        <v>5011</v>
      </c>
      <c r="E753" t="s">
        <v>5367</v>
      </c>
      <c r="F753" t="s">
        <v>5013</v>
      </c>
      <c r="G753">
        <v>213</v>
      </c>
      <c r="H753">
        <v>300</v>
      </c>
      <c r="I753" s="5" t="s">
        <v>5368</v>
      </c>
      <c r="J753" s="5" t="s">
        <v>5369</v>
      </c>
      <c r="K753" s="5" t="str">
        <f t="shared" si="22"/>
        <v>https://www.google.com/maps?q=-94.000000, -41.309221</v>
      </c>
      <c r="L753" s="5" t="str">
        <f t="shared" si="23"/>
        <v>Abrir no Maps</v>
      </c>
      <c r="M753" t="s">
        <v>5370</v>
      </c>
      <c r="N753" s="5"/>
      <c r="O753" t="str">
        <f>VLOOKUP(G753,'[1]CONFIG.'!$B:$C,2,0)</f>
        <v>DANIEL</v>
      </c>
      <c r="P753" t="str">
        <f>VLOOKUP(O753,'[1]CONFIG.'!$C:$D,2,0)</f>
        <v>74 99461824</v>
      </c>
    </row>
    <row r="754" spans="1:16" x14ac:dyDescent="0.3">
      <c r="A754" t="s">
        <v>5371</v>
      </c>
      <c r="B754" t="s">
        <v>5372</v>
      </c>
      <c r="C754" t="s">
        <v>5373</v>
      </c>
      <c r="D754" t="s">
        <v>5374</v>
      </c>
      <c r="E754" t="s">
        <v>5375</v>
      </c>
      <c r="F754" t="s">
        <v>137</v>
      </c>
      <c r="G754">
        <v>205</v>
      </c>
      <c r="H754">
        <v>300</v>
      </c>
      <c r="I754" s="5" t="s">
        <v>5376</v>
      </c>
      <c r="J754" s="5" t="s">
        <v>5377</v>
      </c>
      <c r="K754" s="5" t="str">
        <f t="shared" si="22"/>
        <v>https://www.google.com/maps?q=-11.689996, -41.468376</v>
      </c>
      <c r="L754" s="5" t="str">
        <f t="shared" si="23"/>
        <v>Abrir no Maps</v>
      </c>
      <c r="M754" t="s">
        <v>5378</v>
      </c>
      <c r="N754" s="5"/>
      <c r="O754" t="str">
        <f>VLOOKUP(G754,'[1]CONFIG.'!$B:$C,2,0)</f>
        <v>EMETIO</v>
      </c>
      <c r="P754" t="str">
        <f>VLOOKUP(O754,'[1]CONFIG.'!$C:$D,2,0)</f>
        <v>74 98039589</v>
      </c>
    </row>
    <row r="755" spans="1:16" x14ac:dyDescent="0.3">
      <c r="A755" t="s">
        <v>5379</v>
      </c>
      <c r="B755" t="s">
        <v>5380</v>
      </c>
      <c r="C755" t="s">
        <v>5381</v>
      </c>
      <c r="D755" t="s">
        <v>5374</v>
      </c>
      <c r="E755" t="s">
        <v>5382</v>
      </c>
      <c r="F755" t="s">
        <v>137</v>
      </c>
      <c r="G755">
        <v>201</v>
      </c>
      <c r="H755">
        <v>300</v>
      </c>
      <c r="I755" s="5" t="s">
        <v>5383</v>
      </c>
      <c r="J755" s="5" t="s">
        <v>5384</v>
      </c>
      <c r="K755" s="5" t="str">
        <f t="shared" si="22"/>
        <v>https://www.google.com/maps?q=-11.693654, -41.468414</v>
      </c>
      <c r="L755" s="5" t="str">
        <f t="shared" si="23"/>
        <v>Abrir no Maps</v>
      </c>
      <c r="M755" t="s">
        <v>5385</v>
      </c>
      <c r="N755" s="5"/>
      <c r="O755" t="str">
        <f>VLOOKUP(G755,'[1]CONFIG.'!$B:$C,2,0)</f>
        <v>EDSON</v>
      </c>
      <c r="P755" t="str">
        <f>VLOOKUP(O755,'[1]CONFIG.'!$C:$D,2,0)</f>
        <v>74 99403278</v>
      </c>
    </row>
    <row r="756" spans="1:16" x14ac:dyDescent="0.3">
      <c r="A756" t="s">
        <v>5386</v>
      </c>
      <c r="B756" t="s">
        <v>5387</v>
      </c>
      <c r="C756" t="s">
        <v>5388</v>
      </c>
      <c r="D756" t="s">
        <v>5374</v>
      </c>
      <c r="E756" t="s">
        <v>5389</v>
      </c>
      <c r="F756" t="s">
        <v>137</v>
      </c>
      <c r="G756">
        <v>205</v>
      </c>
      <c r="H756">
        <v>300</v>
      </c>
      <c r="I756" s="5" t="s">
        <v>5390</v>
      </c>
      <c r="J756" s="5" t="s">
        <v>5391</v>
      </c>
      <c r="K756" s="5" t="str">
        <f t="shared" si="22"/>
        <v>https://www.google.com/maps?q=-11.689319, -41.473940</v>
      </c>
      <c r="L756" s="5" t="str">
        <f t="shared" si="23"/>
        <v>Abrir no Maps</v>
      </c>
      <c r="M756" t="s">
        <v>5392</v>
      </c>
      <c r="N756" s="5"/>
      <c r="O756" t="str">
        <f>VLOOKUP(G756,'[1]CONFIG.'!$B:$C,2,0)</f>
        <v>EMETIO</v>
      </c>
      <c r="P756" t="str">
        <f>VLOOKUP(O756,'[1]CONFIG.'!$C:$D,2,0)</f>
        <v>74 98039589</v>
      </c>
    </row>
    <row r="757" spans="1:16" x14ac:dyDescent="0.3">
      <c r="A757" t="s">
        <v>5393</v>
      </c>
      <c r="B757" t="s">
        <v>5394</v>
      </c>
      <c r="C757" t="s">
        <v>5395</v>
      </c>
      <c r="D757" t="s">
        <v>5374</v>
      </c>
      <c r="E757" t="s">
        <v>5396</v>
      </c>
      <c r="F757" t="s">
        <v>137</v>
      </c>
      <c r="G757">
        <v>201</v>
      </c>
      <c r="H757">
        <v>300</v>
      </c>
      <c r="I757" s="5" t="s">
        <v>5397</v>
      </c>
      <c r="J757" s="5" t="s">
        <v>5398</v>
      </c>
      <c r="K757" s="5" t="str">
        <f t="shared" si="22"/>
        <v>https://www.google.com/maps?q=-11.692931, -41.469110</v>
      </c>
      <c r="L757" s="5" t="str">
        <f t="shared" si="23"/>
        <v>Abrir no Maps</v>
      </c>
      <c r="M757" t="s">
        <v>5399</v>
      </c>
      <c r="N757" s="5"/>
      <c r="O757" t="str">
        <f>VLOOKUP(G757,'[1]CONFIG.'!$B:$C,2,0)</f>
        <v>EDSON</v>
      </c>
      <c r="P757" t="str">
        <f>VLOOKUP(O757,'[1]CONFIG.'!$C:$D,2,0)</f>
        <v>74 99403278</v>
      </c>
    </row>
    <row r="758" spans="1:16" x14ac:dyDescent="0.3">
      <c r="A758" t="s">
        <v>5400</v>
      </c>
      <c r="B758" t="s">
        <v>5401</v>
      </c>
      <c r="C758" t="s">
        <v>5402</v>
      </c>
      <c r="D758" t="s">
        <v>5374</v>
      </c>
      <c r="E758" t="s">
        <v>5403</v>
      </c>
      <c r="F758" t="s">
        <v>137</v>
      </c>
      <c r="G758">
        <v>205</v>
      </c>
      <c r="H758">
        <v>300</v>
      </c>
      <c r="I758" s="5" t="s">
        <v>5404</v>
      </c>
      <c r="J758" s="5" t="s">
        <v>5405</v>
      </c>
      <c r="K758" s="5" t="str">
        <f t="shared" si="22"/>
        <v>https://www.google.com/maps?q=-11.693579, -41.468500</v>
      </c>
      <c r="L758" s="5" t="str">
        <f t="shared" si="23"/>
        <v>Abrir no Maps</v>
      </c>
      <c r="M758" t="s">
        <v>5406</v>
      </c>
      <c r="N758" s="5"/>
      <c r="O758" t="str">
        <f>VLOOKUP(G758,'[1]CONFIG.'!$B:$C,2,0)</f>
        <v>EMETIO</v>
      </c>
      <c r="P758" t="str">
        <f>VLOOKUP(O758,'[1]CONFIG.'!$C:$D,2,0)</f>
        <v>74 98039589</v>
      </c>
    </row>
    <row r="759" spans="1:16" x14ac:dyDescent="0.3">
      <c r="A759" t="s">
        <v>5407</v>
      </c>
      <c r="B759" t="s">
        <v>5408</v>
      </c>
      <c r="C759" t="s">
        <v>5409</v>
      </c>
      <c r="D759" t="s">
        <v>5374</v>
      </c>
      <c r="E759" t="s">
        <v>5410</v>
      </c>
      <c r="F759" t="s">
        <v>137</v>
      </c>
      <c r="G759">
        <v>201</v>
      </c>
      <c r="H759">
        <v>300</v>
      </c>
      <c r="I759" s="5" t="s">
        <v>5411</v>
      </c>
      <c r="J759" s="5" t="s">
        <v>5412</v>
      </c>
      <c r="K759" s="5" t="str">
        <f t="shared" si="22"/>
        <v>https://www.google.com/maps?q=-11.694021, -41.468870</v>
      </c>
      <c r="L759" s="5" t="str">
        <f t="shared" si="23"/>
        <v>Abrir no Maps</v>
      </c>
      <c r="M759" t="s">
        <v>5413</v>
      </c>
      <c r="N759" s="5"/>
      <c r="O759" t="str">
        <f>VLOOKUP(G759,'[1]CONFIG.'!$B:$C,2,0)</f>
        <v>EDSON</v>
      </c>
      <c r="P759" t="str">
        <f>VLOOKUP(O759,'[1]CONFIG.'!$C:$D,2,0)</f>
        <v>74 99403278</v>
      </c>
    </row>
    <row r="760" spans="1:16" x14ac:dyDescent="0.3">
      <c r="A760" t="s">
        <v>5414</v>
      </c>
      <c r="B760" t="s">
        <v>5415</v>
      </c>
      <c r="C760" t="s">
        <v>5416</v>
      </c>
      <c r="D760" t="s">
        <v>5374</v>
      </c>
      <c r="E760" t="s">
        <v>5417</v>
      </c>
      <c r="F760" t="s">
        <v>5418</v>
      </c>
      <c r="G760">
        <v>205</v>
      </c>
      <c r="H760">
        <v>300</v>
      </c>
      <c r="I760" s="5" t="s">
        <v>5419</v>
      </c>
      <c r="J760" s="5" t="s">
        <v>5420</v>
      </c>
      <c r="K760" s="5" t="str">
        <f t="shared" si="22"/>
        <v>https://www.google.com/maps?q=-11.822857, -41.597650</v>
      </c>
      <c r="L760" s="5" t="str">
        <f t="shared" si="23"/>
        <v>Abrir no Maps</v>
      </c>
      <c r="M760" t="s">
        <v>5421</v>
      </c>
      <c r="N760" s="5"/>
      <c r="O760" t="str">
        <f>VLOOKUP(G760,'[1]CONFIG.'!$B:$C,2,0)</f>
        <v>EMETIO</v>
      </c>
      <c r="P760" t="str">
        <f>VLOOKUP(O760,'[1]CONFIG.'!$C:$D,2,0)</f>
        <v>74 98039589</v>
      </c>
    </row>
    <row r="761" spans="1:16" x14ac:dyDescent="0.3">
      <c r="A761" t="s">
        <v>5422</v>
      </c>
      <c r="B761" t="s">
        <v>5423</v>
      </c>
      <c r="C761" t="s">
        <v>5424</v>
      </c>
      <c r="D761" t="s">
        <v>5374</v>
      </c>
      <c r="E761" t="s">
        <v>5425</v>
      </c>
      <c r="F761" t="s">
        <v>137</v>
      </c>
      <c r="G761">
        <v>201</v>
      </c>
      <c r="H761">
        <v>300</v>
      </c>
      <c r="I761" s="5" t="s">
        <v>5426</v>
      </c>
      <c r="J761" s="5" t="s">
        <v>5427</v>
      </c>
      <c r="K761" s="5" t="str">
        <f t="shared" si="22"/>
        <v>https://www.google.com/maps?q=-11.699103, -41.469612</v>
      </c>
      <c r="L761" s="5" t="str">
        <f t="shared" si="23"/>
        <v>Abrir no Maps</v>
      </c>
      <c r="M761" t="s">
        <v>5428</v>
      </c>
      <c r="N761" s="5"/>
      <c r="O761" t="str">
        <f>VLOOKUP(G761,'[1]CONFIG.'!$B:$C,2,0)</f>
        <v>EDSON</v>
      </c>
      <c r="P761" t="str">
        <f>VLOOKUP(O761,'[1]CONFIG.'!$C:$D,2,0)</f>
        <v>74 99403278</v>
      </c>
    </row>
    <row r="762" spans="1:16" x14ac:dyDescent="0.3">
      <c r="A762" t="s">
        <v>5429</v>
      </c>
      <c r="B762" t="s">
        <v>5430</v>
      </c>
      <c r="C762" t="s">
        <v>5431</v>
      </c>
      <c r="D762" t="s">
        <v>5374</v>
      </c>
      <c r="E762" t="s">
        <v>5432</v>
      </c>
      <c r="F762" t="s">
        <v>137</v>
      </c>
      <c r="G762">
        <v>201</v>
      </c>
      <c r="H762">
        <v>300</v>
      </c>
      <c r="I762" s="5" t="s">
        <v>5433</v>
      </c>
      <c r="J762" s="5" t="s">
        <v>5434</v>
      </c>
      <c r="K762" s="5" t="str">
        <f t="shared" si="22"/>
        <v>https://www.google.com/maps?q=-11.695229, -41.471270</v>
      </c>
      <c r="L762" s="5" t="str">
        <f t="shared" si="23"/>
        <v>Abrir no Maps</v>
      </c>
      <c r="M762" t="s">
        <v>5435</v>
      </c>
      <c r="N762" s="5"/>
      <c r="O762" t="str">
        <f>VLOOKUP(G762,'[1]CONFIG.'!$B:$C,2,0)</f>
        <v>EDSON</v>
      </c>
      <c r="P762" t="str">
        <f>VLOOKUP(O762,'[1]CONFIG.'!$C:$D,2,0)</f>
        <v>74 99403278</v>
      </c>
    </row>
    <row r="763" spans="1:16" x14ac:dyDescent="0.3">
      <c r="A763" t="s">
        <v>5436</v>
      </c>
      <c r="B763" t="s">
        <v>5437</v>
      </c>
      <c r="C763" t="s">
        <v>5438</v>
      </c>
      <c r="D763" t="s">
        <v>5374</v>
      </c>
      <c r="E763" t="s">
        <v>5439</v>
      </c>
      <c r="F763" t="s">
        <v>137</v>
      </c>
      <c r="G763">
        <v>201</v>
      </c>
      <c r="H763">
        <v>300</v>
      </c>
      <c r="I763" s="5" t="s">
        <v>5440</v>
      </c>
      <c r="J763" s="5" t="s">
        <v>5441</v>
      </c>
      <c r="K763" s="5" t="str">
        <f t="shared" si="22"/>
        <v>https://www.google.com/maps?q=-11.694075, -41.470074</v>
      </c>
      <c r="L763" s="5" t="str">
        <f t="shared" si="23"/>
        <v>Abrir no Maps</v>
      </c>
      <c r="M763" t="s">
        <v>5442</v>
      </c>
      <c r="N763" s="5"/>
      <c r="O763" t="str">
        <f>VLOOKUP(G763,'[1]CONFIG.'!$B:$C,2,0)</f>
        <v>EDSON</v>
      </c>
      <c r="P763" t="str">
        <f>VLOOKUP(O763,'[1]CONFIG.'!$C:$D,2,0)</f>
        <v>74 99403278</v>
      </c>
    </row>
    <row r="764" spans="1:16" x14ac:dyDescent="0.3">
      <c r="A764" t="s">
        <v>5443</v>
      </c>
      <c r="B764" t="s">
        <v>5444</v>
      </c>
      <c r="C764" t="s">
        <v>5445</v>
      </c>
      <c r="D764" t="s">
        <v>5374</v>
      </c>
      <c r="E764" t="s">
        <v>5446</v>
      </c>
      <c r="F764" t="s">
        <v>137</v>
      </c>
      <c r="G764">
        <v>205</v>
      </c>
      <c r="H764">
        <v>300</v>
      </c>
      <c r="I764" s="5" t="s">
        <v>5447</v>
      </c>
      <c r="J764" s="5" t="s">
        <v>5448</v>
      </c>
      <c r="K764" s="5" t="str">
        <f t="shared" si="22"/>
        <v>https://www.google.com/maps?q=-11.688767, -41.468124</v>
      </c>
      <c r="L764" s="5" t="str">
        <f t="shared" si="23"/>
        <v>Abrir no Maps</v>
      </c>
      <c r="M764" t="s">
        <v>5449</v>
      </c>
      <c r="N764" s="5"/>
      <c r="O764" t="str">
        <f>VLOOKUP(G764,'[1]CONFIG.'!$B:$C,2,0)</f>
        <v>EMETIO</v>
      </c>
      <c r="P764" t="str">
        <f>VLOOKUP(O764,'[1]CONFIG.'!$C:$D,2,0)</f>
        <v>74 98039589</v>
      </c>
    </row>
    <row r="765" spans="1:16" x14ac:dyDescent="0.3">
      <c r="A765" t="s">
        <v>5450</v>
      </c>
      <c r="B765" t="s">
        <v>5451</v>
      </c>
      <c r="C765" t="s">
        <v>5452</v>
      </c>
      <c r="D765" t="s">
        <v>5374</v>
      </c>
      <c r="E765" t="s">
        <v>5453</v>
      </c>
      <c r="F765" t="s">
        <v>137</v>
      </c>
      <c r="G765">
        <v>201</v>
      </c>
      <c r="H765">
        <v>300</v>
      </c>
      <c r="I765" s="5" t="s">
        <v>5454</v>
      </c>
      <c r="J765" s="5" t="s">
        <v>5455</v>
      </c>
      <c r="K765" s="5" t="str">
        <f t="shared" si="22"/>
        <v>https://www.google.com/maps?q=-11.693442, -41.469273</v>
      </c>
      <c r="L765" s="5" t="str">
        <f t="shared" si="23"/>
        <v>Abrir no Maps</v>
      </c>
      <c r="M765" t="s">
        <v>5456</v>
      </c>
      <c r="N765" s="5"/>
      <c r="O765" t="str">
        <f>VLOOKUP(G765,'[1]CONFIG.'!$B:$C,2,0)</f>
        <v>EDSON</v>
      </c>
      <c r="P765" t="str">
        <f>VLOOKUP(O765,'[1]CONFIG.'!$C:$D,2,0)</f>
        <v>74 99403278</v>
      </c>
    </row>
    <row r="766" spans="1:16" x14ac:dyDescent="0.3">
      <c r="A766" t="s">
        <v>5457</v>
      </c>
      <c r="B766" t="s">
        <v>5458</v>
      </c>
      <c r="C766" t="s">
        <v>5459</v>
      </c>
      <c r="D766" t="s">
        <v>5374</v>
      </c>
      <c r="E766" t="s">
        <v>5460</v>
      </c>
      <c r="F766" t="s">
        <v>137</v>
      </c>
      <c r="G766">
        <v>201</v>
      </c>
      <c r="H766">
        <v>300</v>
      </c>
      <c r="I766" t="s">
        <v>5461</v>
      </c>
      <c r="J766" t="s">
        <v>5462</v>
      </c>
      <c r="K766" s="5" t="str">
        <f t="shared" si="22"/>
        <v>https://www.google.com/maps?q=-11.694427, -41.468945</v>
      </c>
      <c r="L766" s="5" t="str">
        <f t="shared" si="23"/>
        <v>Abrir no Maps</v>
      </c>
      <c r="M766" t="s">
        <v>5463</v>
      </c>
      <c r="N766" s="5"/>
      <c r="O766" t="str">
        <f>VLOOKUP(G766,'[1]CONFIG.'!$B:$C,2,0)</f>
        <v>EDSON</v>
      </c>
      <c r="P766" t="str">
        <f>VLOOKUP(O766,'[1]CONFIG.'!$C:$D,2,0)</f>
        <v>74 99403278</v>
      </c>
    </row>
    <row r="767" spans="1:16" x14ac:dyDescent="0.3">
      <c r="A767" t="s">
        <v>5464</v>
      </c>
      <c r="B767" t="s">
        <v>5465</v>
      </c>
      <c r="C767" t="s">
        <v>5466</v>
      </c>
      <c r="D767" t="s">
        <v>5374</v>
      </c>
      <c r="E767" t="s">
        <v>5467</v>
      </c>
      <c r="F767" t="s">
        <v>137</v>
      </c>
      <c r="G767">
        <v>201</v>
      </c>
      <c r="H767">
        <v>300</v>
      </c>
      <c r="I767" s="5" t="s">
        <v>5468</v>
      </c>
      <c r="J767" s="5" t="s">
        <v>5469</v>
      </c>
      <c r="K767" s="5" t="str">
        <f t="shared" si="22"/>
        <v>https://www.google.com/maps?q=-11.694330, -41.468605</v>
      </c>
      <c r="L767" s="5" t="str">
        <f t="shared" si="23"/>
        <v>Abrir no Maps</v>
      </c>
      <c r="M767" t="s">
        <v>5470</v>
      </c>
      <c r="N767" s="5"/>
      <c r="O767" t="str">
        <f>VLOOKUP(G767,'[1]CONFIG.'!$B:$C,2,0)</f>
        <v>EDSON</v>
      </c>
      <c r="P767" t="str">
        <f>VLOOKUP(O767,'[1]CONFIG.'!$C:$D,2,0)</f>
        <v>74 99403278</v>
      </c>
    </row>
    <row r="768" spans="1:16" x14ac:dyDescent="0.3">
      <c r="A768" t="s">
        <v>5471</v>
      </c>
      <c r="B768" t="s">
        <v>5472</v>
      </c>
      <c r="C768" t="s">
        <v>5473</v>
      </c>
      <c r="D768" t="s">
        <v>5374</v>
      </c>
      <c r="E768" t="s">
        <v>5474</v>
      </c>
      <c r="F768" t="s">
        <v>137</v>
      </c>
      <c r="G768">
        <v>201</v>
      </c>
      <c r="H768">
        <v>300</v>
      </c>
      <c r="I768" s="5" t="s">
        <v>5475</v>
      </c>
      <c r="J768" s="5" t="s">
        <v>5476</v>
      </c>
      <c r="K768" s="5" t="str">
        <f t="shared" si="22"/>
        <v>https://www.google.com/maps?q=-11.691894, -41.469147</v>
      </c>
      <c r="L768" s="5" t="str">
        <f t="shared" si="23"/>
        <v>Abrir no Maps</v>
      </c>
      <c r="M768" t="s">
        <v>5477</v>
      </c>
      <c r="N768" s="5"/>
      <c r="O768" t="str">
        <f>VLOOKUP(G768,'[1]CONFIG.'!$B:$C,2,0)</f>
        <v>EDSON</v>
      </c>
      <c r="P768" t="str">
        <f>VLOOKUP(O768,'[1]CONFIG.'!$C:$D,2,0)</f>
        <v>74 99403278</v>
      </c>
    </row>
    <row r="769" spans="1:16" x14ac:dyDescent="0.3">
      <c r="A769" t="s">
        <v>5478</v>
      </c>
      <c r="B769" t="s">
        <v>5479</v>
      </c>
      <c r="C769" t="s">
        <v>5480</v>
      </c>
      <c r="D769" t="s">
        <v>5374</v>
      </c>
      <c r="E769" t="s">
        <v>5481</v>
      </c>
      <c r="F769" t="s">
        <v>137</v>
      </c>
      <c r="G769">
        <v>201</v>
      </c>
      <c r="H769">
        <v>300</v>
      </c>
      <c r="I769" s="5" t="s">
        <v>5482</v>
      </c>
      <c r="J769" s="5" t="s">
        <v>5483</v>
      </c>
      <c r="K769" s="5" t="str">
        <f t="shared" si="22"/>
        <v>https://www.google.com/maps?q=-11.692059, -41.468580</v>
      </c>
      <c r="L769" s="5" t="str">
        <f t="shared" si="23"/>
        <v>Abrir no Maps</v>
      </c>
      <c r="M769" t="s">
        <v>5484</v>
      </c>
      <c r="N769" s="5"/>
      <c r="O769" t="str">
        <f>VLOOKUP(G769,'[1]CONFIG.'!$B:$C,2,0)</f>
        <v>EDSON</v>
      </c>
      <c r="P769" t="str">
        <f>VLOOKUP(O769,'[1]CONFIG.'!$C:$D,2,0)</f>
        <v>74 99403278</v>
      </c>
    </row>
    <row r="770" spans="1:16" x14ac:dyDescent="0.3">
      <c r="A770" t="s">
        <v>5485</v>
      </c>
      <c r="B770" t="s">
        <v>5486</v>
      </c>
      <c r="C770" t="s">
        <v>5487</v>
      </c>
      <c r="D770" t="s">
        <v>5374</v>
      </c>
      <c r="E770" t="s">
        <v>5488</v>
      </c>
      <c r="F770" t="s">
        <v>137</v>
      </c>
      <c r="G770">
        <v>205</v>
      </c>
      <c r="H770">
        <v>300</v>
      </c>
      <c r="I770" s="5" t="s">
        <v>5489</v>
      </c>
      <c r="J770" s="5" t="s">
        <v>3777</v>
      </c>
      <c r="K770" s="5" t="str">
        <f t="shared" si="22"/>
        <v>https://www.google.com/maps?q=-11.690278, -41.472220</v>
      </c>
      <c r="L770" s="5" t="str">
        <f t="shared" si="23"/>
        <v>Abrir no Maps</v>
      </c>
      <c r="M770" t="s">
        <v>5490</v>
      </c>
      <c r="N770" s="5"/>
      <c r="O770" t="str">
        <f>VLOOKUP(G770,'[1]CONFIG.'!$B:$C,2,0)</f>
        <v>EMETIO</v>
      </c>
      <c r="P770" t="str">
        <f>VLOOKUP(O770,'[1]CONFIG.'!$C:$D,2,0)</f>
        <v>74 98039589</v>
      </c>
    </row>
    <row r="771" spans="1:16" x14ac:dyDescent="0.3">
      <c r="A771" t="s">
        <v>5491</v>
      </c>
      <c r="B771" t="s">
        <v>5492</v>
      </c>
      <c r="C771" t="s">
        <v>5493</v>
      </c>
      <c r="D771" t="s">
        <v>5374</v>
      </c>
      <c r="E771" t="s">
        <v>5494</v>
      </c>
      <c r="F771" t="s">
        <v>137</v>
      </c>
      <c r="G771">
        <v>201</v>
      </c>
      <c r="H771">
        <v>300</v>
      </c>
      <c r="I771" s="5" t="s">
        <v>5495</v>
      </c>
      <c r="J771" s="5" t="s">
        <v>5496</v>
      </c>
      <c r="K771" s="5" t="str">
        <f t="shared" si="22"/>
        <v>https://www.google.com/maps?q=-11.691910, -41.469204</v>
      </c>
      <c r="L771" s="5" t="str">
        <f t="shared" si="23"/>
        <v>Abrir no Maps</v>
      </c>
      <c r="M771" t="s">
        <v>5497</v>
      </c>
      <c r="N771" s="5"/>
      <c r="O771" t="str">
        <f>VLOOKUP(G771,'[1]CONFIG.'!$B:$C,2,0)</f>
        <v>EDSON</v>
      </c>
      <c r="P771" t="str">
        <f>VLOOKUP(O771,'[1]CONFIG.'!$C:$D,2,0)</f>
        <v>74 99403278</v>
      </c>
    </row>
    <row r="772" spans="1:16" x14ac:dyDescent="0.3">
      <c r="A772" t="s">
        <v>5498</v>
      </c>
      <c r="B772" t="s">
        <v>5499</v>
      </c>
      <c r="C772" t="s">
        <v>5500</v>
      </c>
      <c r="D772" t="s">
        <v>5374</v>
      </c>
      <c r="E772" t="s">
        <v>5501</v>
      </c>
      <c r="F772" t="s">
        <v>137</v>
      </c>
      <c r="G772">
        <v>205</v>
      </c>
      <c r="H772">
        <v>300</v>
      </c>
      <c r="I772" s="5" t="s">
        <v>5502</v>
      </c>
      <c r="J772" s="5" t="s">
        <v>5503</v>
      </c>
      <c r="K772" s="5" t="str">
        <f t="shared" ref="K772:K835" si="24">"https://www.google.com/maps?q="&amp;""&amp;LEFT(I772,3)&amp;"."&amp;RIGHT(I772,6)&amp;", "&amp;LEFT(J772,3)&amp;"."&amp;RIGHT(J772,6)</f>
        <v>https://www.google.com/maps?q=-11.694432, -41.468998</v>
      </c>
      <c r="L772" s="5" t="str">
        <f t="shared" ref="L772:L835" si="25">HYPERLINK(K772,"Abrir no Maps")</f>
        <v>Abrir no Maps</v>
      </c>
      <c r="M772" t="s">
        <v>5504</v>
      </c>
      <c r="N772" s="5"/>
      <c r="O772" t="str">
        <f>VLOOKUP(G772,'[1]CONFIG.'!$B:$C,2,0)</f>
        <v>EMETIO</v>
      </c>
      <c r="P772" t="str">
        <f>VLOOKUP(O772,'[1]CONFIG.'!$C:$D,2,0)</f>
        <v>74 98039589</v>
      </c>
    </row>
    <row r="773" spans="1:16" x14ac:dyDescent="0.3">
      <c r="A773" t="s">
        <v>5505</v>
      </c>
      <c r="B773" t="s">
        <v>5506</v>
      </c>
      <c r="C773" t="s">
        <v>5507</v>
      </c>
      <c r="D773" t="s">
        <v>5374</v>
      </c>
      <c r="E773" t="s">
        <v>5508</v>
      </c>
      <c r="F773" t="s">
        <v>137</v>
      </c>
      <c r="G773">
        <v>205</v>
      </c>
      <c r="H773">
        <v>300</v>
      </c>
      <c r="I773" s="5" t="s">
        <v>5509</v>
      </c>
      <c r="J773" s="5" t="s">
        <v>5510</v>
      </c>
      <c r="K773" s="5" t="str">
        <f t="shared" si="24"/>
        <v>https://www.google.com/maps?q=-11.823523, -41.597380</v>
      </c>
      <c r="L773" s="5" t="str">
        <f t="shared" si="25"/>
        <v>Abrir no Maps</v>
      </c>
      <c r="M773" t="s">
        <v>5511</v>
      </c>
      <c r="N773" s="5"/>
      <c r="O773" t="str">
        <f>VLOOKUP(G773,'[1]CONFIG.'!$B:$C,2,0)</f>
        <v>EMETIO</v>
      </c>
      <c r="P773" t="str">
        <f>VLOOKUP(O773,'[1]CONFIG.'!$C:$D,2,0)</f>
        <v>74 98039589</v>
      </c>
    </row>
    <row r="774" spans="1:16" x14ac:dyDescent="0.3">
      <c r="A774" t="s">
        <v>5512</v>
      </c>
      <c r="B774" t="s">
        <v>5513</v>
      </c>
      <c r="C774" t="s">
        <v>5514</v>
      </c>
      <c r="D774" t="s">
        <v>3881</v>
      </c>
      <c r="E774" t="s">
        <v>5515</v>
      </c>
      <c r="F774" t="s">
        <v>137</v>
      </c>
      <c r="G774">
        <v>208</v>
      </c>
      <c r="H774">
        <v>200</v>
      </c>
      <c r="I774" s="5" t="s">
        <v>5516</v>
      </c>
      <c r="J774" s="5" t="s">
        <v>5517</v>
      </c>
      <c r="K774" s="5" t="str">
        <f t="shared" si="24"/>
        <v>https://www.google.com/maps?q=-10.822784, -42.732444</v>
      </c>
      <c r="L774" s="5" t="str">
        <f t="shared" si="25"/>
        <v>Abrir no Maps</v>
      </c>
      <c r="M774" t="s">
        <v>5518</v>
      </c>
      <c r="N774" s="5"/>
      <c r="O774" t="str">
        <f>VLOOKUP(G774,'[1]CONFIG.'!$B:$C,2,0)</f>
        <v>NEILTON</v>
      </c>
      <c r="P774" t="str">
        <f>VLOOKUP(O774,'[1]CONFIG.'!$C:$D,2,0)</f>
        <v>74 99857115</v>
      </c>
    </row>
    <row r="775" spans="1:16" x14ac:dyDescent="0.3">
      <c r="A775" t="s">
        <v>5519</v>
      </c>
      <c r="B775" t="s">
        <v>5520</v>
      </c>
      <c r="C775" t="s">
        <v>5521</v>
      </c>
      <c r="D775" t="s">
        <v>5374</v>
      </c>
      <c r="E775" t="s">
        <v>5522</v>
      </c>
      <c r="F775" t="s">
        <v>137</v>
      </c>
      <c r="G775">
        <v>205</v>
      </c>
      <c r="H775">
        <v>300</v>
      </c>
      <c r="I775" s="5" t="s">
        <v>5523</v>
      </c>
      <c r="J775" s="5" t="s">
        <v>5524</v>
      </c>
      <c r="K775" s="5" t="str">
        <f t="shared" si="24"/>
        <v>https://www.google.com/maps?q=-11.696667, -41.472500</v>
      </c>
      <c r="L775" s="5" t="str">
        <f t="shared" si="25"/>
        <v>Abrir no Maps</v>
      </c>
      <c r="M775" t="s">
        <v>5525</v>
      </c>
      <c r="N775" s="5"/>
      <c r="O775" t="str">
        <f>VLOOKUP(G775,'[1]CONFIG.'!$B:$C,2,0)</f>
        <v>EMETIO</v>
      </c>
      <c r="P775" t="str">
        <f>VLOOKUP(O775,'[1]CONFIG.'!$C:$D,2,0)</f>
        <v>74 98039589</v>
      </c>
    </row>
    <row r="776" spans="1:16" x14ac:dyDescent="0.3">
      <c r="A776" t="s">
        <v>5526</v>
      </c>
      <c r="B776" t="s">
        <v>5527</v>
      </c>
      <c r="C776" t="s">
        <v>5528</v>
      </c>
      <c r="D776" t="s">
        <v>5374</v>
      </c>
      <c r="E776" t="s">
        <v>5529</v>
      </c>
      <c r="F776" t="s">
        <v>137</v>
      </c>
      <c r="G776">
        <v>201</v>
      </c>
      <c r="H776">
        <v>300</v>
      </c>
      <c r="I776" s="5" t="s">
        <v>5530</v>
      </c>
      <c r="J776" s="5" t="s">
        <v>5531</v>
      </c>
      <c r="K776" s="5" t="str">
        <f t="shared" si="24"/>
        <v>https://www.google.com/maps?q=-11.694497, -41.468120</v>
      </c>
      <c r="L776" s="5" t="str">
        <f t="shared" si="25"/>
        <v>Abrir no Maps</v>
      </c>
      <c r="M776" t="s">
        <v>5532</v>
      </c>
      <c r="N776" s="5"/>
      <c r="O776" t="str">
        <f>VLOOKUP(G776,'[1]CONFIG.'!$B:$C,2,0)</f>
        <v>EDSON</v>
      </c>
      <c r="P776" t="str">
        <f>VLOOKUP(O776,'[1]CONFIG.'!$C:$D,2,0)</f>
        <v>74 99403278</v>
      </c>
    </row>
    <row r="777" spans="1:16" x14ac:dyDescent="0.3">
      <c r="A777" t="s">
        <v>5533</v>
      </c>
      <c r="B777" t="s">
        <v>5534</v>
      </c>
      <c r="C777" t="s">
        <v>5535</v>
      </c>
      <c r="D777" t="s">
        <v>5374</v>
      </c>
      <c r="E777" t="s">
        <v>5536</v>
      </c>
      <c r="F777" t="s">
        <v>137</v>
      </c>
      <c r="G777">
        <v>201</v>
      </c>
      <c r="H777">
        <v>300</v>
      </c>
      <c r="I777" s="5" t="s">
        <v>5537</v>
      </c>
      <c r="J777" s="5" t="s">
        <v>5538</v>
      </c>
      <c r="K777" s="5" t="str">
        <f t="shared" si="24"/>
        <v>https://www.google.com/maps?q=-11.697016, -41.471409</v>
      </c>
      <c r="L777" s="5" t="str">
        <f t="shared" si="25"/>
        <v>Abrir no Maps</v>
      </c>
      <c r="M777" t="s">
        <v>5539</v>
      </c>
      <c r="N777" s="5"/>
      <c r="O777" t="str">
        <f>VLOOKUP(G777,'[1]CONFIG.'!$B:$C,2,0)</f>
        <v>EDSON</v>
      </c>
      <c r="P777" t="str">
        <f>VLOOKUP(O777,'[1]CONFIG.'!$C:$D,2,0)</f>
        <v>74 99403278</v>
      </c>
    </row>
    <row r="778" spans="1:16" x14ac:dyDescent="0.3">
      <c r="A778" t="s">
        <v>5540</v>
      </c>
      <c r="B778" t="s">
        <v>5541</v>
      </c>
      <c r="C778" t="s">
        <v>5542</v>
      </c>
      <c r="D778" t="s">
        <v>5374</v>
      </c>
      <c r="E778" t="s">
        <v>5543</v>
      </c>
      <c r="F778" t="s">
        <v>137</v>
      </c>
      <c r="G778">
        <v>201</v>
      </c>
      <c r="H778">
        <v>300</v>
      </c>
      <c r="I778" s="5" t="s">
        <v>5544</v>
      </c>
      <c r="J778" s="5" t="s">
        <v>5545</v>
      </c>
      <c r="K778" s="5" t="str">
        <f t="shared" si="24"/>
        <v>https://www.google.com/maps?q=-11.694228, -41.469135</v>
      </c>
      <c r="L778" s="5" t="str">
        <f t="shared" si="25"/>
        <v>Abrir no Maps</v>
      </c>
      <c r="M778" t="s">
        <v>5546</v>
      </c>
      <c r="N778" s="5"/>
      <c r="O778" t="str">
        <f>VLOOKUP(G778,'[1]CONFIG.'!$B:$C,2,0)</f>
        <v>EDSON</v>
      </c>
      <c r="P778" t="str">
        <f>VLOOKUP(O778,'[1]CONFIG.'!$C:$D,2,0)</f>
        <v>74 99403278</v>
      </c>
    </row>
    <row r="779" spans="1:16" x14ac:dyDescent="0.3">
      <c r="A779" t="s">
        <v>5547</v>
      </c>
      <c r="B779" t="s">
        <v>5548</v>
      </c>
      <c r="C779" t="s">
        <v>5549</v>
      </c>
      <c r="D779" t="s">
        <v>5374</v>
      </c>
      <c r="E779" t="s">
        <v>5550</v>
      </c>
      <c r="F779" t="s">
        <v>137</v>
      </c>
      <c r="G779">
        <v>205</v>
      </c>
      <c r="H779">
        <v>300</v>
      </c>
      <c r="I779" s="5" t="s">
        <v>5551</v>
      </c>
      <c r="J779" s="5" t="s">
        <v>5552</v>
      </c>
      <c r="K779" s="5" t="str">
        <f t="shared" si="24"/>
        <v>https://www.google.com/maps?q=-11.691490, -41.470474</v>
      </c>
      <c r="L779" s="5" t="str">
        <f t="shared" si="25"/>
        <v>Abrir no Maps</v>
      </c>
      <c r="M779" t="s">
        <v>5553</v>
      </c>
      <c r="N779" s="5"/>
      <c r="O779" t="str">
        <f>VLOOKUP(G779,'[1]CONFIG.'!$B:$C,2,0)</f>
        <v>EMETIO</v>
      </c>
      <c r="P779" t="str">
        <f>VLOOKUP(O779,'[1]CONFIG.'!$C:$D,2,0)</f>
        <v>74 98039589</v>
      </c>
    </row>
    <row r="780" spans="1:16" x14ac:dyDescent="0.3">
      <c r="A780" t="s">
        <v>5554</v>
      </c>
      <c r="B780" t="s">
        <v>5555</v>
      </c>
      <c r="C780" t="s">
        <v>5556</v>
      </c>
      <c r="D780" t="s">
        <v>5374</v>
      </c>
      <c r="E780" t="s">
        <v>5557</v>
      </c>
      <c r="F780" t="s">
        <v>137</v>
      </c>
      <c r="G780">
        <v>201</v>
      </c>
      <c r="H780">
        <v>300</v>
      </c>
      <c r="I780" s="5" t="s">
        <v>5558</v>
      </c>
      <c r="J780" s="5" t="s">
        <v>5559</v>
      </c>
      <c r="K780" s="5" t="str">
        <f t="shared" si="24"/>
        <v>https://www.google.com/maps?q=-11.690222, -41.470905</v>
      </c>
      <c r="L780" s="5" t="str">
        <f t="shared" si="25"/>
        <v>Abrir no Maps</v>
      </c>
      <c r="M780" t="s">
        <v>5560</v>
      </c>
      <c r="N780" s="5"/>
      <c r="O780" t="str">
        <f>VLOOKUP(G780,'[1]CONFIG.'!$B:$C,2,0)</f>
        <v>EDSON</v>
      </c>
      <c r="P780" t="str">
        <f>VLOOKUP(O780,'[1]CONFIG.'!$C:$D,2,0)</f>
        <v>74 99403278</v>
      </c>
    </row>
    <row r="781" spans="1:16" x14ac:dyDescent="0.3">
      <c r="A781" t="s">
        <v>5561</v>
      </c>
      <c r="B781" t="s">
        <v>5562</v>
      </c>
      <c r="C781" t="s">
        <v>5563</v>
      </c>
      <c r="D781" t="s">
        <v>5374</v>
      </c>
      <c r="E781" t="s">
        <v>5564</v>
      </c>
      <c r="F781" t="s">
        <v>137</v>
      </c>
      <c r="G781">
        <v>205</v>
      </c>
      <c r="H781">
        <v>300</v>
      </c>
      <c r="I781" s="5" t="s">
        <v>5565</v>
      </c>
      <c r="J781" s="5" t="s">
        <v>5566</v>
      </c>
      <c r="K781" s="5" t="str">
        <f t="shared" si="24"/>
        <v>https://www.google.com/maps?q=-11.690960, -41.474564</v>
      </c>
      <c r="L781" s="5" t="str">
        <f t="shared" si="25"/>
        <v>Abrir no Maps</v>
      </c>
      <c r="M781" t="s">
        <v>5567</v>
      </c>
      <c r="N781" s="5"/>
      <c r="O781" t="str">
        <f>VLOOKUP(G781,'[1]CONFIG.'!$B:$C,2,0)</f>
        <v>EMETIO</v>
      </c>
      <c r="P781" t="str">
        <f>VLOOKUP(O781,'[1]CONFIG.'!$C:$D,2,0)</f>
        <v>74 98039589</v>
      </c>
    </row>
    <row r="782" spans="1:16" x14ac:dyDescent="0.3">
      <c r="A782" t="s">
        <v>5568</v>
      </c>
      <c r="B782" t="s">
        <v>5569</v>
      </c>
      <c r="C782" t="s">
        <v>5570</v>
      </c>
      <c r="D782" t="s">
        <v>5374</v>
      </c>
      <c r="E782" t="s">
        <v>5571</v>
      </c>
      <c r="F782" t="s">
        <v>137</v>
      </c>
      <c r="G782">
        <v>201</v>
      </c>
      <c r="H782">
        <v>300</v>
      </c>
      <c r="I782" s="5" t="s">
        <v>5572</v>
      </c>
      <c r="J782" s="5" t="s">
        <v>5573</v>
      </c>
      <c r="K782" s="5" t="str">
        <f t="shared" si="24"/>
        <v>https://www.google.com/maps?q=-11.691958, -41.468400</v>
      </c>
      <c r="L782" s="5" t="str">
        <f t="shared" si="25"/>
        <v>Abrir no Maps</v>
      </c>
      <c r="M782" t="s">
        <v>5574</v>
      </c>
      <c r="N782" s="5"/>
      <c r="O782" t="str">
        <f>VLOOKUP(G782,'[1]CONFIG.'!$B:$C,2,0)</f>
        <v>EDSON</v>
      </c>
      <c r="P782" t="str">
        <f>VLOOKUP(O782,'[1]CONFIG.'!$C:$D,2,0)</f>
        <v>74 99403278</v>
      </c>
    </row>
    <row r="783" spans="1:16" x14ac:dyDescent="0.3">
      <c r="A783" t="s">
        <v>5575</v>
      </c>
      <c r="B783" t="s">
        <v>5576</v>
      </c>
      <c r="C783" t="s">
        <v>5577</v>
      </c>
      <c r="D783" t="s">
        <v>5374</v>
      </c>
      <c r="E783" t="s">
        <v>5578</v>
      </c>
      <c r="F783" t="s">
        <v>137</v>
      </c>
      <c r="G783">
        <v>201</v>
      </c>
      <c r="H783">
        <v>300</v>
      </c>
      <c r="I783" s="5" t="s">
        <v>5579</v>
      </c>
      <c r="J783" s="5" t="s">
        <v>5483</v>
      </c>
      <c r="K783" s="5" t="str">
        <f t="shared" si="24"/>
        <v>https://www.google.com/maps?q=-11.694259, -41.468580</v>
      </c>
      <c r="L783" s="5" t="str">
        <f t="shared" si="25"/>
        <v>Abrir no Maps</v>
      </c>
      <c r="M783" t="s">
        <v>5470</v>
      </c>
      <c r="N783" s="5"/>
      <c r="O783" t="str">
        <f>VLOOKUP(G783,'[1]CONFIG.'!$B:$C,2,0)</f>
        <v>EDSON</v>
      </c>
      <c r="P783" t="str">
        <f>VLOOKUP(O783,'[1]CONFIG.'!$C:$D,2,0)</f>
        <v>74 99403278</v>
      </c>
    </row>
    <row r="784" spans="1:16" x14ac:dyDescent="0.3">
      <c r="A784" t="s">
        <v>5580</v>
      </c>
      <c r="B784" t="s">
        <v>5581</v>
      </c>
      <c r="C784" t="s">
        <v>5582</v>
      </c>
      <c r="D784" t="s">
        <v>5374</v>
      </c>
      <c r="E784" t="s">
        <v>5583</v>
      </c>
      <c r="F784" t="s">
        <v>137</v>
      </c>
      <c r="G784">
        <v>201</v>
      </c>
      <c r="H784">
        <v>300</v>
      </c>
      <c r="I784" s="5" t="s">
        <v>5584</v>
      </c>
      <c r="J784" s="5" t="s">
        <v>5585</v>
      </c>
      <c r="K784" s="5" t="str">
        <f t="shared" si="24"/>
        <v>https://www.google.com/maps?q=-11.691467, -41.468850</v>
      </c>
      <c r="L784" s="5" t="str">
        <f t="shared" si="25"/>
        <v>Abrir no Maps</v>
      </c>
      <c r="M784" t="s">
        <v>5586</v>
      </c>
      <c r="N784" s="5"/>
      <c r="O784" t="str">
        <f>VLOOKUP(G784,'[1]CONFIG.'!$B:$C,2,0)</f>
        <v>EDSON</v>
      </c>
      <c r="P784" t="str">
        <f>VLOOKUP(O784,'[1]CONFIG.'!$C:$D,2,0)</f>
        <v>74 99403278</v>
      </c>
    </row>
    <row r="785" spans="1:16" x14ac:dyDescent="0.3">
      <c r="A785" t="s">
        <v>5587</v>
      </c>
      <c r="B785" t="s">
        <v>5588</v>
      </c>
      <c r="C785" t="s">
        <v>5589</v>
      </c>
      <c r="D785" t="s">
        <v>5374</v>
      </c>
      <c r="E785" t="s">
        <v>5590</v>
      </c>
      <c r="F785" t="s">
        <v>3263</v>
      </c>
      <c r="G785">
        <v>205</v>
      </c>
      <c r="H785">
        <v>300</v>
      </c>
      <c r="I785" s="5" t="s">
        <v>5591</v>
      </c>
      <c r="J785" s="5" t="s">
        <v>5592</v>
      </c>
      <c r="K785" s="5" t="str">
        <f t="shared" si="24"/>
        <v>https://www.google.com/maps?q=-11.677084, -41.470610</v>
      </c>
      <c r="L785" s="5" t="str">
        <f t="shared" si="25"/>
        <v>Abrir no Maps</v>
      </c>
      <c r="M785" t="s">
        <v>5593</v>
      </c>
      <c r="N785" s="5"/>
      <c r="O785" t="str">
        <f>VLOOKUP(G785,'[1]CONFIG.'!$B:$C,2,0)</f>
        <v>EMETIO</v>
      </c>
      <c r="P785" t="str">
        <f>VLOOKUP(O785,'[1]CONFIG.'!$C:$D,2,0)</f>
        <v>74 98039589</v>
      </c>
    </row>
    <row r="786" spans="1:16" x14ac:dyDescent="0.3">
      <c r="A786" t="s">
        <v>5594</v>
      </c>
      <c r="B786" t="s">
        <v>5595</v>
      </c>
      <c r="C786" t="s">
        <v>5596</v>
      </c>
      <c r="D786" t="s">
        <v>5374</v>
      </c>
      <c r="E786" t="s">
        <v>5597</v>
      </c>
      <c r="F786" t="s">
        <v>137</v>
      </c>
      <c r="G786">
        <v>205</v>
      </c>
      <c r="H786">
        <v>300</v>
      </c>
      <c r="I786" s="5" t="s">
        <v>5598</v>
      </c>
      <c r="J786" s="5" t="s">
        <v>5599</v>
      </c>
      <c r="K786" s="5" t="str">
        <f t="shared" si="24"/>
        <v>https://www.google.com/maps?q=-11.689688, -41.474667</v>
      </c>
      <c r="L786" s="5" t="str">
        <f t="shared" si="25"/>
        <v>Abrir no Maps</v>
      </c>
      <c r="M786" t="s">
        <v>5600</v>
      </c>
      <c r="N786" s="5"/>
      <c r="O786" t="str">
        <f>VLOOKUP(G786,'[1]CONFIG.'!$B:$C,2,0)</f>
        <v>EMETIO</v>
      </c>
      <c r="P786" t="str">
        <f>VLOOKUP(O786,'[1]CONFIG.'!$C:$D,2,0)</f>
        <v>74 98039589</v>
      </c>
    </row>
    <row r="787" spans="1:16" x14ac:dyDescent="0.3">
      <c r="A787" t="s">
        <v>5601</v>
      </c>
      <c r="B787" t="s">
        <v>5602</v>
      </c>
      <c r="C787" t="s">
        <v>5603</v>
      </c>
      <c r="D787" t="s">
        <v>5374</v>
      </c>
      <c r="E787" t="s">
        <v>5604</v>
      </c>
      <c r="F787" t="s">
        <v>137</v>
      </c>
      <c r="G787">
        <v>205</v>
      </c>
      <c r="H787">
        <v>300</v>
      </c>
      <c r="I787" s="5" t="s">
        <v>5605</v>
      </c>
      <c r="J787" s="5" t="s">
        <v>5606</v>
      </c>
      <c r="K787" s="5" t="str">
        <f t="shared" si="24"/>
        <v>https://www.google.com/maps?q=-11.694990, -41.468357</v>
      </c>
      <c r="L787" s="5" t="str">
        <f t="shared" si="25"/>
        <v>Abrir no Maps</v>
      </c>
      <c r="M787" t="s">
        <v>5607</v>
      </c>
      <c r="N787" s="5"/>
      <c r="O787" t="str">
        <f>VLOOKUP(G787,'[1]CONFIG.'!$B:$C,2,0)</f>
        <v>EMETIO</v>
      </c>
      <c r="P787" t="str">
        <f>VLOOKUP(O787,'[1]CONFIG.'!$C:$D,2,0)</f>
        <v>74 98039589</v>
      </c>
    </row>
    <row r="788" spans="1:16" x14ac:dyDescent="0.3">
      <c r="A788" t="s">
        <v>5608</v>
      </c>
      <c r="B788" t="s">
        <v>5609</v>
      </c>
      <c r="C788" t="s">
        <v>5610</v>
      </c>
      <c r="D788" t="s">
        <v>5374</v>
      </c>
      <c r="E788" t="s">
        <v>5611</v>
      </c>
      <c r="F788" t="s">
        <v>137</v>
      </c>
      <c r="G788">
        <v>205</v>
      </c>
      <c r="H788">
        <v>300</v>
      </c>
      <c r="I788" s="5" t="s">
        <v>5612</v>
      </c>
      <c r="J788" s="5" t="s">
        <v>5613</v>
      </c>
      <c r="K788" s="5" t="str">
        <f t="shared" si="24"/>
        <v>https://www.google.com/maps?q=-11.690421, -41.471970</v>
      </c>
      <c r="L788" s="5" t="str">
        <f t="shared" si="25"/>
        <v>Abrir no Maps</v>
      </c>
      <c r="M788" t="s">
        <v>5614</v>
      </c>
      <c r="N788" s="5"/>
      <c r="O788" t="str">
        <f>VLOOKUP(G788,'[1]CONFIG.'!$B:$C,2,0)</f>
        <v>EMETIO</v>
      </c>
      <c r="P788" t="str">
        <f>VLOOKUP(O788,'[1]CONFIG.'!$C:$D,2,0)</f>
        <v>74 98039589</v>
      </c>
    </row>
    <row r="789" spans="1:16" x14ac:dyDescent="0.3">
      <c r="A789" t="s">
        <v>5615</v>
      </c>
      <c r="B789" t="s">
        <v>5616</v>
      </c>
      <c r="C789" t="s">
        <v>5617</v>
      </c>
      <c r="D789" t="s">
        <v>5374</v>
      </c>
      <c r="E789" t="s">
        <v>5618</v>
      </c>
      <c r="F789" t="s">
        <v>5619</v>
      </c>
      <c r="G789">
        <v>205</v>
      </c>
      <c r="H789">
        <v>300</v>
      </c>
      <c r="I789" s="5" t="s">
        <v>5620</v>
      </c>
      <c r="J789" s="5" t="s">
        <v>5621</v>
      </c>
      <c r="K789" s="5" t="str">
        <f t="shared" si="24"/>
        <v>https://www.google.com/maps?q=-11.702210, -41.470460</v>
      </c>
      <c r="L789" s="5" t="str">
        <f t="shared" si="25"/>
        <v>Abrir no Maps</v>
      </c>
      <c r="M789" t="s">
        <v>5622</v>
      </c>
      <c r="N789" s="5"/>
      <c r="O789" t="str">
        <f>VLOOKUP(G789,'[1]CONFIG.'!$B:$C,2,0)</f>
        <v>EMETIO</v>
      </c>
      <c r="P789" t="str">
        <f>VLOOKUP(O789,'[1]CONFIG.'!$C:$D,2,0)</f>
        <v>74 98039589</v>
      </c>
    </row>
    <row r="790" spans="1:16" x14ac:dyDescent="0.3">
      <c r="A790" t="s">
        <v>5623</v>
      </c>
      <c r="B790" t="s">
        <v>5624</v>
      </c>
      <c r="C790" t="s">
        <v>5625</v>
      </c>
      <c r="D790" t="s">
        <v>5374</v>
      </c>
      <c r="E790" t="s">
        <v>5626</v>
      </c>
      <c r="F790" t="s">
        <v>137</v>
      </c>
      <c r="G790">
        <v>205</v>
      </c>
      <c r="H790">
        <v>300</v>
      </c>
      <c r="I790" s="5" t="s">
        <v>5627</v>
      </c>
      <c r="J790" s="5" t="s">
        <v>5628</v>
      </c>
      <c r="K790" s="5" t="str">
        <f t="shared" si="24"/>
        <v>https://www.google.com/maps?q=-11.693716, -41.470642</v>
      </c>
      <c r="L790" s="5" t="str">
        <f t="shared" si="25"/>
        <v>Abrir no Maps</v>
      </c>
      <c r="M790" t="s">
        <v>1011</v>
      </c>
      <c r="N790" s="5"/>
      <c r="O790" t="str">
        <f>VLOOKUP(G790,'[1]CONFIG.'!$B:$C,2,0)</f>
        <v>EMETIO</v>
      </c>
      <c r="P790" t="str">
        <f>VLOOKUP(O790,'[1]CONFIG.'!$C:$D,2,0)</f>
        <v>74 98039589</v>
      </c>
    </row>
    <row r="791" spans="1:16" x14ac:dyDescent="0.3">
      <c r="A791" t="s">
        <v>5629</v>
      </c>
      <c r="B791" t="s">
        <v>5630</v>
      </c>
      <c r="C791" t="s">
        <v>5631</v>
      </c>
      <c r="D791" t="s">
        <v>5374</v>
      </c>
      <c r="E791" t="s">
        <v>5632</v>
      </c>
      <c r="F791" t="s">
        <v>137</v>
      </c>
      <c r="G791">
        <v>205</v>
      </c>
      <c r="H791">
        <v>300</v>
      </c>
      <c r="I791" s="5" t="s">
        <v>5633</v>
      </c>
      <c r="J791" s="5" t="s">
        <v>5634</v>
      </c>
      <c r="K791" s="5" t="str">
        <f t="shared" si="24"/>
        <v>https://www.google.com/maps?q=-11.693397, -41.471783</v>
      </c>
      <c r="L791" s="5" t="str">
        <f t="shared" si="25"/>
        <v>Abrir no Maps</v>
      </c>
      <c r="M791" t="s">
        <v>5635</v>
      </c>
      <c r="N791" s="5"/>
      <c r="O791" t="str">
        <f>VLOOKUP(G791,'[1]CONFIG.'!$B:$C,2,0)</f>
        <v>EMETIO</v>
      </c>
      <c r="P791" t="str">
        <f>VLOOKUP(O791,'[1]CONFIG.'!$C:$D,2,0)</f>
        <v>74 98039589</v>
      </c>
    </row>
    <row r="792" spans="1:16" x14ac:dyDescent="0.3">
      <c r="A792" t="s">
        <v>5636</v>
      </c>
      <c r="B792" t="s">
        <v>5637</v>
      </c>
      <c r="C792" t="s">
        <v>5638</v>
      </c>
      <c r="D792" t="s">
        <v>5374</v>
      </c>
      <c r="E792" t="s">
        <v>5639</v>
      </c>
      <c r="F792" t="s">
        <v>5418</v>
      </c>
      <c r="G792">
        <v>205</v>
      </c>
      <c r="H792">
        <v>300</v>
      </c>
      <c r="I792" s="5" t="s">
        <v>5640</v>
      </c>
      <c r="J792" s="5" t="s">
        <v>3934</v>
      </c>
      <c r="K792" s="5" t="str">
        <f t="shared" si="24"/>
        <v>https://www.google.com/maps?q=-11.825528, -41.595108</v>
      </c>
      <c r="L792" s="5" t="str">
        <f t="shared" si="25"/>
        <v>Abrir no Maps</v>
      </c>
      <c r="M792" t="s">
        <v>5641</v>
      </c>
      <c r="N792" s="5"/>
      <c r="O792" t="str">
        <f>VLOOKUP(G792,'[1]CONFIG.'!$B:$C,2,0)</f>
        <v>EMETIO</v>
      </c>
      <c r="P792" t="str">
        <f>VLOOKUP(O792,'[1]CONFIG.'!$C:$D,2,0)</f>
        <v>74 98039589</v>
      </c>
    </row>
    <row r="793" spans="1:16" x14ac:dyDescent="0.3">
      <c r="A793" t="s">
        <v>5642</v>
      </c>
      <c r="B793" t="s">
        <v>5643</v>
      </c>
      <c r="C793" t="s">
        <v>5644</v>
      </c>
      <c r="D793" t="s">
        <v>5374</v>
      </c>
      <c r="E793" t="s">
        <v>5645</v>
      </c>
      <c r="F793" t="s">
        <v>5418</v>
      </c>
      <c r="G793">
        <v>205</v>
      </c>
      <c r="H793">
        <v>300</v>
      </c>
      <c r="I793" s="5" t="s">
        <v>5646</v>
      </c>
      <c r="J793" s="5" t="s">
        <v>5647</v>
      </c>
      <c r="K793" s="5" t="str">
        <f t="shared" si="24"/>
        <v>https://www.google.com/maps?q=-11.822935, -41.597626</v>
      </c>
      <c r="L793" s="5" t="str">
        <f t="shared" si="25"/>
        <v>Abrir no Maps</v>
      </c>
      <c r="M793" t="s">
        <v>5648</v>
      </c>
      <c r="N793" s="5"/>
      <c r="O793" t="str">
        <f>VLOOKUP(G793,'[1]CONFIG.'!$B:$C,2,0)</f>
        <v>EMETIO</v>
      </c>
      <c r="P793" t="str">
        <f>VLOOKUP(O793,'[1]CONFIG.'!$C:$D,2,0)</f>
        <v>74 98039589</v>
      </c>
    </row>
    <row r="794" spans="1:16" x14ac:dyDescent="0.3">
      <c r="A794" t="s">
        <v>5649</v>
      </c>
      <c r="B794" t="s">
        <v>5650</v>
      </c>
      <c r="C794" t="s">
        <v>5651</v>
      </c>
      <c r="D794" t="s">
        <v>5374</v>
      </c>
      <c r="E794" t="s">
        <v>5652</v>
      </c>
      <c r="F794" t="s">
        <v>5418</v>
      </c>
      <c r="G794">
        <v>205</v>
      </c>
      <c r="H794">
        <v>300</v>
      </c>
      <c r="I794" s="5" t="s">
        <v>5653</v>
      </c>
      <c r="J794" s="5" t="s">
        <v>5654</v>
      </c>
      <c r="K794" s="5" t="str">
        <f t="shared" si="24"/>
        <v>https://www.google.com/maps?q=-11.823618, -41.597347</v>
      </c>
      <c r="L794" s="5" t="str">
        <f t="shared" si="25"/>
        <v>Abrir no Maps</v>
      </c>
      <c r="M794" t="s">
        <v>5655</v>
      </c>
      <c r="N794" s="5"/>
      <c r="O794" t="str">
        <f>VLOOKUP(G794,'[1]CONFIG.'!$B:$C,2,0)</f>
        <v>EMETIO</v>
      </c>
      <c r="P794" t="str">
        <f>VLOOKUP(O794,'[1]CONFIG.'!$C:$D,2,0)</f>
        <v>74 98039589</v>
      </c>
    </row>
    <row r="795" spans="1:16" x14ac:dyDescent="0.3">
      <c r="A795" t="s">
        <v>5656</v>
      </c>
      <c r="B795" t="s">
        <v>5657</v>
      </c>
      <c r="C795" t="s">
        <v>5658</v>
      </c>
      <c r="D795" t="s">
        <v>5374</v>
      </c>
      <c r="E795" t="s">
        <v>5659</v>
      </c>
      <c r="F795" t="s">
        <v>137</v>
      </c>
      <c r="G795">
        <v>205</v>
      </c>
      <c r="H795">
        <v>300</v>
      </c>
      <c r="I795" s="5" t="s">
        <v>5660</v>
      </c>
      <c r="J795" s="5" t="s">
        <v>5661</v>
      </c>
      <c r="K795" s="5" t="str">
        <f t="shared" si="24"/>
        <v>https://www.google.com/maps?q=-11.823085, -41.597477</v>
      </c>
      <c r="L795" s="5" t="str">
        <f t="shared" si="25"/>
        <v>Abrir no Maps</v>
      </c>
      <c r="M795" t="s">
        <v>5662</v>
      </c>
      <c r="N795" s="5"/>
      <c r="O795" t="str">
        <f>VLOOKUP(G795,'[1]CONFIG.'!$B:$C,2,0)</f>
        <v>EMETIO</v>
      </c>
      <c r="P795" t="str">
        <f>VLOOKUP(O795,'[1]CONFIG.'!$C:$D,2,0)</f>
        <v>74 98039589</v>
      </c>
    </row>
    <row r="796" spans="1:16" x14ac:dyDescent="0.3">
      <c r="A796" t="s">
        <v>5663</v>
      </c>
      <c r="B796" t="s">
        <v>5664</v>
      </c>
      <c r="C796" t="s">
        <v>5665</v>
      </c>
      <c r="D796" t="s">
        <v>5374</v>
      </c>
      <c r="E796" t="s">
        <v>5666</v>
      </c>
      <c r="F796" t="s">
        <v>137</v>
      </c>
      <c r="G796">
        <v>201</v>
      </c>
      <c r="H796">
        <v>300</v>
      </c>
      <c r="I796" s="5" t="s">
        <v>5667</v>
      </c>
      <c r="J796" s="5" t="s">
        <v>5668</v>
      </c>
      <c r="K796" s="5" t="str">
        <f t="shared" si="24"/>
        <v>https://www.google.com/maps?q=-11.692473, -41.471096</v>
      </c>
      <c r="L796" s="5" t="str">
        <f t="shared" si="25"/>
        <v>Abrir no Maps</v>
      </c>
      <c r="M796" t="s">
        <v>5669</v>
      </c>
      <c r="N796" s="5"/>
      <c r="O796" t="str">
        <f>VLOOKUP(G796,'[1]CONFIG.'!$B:$C,2,0)</f>
        <v>EDSON</v>
      </c>
      <c r="P796" t="str">
        <f>VLOOKUP(O796,'[1]CONFIG.'!$C:$D,2,0)</f>
        <v>74 99403278</v>
      </c>
    </row>
    <row r="797" spans="1:16" x14ac:dyDescent="0.3">
      <c r="A797" t="s">
        <v>5670</v>
      </c>
      <c r="B797" t="s">
        <v>5671</v>
      </c>
      <c r="C797" t="s">
        <v>5672</v>
      </c>
      <c r="D797" t="s">
        <v>5374</v>
      </c>
      <c r="E797" t="s">
        <v>5673</v>
      </c>
      <c r="F797" t="s">
        <v>137</v>
      </c>
      <c r="G797">
        <v>201</v>
      </c>
      <c r="H797">
        <v>300</v>
      </c>
      <c r="I797" s="5" t="s">
        <v>5674</v>
      </c>
      <c r="J797" s="5" t="s">
        <v>5675</v>
      </c>
      <c r="K797" s="5" t="str">
        <f t="shared" si="24"/>
        <v>https://www.google.com/maps?q=-11.697984, -41.468967</v>
      </c>
      <c r="L797" s="5" t="str">
        <f t="shared" si="25"/>
        <v>Abrir no Maps</v>
      </c>
      <c r="M797" t="s">
        <v>5676</v>
      </c>
      <c r="N797" s="5"/>
      <c r="O797" t="str">
        <f>VLOOKUP(G797,'[1]CONFIG.'!$B:$C,2,0)</f>
        <v>EDSON</v>
      </c>
      <c r="P797" t="str">
        <f>VLOOKUP(O797,'[1]CONFIG.'!$C:$D,2,0)</f>
        <v>74 99403278</v>
      </c>
    </row>
    <row r="798" spans="1:16" x14ac:dyDescent="0.3">
      <c r="A798" t="s">
        <v>5677</v>
      </c>
      <c r="B798" t="s">
        <v>5678</v>
      </c>
      <c r="C798" t="s">
        <v>5679</v>
      </c>
      <c r="D798" t="s">
        <v>5374</v>
      </c>
      <c r="E798" t="s">
        <v>5680</v>
      </c>
      <c r="F798" t="s">
        <v>137</v>
      </c>
      <c r="G798">
        <v>201</v>
      </c>
      <c r="H798">
        <v>300</v>
      </c>
      <c r="I798" s="5" t="s">
        <v>5681</v>
      </c>
      <c r="J798" s="5" t="s">
        <v>5682</v>
      </c>
      <c r="K798" s="5" t="str">
        <f t="shared" si="24"/>
        <v>https://www.google.com/maps?q=-11.694380, -41.468760</v>
      </c>
      <c r="L798" s="5" t="str">
        <f t="shared" si="25"/>
        <v>Abrir no Maps</v>
      </c>
      <c r="M798" t="s">
        <v>5683</v>
      </c>
      <c r="N798" s="5"/>
      <c r="O798" t="str">
        <f>VLOOKUP(G798,'[1]CONFIG.'!$B:$C,2,0)</f>
        <v>EDSON</v>
      </c>
      <c r="P798" t="str">
        <f>VLOOKUP(O798,'[1]CONFIG.'!$C:$D,2,0)</f>
        <v>74 99403278</v>
      </c>
    </row>
    <row r="799" spans="1:16" x14ac:dyDescent="0.3">
      <c r="A799" t="s">
        <v>5684</v>
      </c>
      <c r="B799" t="s">
        <v>5685</v>
      </c>
      <c r="C799" t="s">
        <v>5686</v>
      </c>
      <c r="D799" t="s">
        <v>5374</v>
      </c>
      <c r="E799" t="s">
        <v>5687</v>
      </c>
      <c r="F799" t="s">
        <v>137</v>
      </c>
      <c r="G799">
        <v>201</v>
      </c>
      <c r="H799">
        <v>300</v>
      </c>
      <c r="I799" s="5" t="s">
        <v>5688</v>
      </c>
      <c r="J799" s="5" t="s">
        <v>5689</v>
      </c>
      <c r="K799" s="5" t="str">
        <f t="shared" si="24"/>
        <v>https://www.google.com/maps?q=-11.703608, -41.470120</v>
      </c>
      <c r="L799" s="5" t="str">
        <f t="shared" si="25"/>
        <v>Abrir no Maps</v>
      </c>
      <c r="M799" t="s">
        <v>5690</v>
      </c>
      <c r="N799" s="5"/>
      <c r="O799" t="str">
        <f>VLOOKUP(G799,'[1]CONFIG.'!$B:$C,2,0)</f>
        <v>EDSON</v>
      </c>
      <c r="P799" t="str">
        <f>VLOOKUP(O799,'[1]CONFIG.'!$C:$D,2,0)</f>
        <v>74 99403278</v>
      </c>
    </row>
    <row r="800" spans="1:16" x14ac:dyDescent="0.3">
      <c r="A800" t="s">
        <v>5691</v>
      </c>
      <c r="B800" t="s">
        <v>5692</v>
      </c>
      <c r="C800" t="s">
        <v>5693</v>
      </c>
      <c r="D800" t="s">
        <v>5374</v>
      </c>
      <c r="E800" t="s">
        <v>5694</v>
      </c>
      <c r="F800" t="s">
        <v>137</v>
      </c>
      <c r="G800">
        <v>201</v>
      </c>
      <c r="H800">
        <v>300</v>
      </c>
      <c r="I800" s="5" t="s">
        <v>5695</v>
      </c>
      <c r="J800" s="5" t="s">
        <v>5696</v>
      </c>
      <c r="K800" s="5" t="str">
        <f t="shared" si="24"/>
        <v>https://www.google.com/maps?q=-11.690857, -41.471443</v>
      </c>
      <c r="L800" s="5" t="str">
        <f t="shared" si="25"/>
        <v>Abrir no Maps</v>
      </c>
      <c r="M800" t="s">
        <v>5697</v>
      </c>
      <c r="N800" s="5"/>
      <c r="O800" t="str">
        <f>VLOOKUP(G800,'[1]CONFIG.'!$B:$C,2,0)</f>
        <v>EDSON</v>
      </c>
      <c r="P800" t="str">
        <f>VLOOKUP(O800,'[1]CONFIG.'!$C:$D,2,0)</f>
        <v>74 99403278</v>
      </c>
    </row>
    <row r="801" spans="1:16" x14ac:dyDescent="0.3">
      <c r="A801" t="s">
        <v>5698</v>
      </c>
      <c r="B801" t="s">
        <v>5699</v>
      </c>
      <c r="C801" t="s">
        <v>5700</v>
      </c>
      <c r="D801" t="s">
        <v>5374</v>
      </c>
      <c r="E801" t="s">
        <v>5701</v>
      </c>
      <c r="F801" t="s">
        <v>137</v>
      </c>
      <c r="G801">
        <v>205</v>
      </c>
      <c r="H801">
        <v>300</v>
      </c>
      <c r="I801" s="5" t="s">
        <v>5702</v>
      </c>
      <c r="J801" s="5" t="s">
        <v>5703</v>
      </c>
      <c r="K801" s="5" t="str">
        <f t="shared" si="24"/>
        <v>https://www.google.com/maps?q=-11.693367, -41.467995</v>
      </c>
      <c r="L801" s="5" t="str">
        <f t="shared" si="25"/>
        <v>Abrir no Maps</v>
      </c>
      <c r="M801" t="s">
        <v>5704</v>
      </c>
      <c r="N801" s="5"/>
      <c r="O801" t="str">
        <f>VLOOKUP(G801,'[1]CONFIG.'!$B:$C,2,0)</f>
        <v>EMETIO</v>
      </c>
      <c r="P801" t="str">
        <f>VLOOKUP(O801,'[1]CONFIG.'!$C:$D,2,0)</f>
        <v>74 98039589</v>
      </c>
    </row>
    <row r="802" spans="1:16" x14ac:dyDescent="0.3">
      <c r="A802" t="s">
        <v>5705</v>
      </c>
      <c r="B802" t="s">
        <v>5706</v>
      </c>
      <c r="C802" t="s">
        <v>5707</v>
      </c>
      <c r="D802" t="s">
        <v>5374</v>
      </c>
      <c r="E802" t="s">
        <v>5708</v>
      </c>
      <c r="F802" t="s">
        <v>137</v>
      </c>
      <c r="G802">
        <v>201</v>
      </c>
      <c r="H802">
        <v>300</v>
      </c>
      <c r="I802" s="5" t="s">
        <v>5709</v>
      </c>
      <c r="J802" s="5" t="s">
        <v>5710</v>
      </c>
      <c r="K802" s="5" t="str">
        <f t="shared" si="24"/>
        <v>https://www.google.com/maps?q=-11.694088, -41.467901</v>
      </c>
      <c r="L802" s="5" t="str">
        <f t="shared" si="25"/>
        <v>Abrir no Maps</v>
      </c>
      <c r="M802" t="s">
        <v>5711</v>
      </c>
      <c r="N802" s="5"/>
      <c r="O802" t="str">
        <f>VLOOKUP(G802,'[1]CONFIG.'!$B:$C,2,0)</f>
        <v>EDSON</v>
      </c>
      <c r="P802" t="str">
        <f>VLOOKUP(O802,'[1]CONFIG.'!$C:$D,2,0)</f>
        <v>74 99403278</v>
      </c>
    </row>
    <row r="803" spans="1:16" x14ac:dyDescent="0.3">
      <c r="A803" t="s">
        <v>5712</v>
      </c>
      <c r="B803" t="s">
        <v>5713</v>
      </c>
      <c r="C803" t="s">
        <v>5714</v>
      </c>
      <c r="D803" t="s">
        <v>5374</v>
      </c>
      <c r="E803" t="s">
        <v>5715</v>
      </c>
      <c r="F803" t="s">
        <v>137</v>
      </c>
      <c r="G803">
        <v>201</v>
      </c>
      <c r="H803">
        <v>300</v>
      </c>
      <c r="I803" s="5" t="s">
        <v>5716</v>
      </c>
      <c r="J803" s="5" t="s">
        <v>5717</v>
      </c>
      <c r="K803" s="5" t="str">
        <f t="shared" si="24"/>
        <v>https://www.google.com/maps?q=-11.697057, -41.471581</v>
      </c>
      <c r="L803" s="5" t="str">
        <f t="shared" si="25"/>
        <v>Abrir no Maps</v>
      </c>
      <c r="M803" t="s">
        <v>5718</v>
      </c>
      <c r="N803" s="5"/>
      <c r="O803" t="str">
        <f>VLOOKUP(G803,'[1]CONFIG.'!$B:$C,2,0)</f>
        <v>EDSON</v>
      </c>
      <c r="P803" t="str">
        <f>VLOOKUP(O803,'[1]CONFIG.'!$C:$D,2,0)</f>
        <v>74 99403278</v>
      </c>
    </row>
    <row r="804" spans="1:16" x14ac:dyDescent="0.3">
      <c r="A804" t="s">
        <v>5719</v>
      </c>
      <c r="B804" t="s">
        <v>5720</v>
      </c>
      <c r="C804" t="s">
        <v>5721</v>
      </c>
      <c r="D804" t="s">
        <v>5374</v>
      </c>
      <c r="E804" t="s">
        <v>5722</v>
      </c>
      <c r="F804" t="s">
        <v>137</v>
      </c>
      <c r="G804">
        <v>201</v>
      </c>
      <c r="H804">
        <v>300</v>
      </c>
      <c r="I804" s="5" t="s">
        <v>5723</v>
      </c>
      <c r="J804" s="5" t="s">
        <v>5724</v>
      </c>
      <c r="K804" s="5" t="str">
        <f t="shared" si="24"/>
        <v>https://www.google.com/maps?q=-11.693172, -41.468293</v>
      </c>
      <c r="L804" s="5" t="str">
        <f t="shared" si="25"/>
        <v>Abrir no Maps</v>
      </c>
      <c r="M804" t="s">
        <v>5725</v>
      </c>
      <c r="N804" s="5"/>
      <c r="O804" t="str">
        <f>VLOOKUP(G804,'[1]CONFIG.'!$B:$C,2,0)</f>
        <v>EDSON</v>
      </c>
      <c r="P804" t="str">
        <f>VLOOKUP(O804,'[1]CONFIG.'!$C:$D,2,0)</f>
        <v>74 99403278</v>
      </c>
    </row>
    <row r="805" spans="1:16" x14ac:dyDescent="0.3">
      <c r="A805" t="s">
        <v>5726</v>
      </c>
      <c r="B805" t="s">
        <v>5727</v>
      </c>
      <c r="C805" t="s">
        <v>5728</v>
      </c>
      <c r="D805" t="s">
        <v>5374</v>
      </c>
      <c r="E805" t="s">
        <v>5729</v>
      </c>
      <c r="F805" t="s">
        <v>5730</v>
      </c>
      <c r="G805">
        <v>205</v>
      </c>
      <c r="H805">
        <v>300</v>
      </c>
      <c r="I805" s="5" t="s">
        <v>5731</v>
      </c>
      <c r="J805" s="5" t="s">
        <v>5732</v>
      </c>
      <c r="K805" s="5" t="str">
        <f t="shared" si="24"/>
        <v>https://www.google.com/maps?q=-11.694739, -41.472922</v>
      </c>
      <c r="L805" s="5" t="str">
        <f t="shared" si="25"/>
        <v>Abrir no Maps</v>
      </c>
      <c r="M805" t="s">
        <v>5733</v>
      </c>
      <c r="N805" s="5"/>
      <c r="O805" t="str">
        <f>VLOOKUP(G805,'[1]CONFIG.'!$B:$C,2,0)</f>
        <v>EMETIO</v>
      </c>
      <c r="P805" t="str">
        <f>VLOOKUP(O805,'[1]CONFIG.'!$C:$D,2,0)</f>
        <v>74 98039589</v>
      </c>
    </row>
    <row r="806" spans="1:16" x14ac:dyDescent="0.3">
      <c r="A806" t="s">
        <v>5734</v>
      </c>
      <c r="B806" t="s">
        <v>5735</v>
      </c>
      <c r="C806" t="s">
        <v>5736</v>
      </c>
      <c r="D806" t="s">
        <v>5374</v>
      </c>
      <c r="E806" t="s">
        <v>5737</v>
      </c>
      <c r="F806" t="s">
        <v>137</v>
      </c>
      <c r="G806">
        <v>205</v>
      </c>
      <c r="H806">
        <v>300</v>
      </c>
      <c r="I806" s="5" t="s">
        <v>5738</v>
      </c>
      <c r="J806" s="5" t="s">
        <v>5739</v>
      </c>
      <c r="K806" s="5" t="str">
        <f t="shared" si="24"/>
        <v>https://www.google.com/maps?q=-11.689234, -41.474050</v>
      </c>
      <c r="L806" s="5" t="str">
        <f t="shared" si="25"/>
        <v>Abrir no Maps</v>
      </c>
      <c r="M806" t="s">
        <v>5740</v>
      </c>
      <c r="N806" s="5"/>
      <c r="O806" t="str">
        <f>VLOOKUP(G806,'[1]CONFIG.'!$B:$C,2,0)</f>
        <v>EMETIO</v>
      </c>
      <c r="P806" t="str">
        <f>VLOOKUP(O806,'[1]CONFIG.'!$C:$D,2,0)</f>
        <v>74 98039589</v>
      </c>
    </row>
    <row r="807" spans="1:16" x14ac:dyDescent="0.3">
      <c r="A807" t="s">
        <v>5741</v>
      </c>
      <c r="B807" t="s">
        <v>5742</v>
      </c>
      <c r="C807" t="s">
        <v>5743</v>
      </c>
      <c r="D807" t="s">
        <v>5374</v>
      </c>
      <c r="E807" t="s">
        <v>5744</v>
      </c>
      <c r="F807" t="s">
        <v>5730</v>
      </c>
      <c r="G807">
        <v>205</v>
      </c>
      <c r="H807">
        <v>300</v>
      </c>
      <c r="I807" s="5" t="s">
        <v>5745</v>
      </c>
      <c r="J807" s="5" t="s">
        <v>5531</v>
      </c>
      <c r="K807" s="5" t="str">
        <f t="shared" si="24"/>
        <v>https://www.google.com/maps?q=-11.688831, -41.468120</v>
      </c>
      <c r="L807" s="5" t="str">
        <f t="shared" si="25"/>
        <v>Abrir no Maps</v>
      </c>
      <c r="M807" t="s">
        <v>5746</v>
      </c>
      <c r="N807" s="5"/>
      <c r="O807" t="str">
        <f>VLOOKUP(G807,'[1]CONFIG.'!$B:$C,2,0)</f>
        <v>EMETIO</v>
      </c>
      <c r="P807" t="str">
        <f>VLOOKUP(O807,'[1]CONFIG.'!$C:$D,2,0)</f>
        <v>74 98039589</v>
      </c>
    </row>
    <row r="808" spans="1:16" x14ac:dyDescent="0.3">
      <c r="A808" t="s">
        <v>5747</v>
      </c>
      <c r="B808" t="s">
        <v>5748</v>
      </c>
      <c r="C808" t="s">
        <v>5749</v>
      </c>
      <c r="D808" t="s">
        <v>5750</v>
      </c>
      <c r="E808" t="s">
        <v>5751</v>
      </c>
      <c r="F808" t="s">
        <v>137</v>
      </c>
      <c r="G808">
        <v>211</v>
      </c>
      <c r="H808">
        <v>500</v>
      </c>
      <c r="I808" s="5" t="s">
        <v>5752</v>
      </c>
      <c r="J808" s="5" t="s">
        <v>5753</v>
      </c>
      <c r="K808" s="5" t="str">
        <f t="shared" si="24"/>
        <v>https://www.google.com/maps?q=-11.683727, -41.766390</v>
      </c>
      <c r="L808" s="5" t="str">
        <f t="shared" si="25"/>
        <v>Abrir no Maps</v>
      </c>
      <c r="M808" t="s">
        <v>5754</v>
      </c>
      <c r="N808" s="5"/>
      <c r="O808" t="str">
        <f>VLOOKUP(G808,'[1]CONFIG.'!$B:$C,2,0)</f>
        <v>DAIANE</v>
      </c>
      <c r="P808" t="str">
        <f>VLOOKUP(O808,'[1]CONFIG.'!$C:$D,2,0)</f>
        <v>74 99298866</v>
      </c>
    </row>
    <row r="809" spans="1:16" x14ac:dyDescent="0.3">
      <c r="A809" t="s">
        <v>5755</v>
      </c>
      <c r="B809" t="s">
        <v>5756</v>
      </c>
      <c r="C809" t="s">
        <v>5757</v>
      </c>
      <c r="D809" t="s">
        <v>5750</v>
      </c>
      <c r="E809" t="s">
        <v>5758</v>
      </c>
      <c r="F809" t="s">
        <v>137</v>
      </c>
      <c r="G809">
        <v>211</v>
      </c>
      <c r="H809">
        <v>500</v>
      </c>
      <c r="I809" s="5" t="s">
        <v>5759</v>
      </c>
      <c r="J809" s="5" t="s">
        <v>5760</v>
      </c>
      <c r="K809" s="5" t="str">
        <f t="shared" si="24"/>
        <v>https://www.google.com/maps?q=-11.684880, -41.769516</v>
      </c>
      <c r="L809" s="5" t="str">
        <f t="shared" si="25"/>
        <v>Abrir no Maps</v>
      </c>
      <c r="M809" t="s">
        <v>5761</v>
      </c>
      <c r="N809" s="5"/>
      <c r="O809" t="str">
        <f>VLOOKUP(G809,'[1]CONFIG.'!$B:$C,2,0)</f>
        <v>DAIANE</v>
      </c>
      <c r="P809" t="str">
        <f>VLOOKUP(O809,'[1]CONFIG.'!$C:$D,2,0)</f>
        <v>74 99298866</v>
      </c>
    </row>
    <row r="810" spans="1:16" x14ac:dyDescent="0.3">
      <c r="A810" t="s">
        <v>5762</v>
      </c>
      <c r="B810" t="s">
        <v>5763</v>
      </c>
      <c r="C810" t="s">
        <v>5764</v>
      </c>
      <c r="D810" t="s">
        <v>5750</v>
      </c>
      <c r="E810" t="s">
        <v>5765</v>
      </c>
      <c r="F810" t="s">
        <v>137</v>
      </c>
      <c r="G810">
        <v>211</v>
      </c>
      <c r="H810">
        <v>500</v>
      </c>
      <c r="I810" s="5" t="s">
        <v>5766</v>
      </c>
      <c r="J810" s="5" t="s">
        <v>5767</v>
      </c>
      <c r="K810" s="5" t="str">
        <f t="shared" si="24"/>
        <v>https://www.google.com/maps?q=-11.685137, -41.768944</v>
      </c>
      <c r="L810" s="5" t="str">
        <f t="shared" si="25"/>
        <v>Abrir no Maps</v>
      </c>
      <c r="M810" t="s">
        <v>5768</v>
      </c>
      <c r="N810" s="5"/>
      <c r="O810" t="str">
        <f>VLOOKUP(G810,'[1]CONFIG.'!$B:$C,2,0)</f>
        <v>DAIANE</v>
      </c>
      <c r="P810" t="str">
        <f>VLOOKUP(O810,'[1]CONFIG.'!$C:$D,2,0)</f>
        <v>74 99298866</v>
      </c>
    </row>
    <row r="811" spans="1:16" x14ac:dyDescent="0.3">
      <c r="A811" t="s">
        <v>5769</v>
      </c>
      <c r="B811" t="s">
        <v>5770</v>
      </c>
      <c r="C811" t="s">
        <v>5771</v>
      </c>
      <c r="D811" t="s">
        <v>5750</v>
      </c>
      <c r="E811" t="s">
        <v>5772</v>
      </c>
      <c r="F811" t="s">
        <v>137</v>
      </c>
      <c r="G811">
        <v>211</v>
      </c>
      <c r="H811">
        <v>500</v>
      </c>
      <c r="I811" s="5" t="s">
        <v>5773</v>
      </c>
      <c r="J811" s="5" t="s">
        <v>5774</v>
      </c>
      <c r="K811" s="5" t="str">
        <f t="shared" si="24"/>
        <v>https://www.google.com/maps?q=-11.684627, -41.766990</v>
      </c>
      <c r="L811" s="5" t="str">
        <f t="shared" si="25"/>
        <v>Abrir no Maps</v>
      </c>
      <c r="M811" t="s">
        <v>5775</v>
      </c>
      <c r="N811" s="5"/>
      <c r="O811" t="str">
        <f>VLOOKUP(G811,'[1]CONFIG.'!$B:$C,2,0)</f>
        <v>DAIANE</v>
      </c>
      <c r="P811" t="str">
        <f>VLOOKUP(O811,'[1]CONFIG.'!$C:$D,2,0)</f>
        <v>74 99298866</v>
      </c>
    </row>
    <row r="812" spans="1:16" x14ac:dyDescent="0.3">
      <c r="A812" t="s">
        <v>5776</v>
      </c>
      <c r="B812" t="s">
        <v>5777</v>
      </c>
      <c r="C812" t="s">
        <v>5778</v>
      </c>
      <c r="D812" t="s">
        <v>5750</v>
      </c>
      <c r="E812" t="s">
        <v>5779</v>
      </c>
      <c r="F812" t="s">
        <v>5780</v>
      </c>
      <c r="G812">
        <v>211</v>
      </c>
      <c r="H812">
        <v>500</v>
      </c>
      <c r="I812" s="5" t="s">
        <v>5781</v>
      </c>
      <c r="J812" s="5" t="s">
        <v>5782</v>
      </c>
      <c r="K812" s="5" t="str">
        <f t="shared" si="24"/>
        <v>https://www.google.com/maps?q=-11.690511, -41.764782</v>
      </c>
      <c r="L812" s="5" t="str">
        <f t="shared" si="25"/>
        <v>Abrir no Maps</v>
      </c>
      <c r="M812">
        <v>0</v>
      </c>
      <c r="N812" s="5"/>
      <c r="O812" t="str">
        <f>VLOOKUP(G812,'[1]CONFIG.'!$B:$C,2,0)</f>
        <v>DAIANE</v>
      </c>
      <c r="P812" t="str">
        <f>VLOOKUP(O812,'[1]CONFIG.'!$C:$D,2,0)</f>
        <v>74 99298866</v>
      </c>
    </row>
    <row r="813" spans="1:16" x14ac:dyDescent="0.3">
      <c r="A813" t="s">
        <v>5783</v>
      </c>
      <c r="B813" t="s">
        <v>5784</v>
      </c>
      <c r="C813" t="s">
        <v>5785</v>
      </c>
      <c r="D813" t="s">
        <v>5750</v>
      </c>
      <c r="E813" t="s">
        <v>5786</v>
      </c>
      <c r="F813" t="s">
        <v>5787</v>
      </c>
      <c r="G813">
        <v>211</v>
      </c>
      <c r="H813">
        <v>500</v>
      </c>
      <c r="I813" s="5" t="s">
        <v>5788</v>
      </c>
      <c r="J813" s="5" t="s">
        <v>5789</v>
      </c>
      <c r="K813" s="5" t="str">
        <f t="shared" si="24"/>
        <v>https://www.google.com/maps?q=-11.683787, -41.769104</v>
      </c>
      <c r="L813" s="5" t="str">
        <f t="shared" si="25"/>
        <v>Abrir no Maps</v>
      </c>
      <c r="M813" t="s">
        <v>5790</v>
      </c>
      <c r="N813" s="5"/>
      <c r="O813" t="str">
        <f>VLOOKUP(G813,'[1]CONFIG.'!$B:$C,2,0)</f>
        <v>DAIANE</v>
      </c>
      <c r="P813" t="str">
        <f>VLOOKUP(O813,'[1]CONFIG.'!$C:$D,2,0)</f>
        <v>74 99298866</v>
      </c>
    </row>
    <row r="814" spans="1:16" x14ac:dyDescent="0.3">
      <c r="A814" t="s">
        <v>5791</v>
      </c>
      <c r="B814" t="s">
        <v>5792</v>
      </c>
      <c r="C814" t="s">
        <v>5793</v>
      </c>
      <c r="D814" t="s">
        <v>5750</v>
      </c>
      <c r="E814" t="s">
        <v>5794</v>
      </c>
      <c r="F814" t="s">
        <v>137</v>
      </c>
      <c r="G814">
        <v>211</v>
      </c>
      <c r="H814">
        <v>500</v>
      </c>
      <c r="I814" s="5" t="s">
        <v>5795</v>
      </c>
      <c r="J814" s="5" t="s">
        <v>5796</v>
      </c>
      <c r="K814" s="5" t="str">
        <f t="shared" si="24"/>
        <v>https://www.google.com/maps?q=-11.685461, -41.769290</v>
      </c>
      <c r="L814" s="5" t="str">
        <f t="shared" si="25"/>
        <v>Abrir no Maps</v>
      </c>
      <c r="M814" t="s">
        <v>5797</v>
      </c>
      <c r="N814" s="5"/>
      <c r="O814" t="str">
        <f>VLOOKUP(G814,'[1]CONFIG.'!$B:$C,2,0)</f>
        <v>DAIANE</v>
      </c>
      <c r="P814" t="str">
        <f>VLOOKUP(O814,'[1]CONFIG.'!$C:$D,2,0)</f>
        <v>74 99298866</v>
      </c>
    </row>
    <row r="815" spans="1:16" x14ac:dyDescent="0.3">
      <c r="A815" t="s">
        <v>5798</v>
      </c>
      <c r="B815" t="s">
        <v>5799</v>
      </c>
      <c r="C815" t="s">
        <v>5800</v>
      </c>
      <c r="D815" t="s">
        <v>5750</v>
      </c>
      <c r="E815" t="s">
        <v>5801</v>
      </c>
      <c r="F815" t="s">
        <v>5780</v>
      </c>
      <c r="G815">
        <v>211</v>
      </c>
      <c r="H815">
        <v>500</v>
      </c>
      <c r="I815" s="5" t="s">
        <v>5802</v>
      </c>
      <c r="J815" s="5" t="s">
        <v>5803</v>
      </c>
      <c r="K815" s="5" t="str">
        <f t="shared" si="24"/>
        <v>https://www.google.com/maps?q=-11.685443, -41.771810</v>
      </c>
      <c r="L815" s="5" t="str">
        <f t="shared" si="25"/>
        <v>Abrir no Maps</v>
      </c>
      <c r="M815" t="s">
        <v>5804</v>
      </c>
      <c r="N815" s="5"/>
      <c r="O815" t="str">
        <f>VLOOKUP(G815,'[1]CONFIG.'!$B:$C,2,0)</f>
        <v>DAIANE</v>
      </c>
      <c r="P815" t="str">
        <f>VLOOKUP(O815,'[1]CONFIG.'!$C:$D,2,0)</f>
        <v>74 99298866</v>
      </c>
    </row>
    <row r="816" spans="1:16" x14ac:dyDescent="0.3">
      <c r="A816" t="s">
        <v>5805</v>
      </c>
      <c r="B816" t="s">
        <v>5806</v>
      </c>
      <c r="C816" t="s">
        <v>5807</v>
      </c>
      <c r="D816" t="s">
        <v>5750</v>
      </c>
      <c r="E816" t="s">
        <v>5808</v>
      </c>
      <c r="F816" t="s">
        <v>5809</v>
      </c>
      <c r="G816">
        <v>202</v>
      </c>
      <c r="H816">
        <v>500</v>
      </c>
      <c r="I816" s="5" t="s">
        <v>5810</v>
      </c>
      <c r="J816" s="5" t="s">
        <v>5811</v>
      </c>
      <c r="K816" s="5" t="str">
        <f t="shared" si="24"/>
        <v>https://www.google.com/maps?q=-11.830956, -41.640390</v>
      </c>
      <c r="L816" s="5" t="str">
        <f t="shared" si="25"/>
        <v>Abrir no Maps</v>
      </c>
      <c r="M816" t="s">
        <v>5812</v>
      </c>
      <c r="N816" s="5"/>
      <c r="O816" t="str">
        <f>VLOOKUP(G816,'[1]CONFIG.'!$B:$C,2,0)</f>
        <v>ARISTON</v>
      </c>
      <c r="P816" t="str">
        <f>VLOOKUP(O816,'[1]CONFIG.'!$C:$D,2,0)</f>
        <v>74 99384078</v>
      </c>
    </row>
    <row r="817" spans="1:16" x14ac:dyDescent="0.3">
      <c r="A817" t="s">
        <v>5813</v>
      </c>
      <c r="B817" t="s">
        <v>5814</v>
      </c>
      <c r="C817" t="s">
        <v>5815</v>
      </c>
      <c r="D817" t="s">
        <v>5750</v>
      </c>
      <c r="E817" t="s">
        <v>5816</v>
      </c>
      <c r="F817" t="s">
        <v>5809</v>
      </c>
      <c r="G817">
        <v>202</v>
      </c>
      <c r="H817">
        <v>500</v>
      </c>
      <c r="I817" s="5" t="s">
        <v>5817</v>
      </c>
      <c r="J817" s="5" t="s">
        <v>5818</v>
      </c>
      <c r="K817" s="5" t="str">
        <f t="shared" si="24"/>
        <v>https://www.google.com/maps?q=-11.828814, -41.641262</v>
      </c>
      <c r="L817" s="5" t="str">
        <f t="shared" si="25"/>
        <v>Abrir no Maps</v>
      </c>
      <c r="M817" t="s">
        <v>5819</v>
      </c>
      <c r="N817" s="5"/>
      <c r="O817" t="str">
        <f>VLOOKUP(G817,'[1]CONFIG.'!$B:$C,2,0)</f>
        <v>ARISTON</v>
      </c>
      <c r="P817" t="str">
        <f>VLOOKUP(O817,'[1]CONFIG.'!$C:$D,2,0)</f>
        <v>74 99384078</v>
      </c>
    </row>
    <row r="818" spans="1:16" x14ac:dyDescent="0.3">
      <c r="A818" t="s">
        <v>5820</v>
      </c>
      <c r="B818" t="s">
        <v>5821</v>
      </c>
      <c r="C818" t="s">
        <v>5822</v>
      </c>
      <c r="D818" t="s">
        <v>5750</v>
      </c>
      <c r="E818" t="s">
        <v>5823</v>
      </c>
      <c r="F818" t="s">
        <v>5824</v>
      </c>
      <c r="G818">
        <v>209</v>
      </c>
      <c r="H818">
        <v>500</v>
      </c>
      <c r="I818" s="5" t="s">
        <v>5825</v>
      </c>
      <c r="J818" s="5" t="s">
        <v>5826</v>
      </c>
      <c r="K818" s="5" t="str">
        <f t="shared" si="24"/>
        <v>https://www.google.com/maps?q=-11.861237, -41.753720</v>
      </c>
      <c r="L818" s="5" t="str">
        <f t="shared" si="25"/>
        <v>Abrir no Maps</v>
      </c>
      <c r="M818" t="s">
        <v>5827</v>
      </c>
      <c r="N818" s="5"/>
      <c r="O818" t="str">
        <f>VLOOKUP(G818,'[1]CONFIG.'!$B:$C,2,0)</f>
        <v>IGOR</v>
      </c>
      <c r="P818" t="str">
        <f>VLOOKUP(O818,'[1]CONFIG.'!$C:$D,2,0)</f>
        <v>74 99590346</v>
      </c>
    </row>
    <row r="819" spans="1:16" x14ac:dyDescent="0.3">
      <c r="A819" t="s">
        <v>5828</v>
      </c>
      <c r="B819" t="s">
        <v>5829</v>
      </c>
      <c r="C819" t="s">
        <v>5830</v>
      </c>
      <c r="D819" t="s">
        <v>5750</v>
      </c>
      <c r="E819" t="s">
        <v>5831</v>
      </c>
      <c r="F819" t="s">
        <v>5824</v>
      </c>
      <c r="G819">
        <v>209</v>
      </c>
      <c r="H819">
        <v>500</v>
      </c>
      <c r="I819" s="5" t="s">
        <v>5832</v>
      </c>
      <c r="J819" s="5" t="s">
        <v>5833</v>
      </c>
      <c r="K819" s="5" t="str">
        <f t="shared" si="24"/>
        <v>https://www.google.com/maps?q=-11.860935, -41.751743</v>
      </c>
      <c r="L819" s="5" t="str">
        <f t="shared" si="25"/>
        <v>Abrir no Maps</v>
      </c>
      <c r="M819" t="s">
        <v>5834</v>
      </c>
      <c r="N819" s="5"/>
      <c r="O819" t="str">
        <f>VLOOKUP(G819,'[1]CONFIG.'!$B:$C,2,0)</f>
        <v>IGOR</v>
      </c>
      <c r="P819" t="str">
        <f>VLOOKUP(O819,'[1]CONFIG.'!$C:$D,2,0)</f>
        <v>74 99590346</v>
      </c>
    </row>
    <row r="820" spans="1:16" x14ac:dyDescent="0.3">
      <c r="A820" t="s">
        <v>5835</v>
      </c>
      <c r="B820" t="s">
        <v>5836</v>
      </c>
      <c r="C820" t="s">
        <v>5837</v>
      </c>
      <c r="D820" t="s">
        <v>5750</v>
      </c>
      <c r="E820" t="s">
        <v>5838</v>
      </c>
      <c r="F820" t="s">
        <v>5824</v>
      </c>
      <c r="G820">
        <v>209</v>
      </c>
      <c r="H820">
        <v>500</v>
      </c>
      <c r="I820" s="5" t="s">
        <v>5839</v>
      </c>
      <c r="J820" s="5" t="s">
        <v>5840</v>
      </c>
      <c r="K820" s="5" t="str">
        <f t="shared" si="24"/>
        <v>https://www.google.com/maps?q=-11.860988, -41.752045</v>
      </c>
      <c r="L820" s="5" t="str">
        <f t="shared" si="25"/>
        <v>Abrir no Maps</v>
      </c>
      <c r="M820" t="s">
        <v>5655</v>
      </c>
      <c r="N820" s="5"/>
      <c r="O820" t="str">
        <f>VLOOKUP(G820,'[1]CONFIG.'!$B:$C,2,0)</f>
        <v>IGOR</v>
      </c>
      <c r="P820" t="str">
        <f>VLOOKUP(O820,'[1]CONFIG.'!$C:$D,2,0)</f>
        <v>74 99590346</v>
      </c>
    </row>
    <row r="821" spans="1:16" x14ac:dyDescent="0.3">
      <c r="A821" t="s">
        <v>5841</v>
      </c>
      <c r="B821" t="s">
        <v>5842</v>
      </c>
      <c r="C821" t="s">
        <v>5843</v>
      </c>
      <c r="D821" t="s">
        <v>5750</v>
      </c>
      <c r="E821" t="s">
        <v>5844</v>
      </c>
      <c r="F821" t="s">
        <v>5824</v>
      </c>
      <c r="G821">
        <v>209</v>
      </c>
      <c r="H821">
        <v>500</v>
      </c>
      <c r="I821" s="5" t="s">
        <v>5845</v>
      </c>
      <c r="J821" s="5" t="s">
        <v>5846</v>
      </c>
      <c r="K821" s="5" t="str">
        <f t="shared" si="24"/>
        <v>https://www.google.com/maps?q=-11.859723, -41.750360</v>
      </c>
      <c r="L821" s="5" t="str">
        <f t="shared" si="25"/>
        <v>Abrir no Maps</v>
      </c>
      <c r="M821" t="s">
        <v>5847</v>
      </c>
      <c r="N821" s="5"/>
      <c r="O821" t="str">
        <f>VLOOKUP(G821,'[1]CONFIG.'!$B:$C,2,0)</f>
        <v>IGOR</v>
      </c>
      <c r="P821" t="str">
        <f>VLOOKUP(O821,'[1]CONFIG.'!$C:$D,2,0)</f>
        <v>74 99590346</v>
      </c>
    </row>
    <row r="822" spans="1:16" x14ac:dyDescent="0.3">
      <c r="A822" t="s">
        <v>5848</v>
      </c>
      <c r="B822" t="s">
        <v>5849</v>
      </c>
      <c r="C822" t="s">
        <v>5850</v>
      </c>
      <c r="D822" t="s">
        <v>5750</v>
      </c>
      <c r="E822" t="s">
        <v>5851</v>
      </c>
      <c r="F822" t="s">
        <v>5824</v>
      </c>
      <c r="G822">
        <v>209</v>
      </c>
      <c r="H822">
        <v>500</v>
      </c>
      <c r="I822" s="5" t="s">
        <v>5852</v>
      </c>
      <c r="J822" s="5" t="s">
        <v>5853</v>
      </c>
      <c r="K822" s="5" t="str">
        <f t="shared" si="24"/>
        <v>https://www.google.com/maps?q=-11.863272, -41.750870</v>
      </c>
      <c r="L822" s="5" t="str">
        <f t="shared" si="25"/>
        <v>Abrir no Maps</v>
      </c>
      <c r="M822" t="s">
        <v>5854</v>
      </c>
      <c r="N822" s="5"/>
      <c r="O822" t="str">
        <f>VLOOKUP(G822,'[1]CONFIG.'!$B:$C,2,0)</f>
        <v>IGOR</v>
      </c>
      <c r="P822" t="str">
        <f>VLOOKUP(O822,'[1]CONFIG.'!$C:$D,2,0)</f>
        <v>74 99590346</v>
      </c>
    </row>
    <row r="823" spans="1:16" x14ac:dyDescent="0.3">
      <c r="A823" t="s">
        <v>5855</v>
      </c>
      <c r="B823" t="s">
        <v>5856</v>
      </c>
      <c r="C823" t="s">
        <v>5857</v>
      </c>
      <c r="D823" t="s">
        <v>5750</v>
      </c>
      <c r="E823" t="s">
        <v>5858</v>
      </c>
      <c r="F823" t="s">
        <v>5824</v>
      </c>
      <c r="G823">
        <v>209</v>
      </c>
      <c r="H823">
        <v>500</v>
      </c>
      <c r="I823" s="5" t="s">
        <v>5859</v>
      </c>
      <c r="J823" s="5" t="s">
        <v>5860</v>
      </c>
      <c r="K823" s="5" t="str">
        <f t="shared" si="24"/>
        <v>https://www.google.com/maps?q=-11.855908, -41.749504</v>
      </c>
      <c r="L823" s="5" t="str">
        <f t="shared" si="25"/>
        <v>Abrir no Maps</v>
      </c>
      <c r="M823" t="s">
        <v>5861</v>
      </c>
      <c r="N823" s="5"/>
      <c r="O823" t="str">
        <f>VLOOKUP(G823,'[1]CONFIG.'!$B:$C,2,0)</f>
        <v>IGOR</v>
      </c>
      <c r="P823" t="str">
        <f>VLOOKUP(O823,'[1]CONFIG.'!$C:$D,2,0)</f>
        <v>74 99590346</v>
      </c>
    </row>
    <row r="824" spans="1:16" x14ac:dyDescent="0.3">
      <c r="A824" t="s">
        <v>5862</v>
      </c>
      <c r="B824" t="s">
        <v>5863</v>
      </c>
      <c r="C824" t="s">
        <v>5864</v>
      </c>
      <c r="D824" t="s">
        <v>488</v>
      </c>
      <c r="E824" t="s">
        <v>5865</v>
      </c>
      <c r="F824" t="s">
        <v>137</v>
      </c>
      <c r="G824">
        <v>202</v>
      </c>
      <c r="H824">
        <v>500</v>
      </c>
      <c r="I824" s="5" t="s">
        <v>5866</v>
      </c>
      <c r="J824" s="5" t="s">
        <v>5867</v>
      </c>
      <c r="K824" s="5" t="str">
        <f t="shared" si="24"/>
        <v>https://www.google.com/maps?q=-12.243299, -41.615665</v>
      </c>
      <c r="L824" s="5" t="str">
        <f t="shared" si="25"/>
        <v>Abrir no Maps</v>
      </c>
      <c r="M824" t="s">
        <v>5868</v>
      </c>
      <c r="N824" s="5"/>
      <c r="O824" t="str">
        <f>VLOOKUP(G824,'[1]CONFIG.'!$B:$C,2,0)</f>
        <v>ARISTON</v>
      </c>
      <c r="P824" t="str">
        <f>VLOOKUP(O824,'[1]CONFIG.'!$C:$D,2,0)</f>
        <v>74 99384078</v>
      </c>
    </row>
    <row r="825" spans="1:16" x14ac:dyDescent="0.3">
      <c r="A825" t="s">
        <v>5869</v>
      </c>
      <c r="B825" t="s">
        <v>5870</v>
      </c>
      <c r="C825" t="s">
        <v>5871</v>
      </c>
      <c r="D825" t="s">
        <v>5750</v>
      </c>
      <c r="E825" t="s">
        <v>5872</v>
      </c>
      <c r="F825" t="s">
        <v>5873</v>
      </c>
      <c r="G825">
        <v>210</v>
      </c>
      <c r="H825">
        <v>500</v>
      </c>
      <c r="I825" s="5" t="s">
        <v>5874</v>
      </c>
      <c r="J825" s="5" t="s">
        <v>5875</v>
      </c>
      <c r="K825" s="5" t="str">
        <f t="shared" si="24"/>
        <v>https://www.google.com/maps?q=-11.767187, -41.684663</v>
      </c>
      <c r="L825" s="5" t="str">
        <f t="shared" si="25"/>
        <v>Abrir no Maps</v>
      </c>
      <c r="M825" t="s">
        <v>5876</v>
      </c>
      <c r="N825" s="5"/>
      <c r="O825" t="str">
        <f>VLOOKUP(G825,'[1]CONFIG.'!$B:$C,2,0)</f>
        <v>SILAS</v>
      </c>
      <c r="P825" t="str">
        <f>VLOOKUP(O825,'[1]CONFIG.'!$C:$D,2,0)</f>
        <v>74 98041875</v>
      </c>
    </row>
    <row r="826" spans="1:16" x14ac:dyDescent="0.3">
      <c r="A826" t="s">
        <v>5877</v>
      </c>
      <c r="B826" t="s">
        <v>5878</v>
      </c>
      <c r="C826" t="s">
        <v>5879</v>
      </c>
      <c r="D826" t="s">
        <v>5750</v>
      </c>
      <c r="E826" t="s">
        <v>5880</v>
      </c>
      <c r="F826" t="s">
        <v>137</v>
      </c>
      <c r="G826">
        <v>209</v>
      </c>
      <c r="H826">
        <v>500</v>
      </c>
      <c r="I826" s="5" t="s">
        <v>5881</v>
      </c>
      <c r="J826" s="5" t="s">
        <v>5882</v>
      </c>
      <c r="K826" s="5" t="str">
        <f t="shared" si="24"/>
        <v>https://www.google.com/maps?q=-11.854500, -41.749033</v>
      </c>
      <c r="L826" s="5" t="str">
        <f t="shared" si="25"/>
        <v>Abrir no Maps</v>
      </c>
      <c r="M826" t="s">
        <v>5883</v>
      </c>
      <c r="N826" s="5"/>
      <c r="O826" t="str">
        <f>VLOOKUP(G826,'[1]CONFIG.'!$B:$C,2,0)</f>
        <v>IGOR</v>
      </c>
      <c r="P826" t="str">
        <f>VLOOKUP(O826,'[1]CONFIG.'!$C:$D,2,0)</f>
        <v>74 99590346</v>
      </c>
    </row>
    <row r="827" spans="1:16" x14ac:dyDescent="0.3">
      <c r="A827" t="s">
        <v>5884</v>
      </c>
      <c r="B827" t="s">
        <v>5885</v>
      </c>
      <c r="C827" t="s">
        <v>5886</v>
      </c>
      <c r="D827" t="s">
        <v>5750</v>
      </c>
      <c r="E827" t="s">
        <v>5887</v>
      </c>
      <c r="F827" t="s">
        <v>5824</v>
      </c>
      <c r="G827">
        <v>209</v>
      </c>
      <c r="H827">
        <v>500</v>
      </c>
      <c r="I827" s="5" t="s">
        <v>5888</v>
      </c>
      <c r="J827" s="5" t="s">
        <v>5889</v>
      </c>
      <c r="K827" s="5" t="str">
        <f t="shared" si="24"/>
        <v>https://www.google.com/maps?q=-11.857505, -41.750210</v>
      </c>
      <c r="L827" s="5" t="str">
        <f t="shared" si="25"/>
        <v>Abrir no Maps</v>
      </c>
      <c r="M827" t="s">
        <v>5890</v>
      </c>
      <c r="N827" s="5"/>
      <c r="O827" t="str">
        <f>VLOOKUP(G827,'[1]CONFIG.'!$B:$C,2,0)</f>
        <v>IGOR</v>
      </c>
      <c r="P827" t="str">
        <f>VLOOKUP(O827,'[1]CONFIG.'!$C:$D,2,0)</f>
        <v>74 99590346</v>
      </c>
    </row>
    <row r="828" spans="1:16" x14ac:dyDescent="0.3">
      <c r="A828" t="s">
        <v>5891</v>
      </c>
      <c r="B828" t="s">
        <v>5892</v>
      </c>
      <c r="C828" t="s">
        <v>5893</v>
      </c>
      <c r="D828" t="s">
        <v>5750</v>
      </c>
      <c r="E828" t="s">
        <v>5894</v>
      </c>
      <c r="F828" t="s">
        <v>5895</v>
      </c>
      <c r="G828">
        <v>211</v>
      </c>
      <c r="H828">
        <v>500</v>
      </c>
      <c r="I828" s="5" t="s">
        <v>5896</v>
      </c>
      <c r="J828" s="5" t="s">
        <v>5897</v>
      </c>
      <c r="K828" s="5" t="str">
        <f t="shared" si="24"/>
        <v>https://www.google.com/maps?q=-11.675941, -41.768787</v>
      </c>
      <c r="L828" s="5" t="str">
        <f t="shared" si="25"/>
        <v>Abrir no Maps</v>
      </c>
      <c r="M828" t="s">
        <v>5898</v>
      </c>
      <c r="N828" s="5"/>
      <c r="O828" t="str">
        <f>VLOOKUP(G828,'[1]CONFIG.'!$B:$C,2,0)</f>
        <v>DAIANE</v>
      </c>
      <c r="P828" t="str">
        <f>VLOOKUP(O828,'[1]CONFIG.'!$C:$D,2,0)</f>
        <v>74 99298866</v>
      </c>
    </row>
    <row r="829" spans="1:16" x14ac:dyDescent="0.3">
      <c r="A829" t="s">
        <v>5899</v>
      </c>
      <c r="B829" t="s">
        <v>5900</v>
      </c>
      <c r="C829" t="s">
        <v>5901</v>
      </c>
      <c r="D829" t="s">
        <v>5750</v>
      </c>
      <c r="E829" t="s">
        <v>5902</v>
      </c>
      <c r="F829" t="s">
        <v>137</v>
      </c>
      <c r="G829">
        <v>210</v>
      </c>
      <c r="H829">
        <v>500</v>
      </c>
      <c r="I829" s="5" t="s">
        <v>5903</v>
      </c>
      <c r="J829" s="5" t="s">
        <v>5904</v>
      </c>
      <c r="K829" s="5" t="str">
        <f t="shared" si="24"/>
        <v>https://www.google.com/maps?q=-11.685773, -41.770230</v>
      </c>
      <c r="L829" s="5" t="str">
        <f t="shared" si="25"/>
        <v>Abrir no Maps</v>
      </c>
      <c r="M829" t="s">
        <v>5905</v>
      </c>
      <c r="N829" s="5"/>
      <c r="O829" t="str">
        <f>VLOOKUP(G829,'[1]CONFIG.'!$B:$C,2,0)</f>
        <v>SILAS</v>
      </c>
      <c r="P829" t="str">
        <f>VLOOKUP(O829,'[1]CONFIG.'!$C:$D,2,0)</f>
        <v>74 98041875</v>
      </c>
    </row>
    <row r="830" spans="1:16" x14ac:dyDescent="0.3">
      <c r="A830" t="s">
        <v>5906</v>
      </c>
      <c r="B830" t="s">
        <v>5907</v>
      </c>
      <c r="C830" t="s">
        <v>5908</v>
      </c>
      <c r="D830" t="s">
        <v>5750</v>
      </c>
      <c r="E830" t="s">
        <v>5909</v>
      </c>
      <c r="F830" t="s">
        <v>5824</v>
      </c>
      <c r="G830">
        <v>209</v>
      </c>
      <c r="H830">
        <v>500</v>
      </c>
      <c r="I830" s="5" t="s">
        <v>5910</v>
      </c>
      <c r="J830" s="5" t="s">
        <v>5911</v>
      </c>
      <c r="K830" s="5" t="str">
        <f t="shared" si="24"/>
        <v>https://www.google.com/maps?q=-11.846666, -41.744446</v>
      </c>
      <c r="L830" s="5" t="str">
        <f t="shared" si="25"/>
        <v>Abrir no Maps</v>
      </c>
      <c r="M830" t="s">
        <v>5912</v>
      </c>
      <c r="N830" s="5"/>
      <c r="O830" t="str">
        <f>VLOOKUP(G830,'[1]CONFIG.'!$B:$C,2,0)</f>
        <v>IGOR</v>
      </c>
      <c r="P830" t="str">
        <f>VLOOKUP(O830,'[1]CONFIG.'!$C:$D,2,0)</f>
        <v>74 99590346</v>
      </c>
    </row>
    <row r="831" spans="1:16" x14ac:dyDescent="0.3">
      <c r="A831" t="s">
        <v>5913</v>
      </c>
      <c r="B831" t="s">
        <v>5914</v>
      </c>
      <c r="C831" t="s">
        <v>5915</v>
      </c>
      <c r="D831" t="s">
        <v>5750</v>
      </c>
      <c r="E831" t="s">
        <v>5916</v>
      </c>
      <c r="F831" t="s">
        <v>137</v>
      </c>
      <c r="G831">
        <v>211</v>
      </c>
      <c r="H831">
        <v>500</v>
      </c>
      <c r="I831" s="5" t="s">
        <v>5917</v>
      </c>
      <c r="J831" s="5" t="s">
        <v>5918</v>
      </c>
      <c r="K831" s="5" t="str">
        <f t="shared" si="24"/>
        <v>https://www.google.com/maps?q=-11.686228, -41.773960</v>
      </c>
      <c r="L831" s="5" t="str">
        <f t="shared" si="25"/>
        <v>Abrir no Maps</v>
      </c>
      <c r="M831" t="s">
        <v>5919</v>
      </c>
      <c r="N831" s="5"/>
      <c r="O831" t="str">
        <f>VLOOKUP(G831,'[1]CONFIG.'!$B:$C,2,0)</f>
        <v>DAIANE</v>
      </c>
      <c r="P831" t="str">
        <f>VLOOKUP(O831,'[1]CONFIG.'!$C:$D,2,0)</f>
        <v>74 99298866</v>
      </c>
    </row>
    <row r="832" spans="1:16" x14ac:dyDescent="0.3">
      <c r="A832" t="s">
        <v>5920</v>
      </c>
      <c r="B832" t="s">
        <v>5921</v>
      </c>
      <c r="C832" t="s">
        <v>5922</v>
      </c>
      <c r="D832" t="s">
        <v>5750</v>
      </c>
      <c r="E832" t="s">
        <v>5923</v>
      </c>
      <c r="F832" t="s">
        <v>137</v>
      </c>
      <c r="G832">
        <v>211</v>
      </c>
      <c r="H832">
        <v>500</v>
      </c>
      <c r="I832" s="5" t="s">
        <v>5924</v>
      </c>
      <c r="J832" s="5" t="s">
        <v>5925</v>
      </c>
      <c r="K832" s="5" t="str">
        <f t="shared" si="24"/>
        <v>https://www.google.com/maps?q=-11.687530, -41.771027</v>
      </c>
      <c r="L832" s="5" t="str">
        <f t="shared" si="25"/>
        <v>Abrir no Maps</v>
      </c>
      <c r="M832" t="s">
        <v>5926</v>
      </c>
      <c r="N832" s="5"/>
      <c r="O832" t="str">
        <f>VLOOKUP(G832,'[1]CONFIG.'!$B:$C,2,0)</f>
        <v>DAIANE</v>
      </c>
      <c r="P832" t="str">
        <f>VLOOKUP(O832,'[1]CONFIG.'!$C:$D,2,0)</f>
        <v>74 99298866</v>
      </c>
    </row>
    <row r="833" spans="1:16" x14ac:dyDescent="0.3">
      <c r="A833" t="s">
        <v>5927</v>
      </c>
      <c r="B833" t="s">
        <v>5928</v>
      </c>
      <c r="C833" t="s">
        <v>5929</v>
      </c>
      <c r="D833" t="s">
        <v>5750</v>
      </c>
      <c r="E833" t="s">
        <v>5930</v>
      </c>
      <c r="F833" t="s">
        <v>137</v>
      </c>
      <c r="G833">
        <v>209</v>
      </c>
      <c r="H833">
        <v>500</v>
      </c>
      <c r="I833" s="5" t="s">
        <v>5931</v>
      </c>
      <c r="J833" s="5" t="s">
        <v>5932</v>
      </c>
      <c r="K833" s="5" t="str">
        <f t="shared" si="24"/>
        <v>https://www.google.com/maps?q=-11.862558, -41.751408</v>
      </c>
      <c r="L833" s="5" t="str">
        <f t="shared" si="25"/>
        <v>Abrir no Maps</v>
      </c>
      <c r="M833" t="s">
        <v>5933</v>
      </c>
      <c r="N833" s="5"/>
      <c r="O833" t="str">
        <f>VLOOKUP(G833,'[1]CONFIG.'!$B:$C,2,0)</f>
        <v>IGOR</v>
      </c>
      <c r="P833" t="str">
        <f>VLOOKUP(O833,'[1]CONFIG.'!$C:$D,2,0)</f>
        <v>74 99590346</v>
      </c>
    </row>
    <row r="834" spans="1:16" x14ac:dyDescent="0.3">
      <c r="A834" t="s">
        <v>5934</v>
      </c>
      <c r="B834" t="s">
        <v>5935</v>
      </c>
      <c r="C834" t="s">
        <v>5936</v>
      </c>
      <c r="D834" t="s">
        <v>5750</v>
      </c>
      <c r="E834" t="s">
        <v>5937</v>
      </c>
      <c r="F834" t="s">
        <v>137</v>
      </c>
      <c r="G834">
        <v>210</v>
      </c>
      <c r="H834">
        <v>500</v>
      </c>
      <c r="I834" s="5" t="s">
        <v>5938</v>
      </c>
      <c r="J834" s="5" t="s">
        <v>5939</v>
      </c>
      <c r="K834" s="5" t="str">
        <f t="shared" si="24"/>
        <v>https://www.google.com/maps?q=-11.688590, -41.766506</v>
      </c>
      <c r="L834" s="5" t="str">
        <f t="shared" si="25"/>
        <v>Abrir no Maps</v>
      </c>
      <c r="M834" t="s">
        <v>5940</v>
      </c>
      <c r="N834" s="5"/>
      <c r="O834" t="str">
        <f>VLOOKUP(G834,'[1]CONFIG.'!$B:$C,2,0)</f>
        <v>SILAS</v>
      </c>
      <c r="P834" t="str">
        <f>VLOOKUP(O834,'[1]CONFIG.'!$C:$D,2,0)</f>
        <v>74 98041875</v>
      </c>
    </row>
    <row r="835" spans="1:16" x14ac:dyDescent="0.3">
      <c r="A835" t="s">
        <v>5941</v>
      </c>
      <c r="B835" t="s">
        <v>5942</v>
      </c>
      <c r="C835" t="s">
        <v>5943</v>
      </c>
      <c r="D835" t="s">
        <v>5750</v>
      </c>
      <c r="E835" t="s">
        <v>5944</v>
      </c>
      <c r="F835" t="s">
        <v>137</v>
      </c>
      <c r="G835">
        <v>211</v>
      </c>
      <c r="H835">
        <v>500</v>
      </c>
      <c r="I835" s="5" t="s">
        <v>5945</v>
      </c>
      <c r="J835" s="5" t="s">
        <v>5946</v>
      </c>
      <c r="K835" s="5" t="str">
        <f t="shared" si="24"/>
        <v>https://www.google.com/maps?q=-11.684979, -41.767220</v>
      </c>
      <c r="L835" s="5" t="str">
        <f t="shared" si="25"/>
        <v>Abrir no Maps</v>
      </c>
      <c r="M835" t="s">
        <v>5947</v>
      </c>
      <c r="N835" s="5"/>
      <c r="O835" t="str">
        <f>VLOOKUP(G835,'[1]CONFIG.'!$B:$C,2,0)</f>
        <v>DAIANE</v>
      </c>
      <c r="P835" t="str">
        <f>VLOOKUP(O835,'[1]CONFIG.'!$C:$D,2,0)</f>
        <v>74 99298866</v>
      </c>
    </row>
    <row r="836" spans="1:16" x14ac:dyDescent="0.3">
      <c r="A836" t="s">
        <v>5948</v>
      </c>
      <c r="B836" t="s">
        <v>5949</v>
      </c>
      <c r="C836" t="s">
        <v>5950</v>
      </c>
      <c r="D836" t="s">
        <v>5750</v>
      </c>
      <c r="E836" t="s">
        <v>5951</v>
      </c>
      <c r="F836" t="s">
        <v>137</v>
      </c>
      <c r="G836">
        <v>211</v>
      </c>
      <c r="H836">
        <v>500</v>
      </c>
      <c r="I836" s="5" t="s">
        <v>5952</v>
      </c>
      <c r="J836" s="5" t="s">
        <v>5953</v>
      </c>
      <c r="K836" s="5" t="str">
        <f t="shared" ref="K836:K899" si="26">"https://www.google.com/maps?q="&amp;""&amp;LEFT(I836,3)&amp;"."&amp;RIGHT(I836,6)&amp;", "&amp;LEFT(J836,3)&amp;"."&amp;RIGHT(J836,6)</f>
        <v>https://www.google.com/maps?q=-11.686261, -41.773937</v>
      </c>
      <c r="L836" s="5" t="str">
        <f t="shared" ref="L836:L899" si="27">HYPERLINK(K836,"Abrir no Maps")</f>
        <v>Abrir no Maps</v>
      </c>
      <c r="M836" t="s">
        <v>5954</v>
      </c>
      <c r="N836" s="5"/>
      <c r="O836" t="str">
        <f>VLOOKUP(G836,'[1]CONFIG.'!$B:$C,2,0)</f>
        <v>DAIANE</v>
      </c>
      <c r="P836" t="str">
        <f>VLOOKUP(O836,'[1]CONFIG.'!$C:$D,2,0)</f>
        <v>74 99298866</v>
      </c>
    </row>
    <row r="837" spans="1:16" x14ac:dyDescent="0.3">
      <c r="A837" t="s">
        <v>5955</v>
      </c>
      <c r="B837" t="s">
        <v>5956</v>
      </c>
      <c r="C837" t="s">
        <v>5957</v>
      </c>
      <c r="D837" t="s">
        <v>5750</v>
      </c>
      <c r="E837" t="s">
        <v>5958</v>
      </c>
      <c r="F837" t="s">
        <v>5824</v>
      </c>
      <c r="G837">
        <v>209</v>
      </c>
      <c r="H837">
        <v>500</v>
      </c>
      <c r="I837" s="5" t="s">
        <v>5959</v>
      </c>
      <c r="J837" s="5" t="s">
        <v>5960</v>
      </c>
      <c r="K837" s="5" t="str">
        <f t="shared" si="26"/>
        <v>https://www.google.com/maps?q=-11.864126, -41.751637</v>
      </c>
      <c r="L837" s="5" t="str">
        <f t="shared" si="27"/>
        <v>Abrir no Maps</v>
      </c>
      <c r="M837" t="s">
        <v>5961</v>
      </c>
      <c r="N837" s="5"/>
      <c r="O837" t="str">
        <f>VLOOKUP(G837,'[1]CONFIG.'!$B:$C,2,0)</f>
        <v>IGOR</v>
      </c>
      <c r="P837" t="str">
        <f>VLOOKUP(O837,'[1]CONFIG.'!$C:$D,2,0)</f>
        <v>74 99590346</v>
      </c>
    </row>
    <row r="838" spans="1:16" x14ac:dyDescent="0.3">
      <c r="A838" t="s">
        <v>5962</v>
      </c>
      <c r="B838" t="s">
        <v>5963</v>
      </c>
      <c r="C838" t="s">
        <v>5964</v>
      </c>
      <c r="D838" t="s">
        <v>5750</v>
      </c>
      <c r="E838" t="s">
        <v>5965</v>
      </c>
      <c r="F838" t="s">
        <v>137</v>
      </c>
      <c r="G838">
        <v>210</v>
      </c>
      <c r="H838">
        <v>500</v>
      </c>
      <c r="I838" s="5" t="s">
        <v>5966</v>
      </c>
      <c r="J838" s="5" t="s">
        <v>5967</v>
      </c>
      <c r="K838" s="5" t="str">
        <f t="shared" si="26"/>
        <v>https://www.google.com/maps?q=-11.690251, -41.764927</v>
      </c>
      <c r="L838" s="5" t="str">
        <f t="shared" si="27"/>
        <v>Abrir no Maps</v>
      </c>
      <c r="M838" t="s">
        <v>5968</v>
      </c>
      <c r="N838" s="5"/>
      <c r="O838" t="str">
        <f>VLOOKUP(G838,'[1]CONFIG.'!$B:$C,2,0)</f>
        <v>SILAS</v>
      </c>
      <c r="P838" t="str">
        <f>VLOOKUP(O838,'[1]CONFIG.'!$C:$D,2,0)</f>
        <v>74 98041875</v>
      </c>
    </row>
    <row r="839" spans="1:16" x14ac:dyDescent="0.3">
      <c r="A839" t="s">
        <v>5969</v>
      </c>
      <c r="B839" t="s">
        <v>5970</v>
      </c>
      <c r="C839" t="s">
        <v>5971</v>
      </c>
      <c r="D839" t="s">
        <v>5750</v>
      </c>
      <c r="E839" t="s">
        <v>5972</v>
      </c>
      <c r="F839" t="s">
        <v>5973</v>
      </c>
      <c r="G839">
        <v>202</v>
      </c>
      <c r="H839">
        <v>500</v>
      </c>
      <c r="I839" s="5" t="s">
        <v>5974</v>
      </c>
      <c r="J839" s="5" t="s">
        <v>5975</v>
      </c>
      <c r="K839" s="5" t="str">
        <f t="shared" si="26"/>
        <v>https://www.google.com/maps?q=-11.885542, -41.657413</v>
      </c>
      <c r="L839" s="5" t="str">
        <f t="shared" si="27"/>
        <v>Abrir no Maps</v>
      </c>
      <c r="M839" t="s">
        <v>5976</v>
      </c>
      <c r="N839" s="5"/>
      <c r="O839" t="str">
        <f>VLOOKUP(G839,'[1]CONFIG.'!$B:$C,2,0)</f>
        <v>ARISTON</v>
      </c>
      <c r="P839" t="str">
        <f>VLOOKUP(O839,'[1]CONFIG.'!$C:$D,2,0)</f>
        <v>74 99384078</v>
      </c>
    </row>
    <row r="840" spans="1:16" x14ac:dyDescent="0.3">
      <c r="A840" t="s">
        <v>5977</v>
      </c>
      <c r="B840" t="s">
        <v>5978</v>
      </c>
      <c r="C840" t="s">
        <v>5979</v>
      </c>
      <c r="D840" t="s">
        <v>5750</v>
      </c>
      <c r="E840" t="s">
        <v>5980</v>
      </c>
      <c r="F840" t="s">
        <v>5824</v>
      </c>
      <c r="G840">
        <v>209</v>
      </c>
      <c r="H840">
        <v>500</v>
      </c>
      <c r="I840" s="5" t="s">
        <v>5981</v>
      </c>
      <c r="J840" s="5" t="s">
        <v>5982</v>
      </c>
      <c r="K840" s="5" t="str">
        <f t="shared" si="26"/>
        <v>https://www.google.com/maps?q=-11.859138, -41.750584</v>
      </c>
      <c r="L840" s="5" t="str">
        <f t="shared" si="27"/>
        <v>Abrir no Maps</v>
      </c>
      <c r="M840" t="s">
        <v>5983</v>
      </c>
      <c r="N840" s="5"/>
      <c r="O840" t="str">
        <f>VLOOKUP(G840,'[1]CONFIG.'!$B:$C,2,0)</f>
        <v>IGOR</v>
      </c>
      <c r="P840" t="str">
        <f>VLOOKUP(O840,'[1]CONFIG.'!$C:$D,2,0)</f>
        <v>74 99590346</v>
      </c>
    </row>
    <row r="841" spans="1:16" x14ac:dyDescent="0.3">
      <c r="A841" t="s">
        <v>5984</v>
      </c>
      <c r="B841" t="s">
        <v>5985</v>
      </c>
      <c r="C841" t="s">
        <v>5986</v>
      </c>
      <c r="D841" t="s">
        <v>5750</v>
      </c>
      <c r="E841" t="s">
        <v>5987</v>
      </c>
      <c r="F841" t="s">
        <v>137</v>
      </c>
      <c r="G841">
        <v>211</v>
      </c>
      <c r="H841">
        <v>500</v>
      </c>
      <c r="I841" s="5" t="s">
        <v>5988</v>
      </c>
      <c r="J841" s="5" t="s">
        <v>5989</v>
      </c>
      <c r="K841" s="5" t="str">
        <f t="shared" si="26"/>
        <v>https://www.google.com/maps?q=-11.683745, -41.766735</v>
      </c>
      <c r="L841" s="5" t="str">
        <f t="shared" si="27"/>
        <v>Abrir no Maps</v>
      </c>
      <c r="M841" t="s">
        <v>5990</v>
      </c>
      <c r="N841" s="5"/>
      <c r="O841" t="str">
        <f>VLOOKUP(G841,'[1]CONFIG.'!$B:$C,2,0)</f>
        <v>DAIANE</v>
      </c>
      <c r="P841" t="str">
        <f>VLOOKUP(O841,'[1]CONFIG.'!$C:$D,2,0)</f>
        <v>74 99298866</v>
      </c>
    </row>
    <row r="842" spans="1:16" x14ac:dyDescent="0.3">
      <c r="A842" t="s">
        <v>5991</v>
      </c>
      <c r="B842" t="s">
        <v>5992</v>
      </c>
      <c r="C842" t="s">
        <v>5993</v>
      </c>
      <c r="D842" t="s">
        <v>5750</v>
      </c>
      <c r="E842" t="s">
        <v>5994</v>
      </c>
      <c r="F842" t="s">
        <v>137</v>
      </c>
      <c r="G842">
        <v>209</v>
      </c>
      <c r="H842">
        <v>500</v>
      </c>
      <c r="I842" s="5" t="s">
        <v>5995</v>
      </c>
      <c r="J842" s="5" t="s">
        <v>5996</v>
      </c>
      <c r="K842" s="5" t="str">
        <f t="shared" si="26"/>
        <v>https://www.google.com/maps?q=-11.861895, -41.751140</v>
      </c>
      <c r="L842" s="5" t="str">
        <f t="shared" si="27"/>
        <v>Abrir no Maps</v>
      </c>
      <c r="M842" t="s">
        <v>5997</v>
      </c>
      <c r="N842" s="5"/>
      <c r="O842" t="str">
        <f>VLOOKUP(G842,'[1]CONFIG.'!$B:$C,2,0)</f>
        <v>IGOR</v>
      </c>
      <c r="P842" t="str">
        <f>VLOOKUP(O842,'[1]CONFIG.'!$C:$D,2,0)</f>
        <v>74 99590346</v>
      </c>
    </row>
    <row r="843" spans="1:16" x14ac:dyDescent="0.3">
      <c r="A843" t="s">
        <v>5998</v>
      </c>
      <c r="B843" t="s">
        <v>5999</v>
      </c>
      <c r="C843" t="s">
        <v>6000</v>
      </c>
      <c r="D843" t="s">
        <v>5750</v>
      </c>
      <c r="E843" t="s">
        <v>6001</v>
      </c>
      <c r="F843" t="s">
        <v>6002</v>
      </c>
      <c r="G843">
        <v>209</v>
      </c>
      <c r="H843">
        <v>500</v>
      </c>
      <c r="I843" s="5" t="s">
        <v>6003</v>
      </c>
      <c r="J843" s="5" t="s">
        <v>6004</v>
      </c>
      <c r="K843" s="5" t="str">
        <f t="shared" si="26"/>
        <v>https://www.google.com/maps?q=-11.859591, -41.750282</v>
      </c>
      <c r="L843" s="5" t="str">
        <f t="shared" si="27"/>
        <v>Abrir no Maps</v>
      </c>
      <c r="M843" t="s">
        <v>6005</v>
      </c>
      <c r="N843" s="5"/>
      <c r="O843" t="str">
        <f>VLOOKUP(G843,'[1]CONFIG.'!$B:$C,2,0)</f>
        <v>IGOR</v>
      </c>
      <c r="P843" t="str">
        <f>VLOOKUP(O843,'[1]CONFIG.'!$C:$D,2,0)</f>
        <v>74 99590346</v>
      </c>
    </row>
    <row r="844" spans="1:16" x14ac:dyDescent="0.3">
      <c r="A844" t="s">
        <v>6006</v>
      </c>
      <c r="B844" t="s">
        <v>6007</v>
      </c>
      <c r="C844" t="s">
        <v>6008</v>
      </c>
      <c r="D844" t="s">
        <v>5750</v>
      </c>
      <c r="E844" t="s">
        <v>6009</v>
      </c>
      <c r="F844" t="s">
        <v>137</v>
      </c>
      <c r="G844">
        <v>211</v>
      </c>
      <c r="H844">
        <v>500</v>
      </c>
      <c r="I844" s="5" t="s">
        <v>6010</v>
      </c>
      <c r="J844" s="5" t="s">
        <v>6011</v>
      </c>
      <c r="K844" s="5" t="str">
        <f t="shared" si="26"/>
        <v>https://www.google.com/maps?q=-11.688056, -41.772220</v>
      </c>
      <c r="L844" s="5" t="str">
        <f t="shared" si="27"/>
        <v>Abrir no Maps</v>
      </c>
      <c r="M844" t="s">
        <v>6012</v>
      </c>
      <c r="N844" s="5"/>
      <c r="O844" t="str">
        <f>VLOOKUP(G844,'[1]CONFIG.'!$B:$C,2,0)</f>
        <v>DAIANE</v>
      </c>
      <c r="P844" t="str">
        <f>VLOOKUP(O844,'[1]CONFIG.'!$C:$D,2,0)</f>
        <v>74 99298866</v>
      </c>
    </row>
    <row r="845" spans="1:16" x14ac:dyDescent="0.3">
      <c r="A845" t="s">
        <v>6013</v>
      </c>
      <c r="B845" t="s">
        <v>6014</v>
      </c>
      <c r="C845" t="s">
        <v>6015</v>
      </c>
      <c r="D845" t="s">
        <v>5750</v>
      </c>
      <c r="E845" t="s">
        <v>6016</v>
      </c>
      <c r="F845" t="s">
        <v>137</v>
      </c>
      <c r="G845">
        <v>210</v>
      </c>
      <c r="H845">
        <v>500</v>
      </c>
      <c r="I845" s="5" t="s">
        <v>6017</v>
      </c>
      <c r="J845" s="5" t="s">
        <v>6018</v>
      </c>
      <c r="K845" s="5" t="str">
        <f t="shared" si="26"/>
        <v>https://www.google.com/maps?q=-11.689445, -41.770000</v>
      </c>
      <c r="L845" s="5" t="str">
        <f t="shared" si="27"/>
        <v>Abrir no Maps</v>
      </c>
      <c r="M845" t="s">
        <v>6019</v>
      </c>
      <c r="N845" s="5"/>
      <c r="O845" t="str">
        <f>VLOOKUP(G845,'[1]CONFIG.'!$B:$C,2,0)</f>
        <v>SILAS</v>
      </c>
      <c r="P845" t="str">
        <f>VLOOKUP(O845,'[1]CONFIG.'!$C:$D,2,0)</f>
        <v>74 98041875</v>
      </c>
    </row>
    <row r="846" spans="1:16" x14ac:dyDescent="0.3">
      <c r="A846" t="s">
        <v>6020</v>
      </c>
      <c r="B846" t="s">
        <v>6021</v>
      </c>
      <c r="C846" t="s">
        <v>6022</v>
      </c>
      <c r="D846" t="s">
        <v>5750</v>
      </c>
      <c r="E846" t="s">
        <v>6023</v>
      </c>
      <c r="F846" t="s">
        <v>5824</v>
      </c>
      <c r="G846">
        <v>209</v>
      </c>
      <c r="H846">
        <v>500</v>
      </c>
      <c r="I846" s="5" t="s">
        <v>6024</v>
      </c>
      <c r="J846" s="5" t="s">
        <v>6025</v>
      </c>
      <c r="K846" s="5" t="str">
        <f t="shared" si="26"/>
        <v>https://www.google.com/maps?q=-11.860556, -41.750557</v>
      </c>
      <c r="L846" s="5" t="str">
        <f t="shared" si="27"/>
        <v>Abrir no Maps</v>
      </c>
      <c r="M846" t="s">
        <v>6026</v>
      </c>
      <c r="N846" s="5"/>
      <c r="O846" t="str">
        <f>VLOOKUP(G846,'[1]CONFIG.'!$B:$C,2,0)</f>
        <v>IGOR</v>
      </c>
      <c r="P846" t="str">
        <f>VLOOKUP(O846,'[1]CONFIG.'!$C:$D,2,0)</f>
        <v>74 99590346</v>
      </c>
    </row>
    <row r="847" spans="1:16" x14ac:dyDescent="0.3">
      <c r="A847" t="s">
        <v>6027</v>
      </c>
      <c r="B847" t="s">
        <v>6028</v>
      </c>
      <c r="C847" t="s">
        <v>6029</v>
      </c>
      <c r="D847" t="s">
        <v>5750</v>
      </c>
      <c r="E847" t="s">
        <v>6030</v>
      </c>
      <c r="F847" t="s">
        <v>6031</v>
      </c>
      <c r="G847">
        <v>202</v>
      </c>
      <c r="H847">
        <v>500</v>
      </c>
      <c r="I847" s="5" t="s">
        <v>6032</v>
      </c>
      <c r="J847" s="5" t="s">
        <v>6033</v>
      </c>
      <c r="K847" s="5" t="str">
        <f t="shared" si="26"/>
        <v>https://www.google.com/maps?q=-11.802761, -41.668243</v>
      </c>
      <c r="L847" s="5" t="str">
        <f t="shared" si="27"/>
        <v>Abrir no Maps</v>
      </c>
      <c r="M847" t="s">
        <v>6034</v>
      </c>
      <c r="N847" s="5"/>
      <c r="O847" t="str">
        <f>VLOOKUP(G847,'[1]CONFIG.'!$B:$C,2,0)</f>
        <v>ARISTON</v>
      </c>
      <c r="P847" t="str">
        <f>VLOOKUP(O847,'[1]CONFIG.'!$C:$D,2,0)</f>
        <v>74 99384078</v>
      </c>
    </row>
    <row r="848" spans="1:16" x14ac:dyDescent="0.3">
      <c r="A848" t="s">
        <v>6035</v>
      </c>
      <c r="B848" t="s">
        <v>6036</v>
      </c>
      <c r="C848" t="s">
        <v>6037</v>
      </c>
      <c r="D848" t="s">
        <v>5750</v>
      </c>
      <c r="E848" t="s">
        <v>6038</v>
      </c>
      <c r="F848" t="s">
        <v>5824</v>
      </c>
      <c r="G848">
        <v>209</v>
      </c>
      <c r="H848">
        <v>500</v>
      </c>
      <c r="I848" s="5" t="s">
        <v>6039</v>
      </c>
      <c r="J848" s="5" t="s">
        <v>6040</v>
      </c>
      <c r="K848" s="5" t="str">
        <f t="shared" si="26"/>
        <v>https://www.google.com/maps?q=-11.860833, -41.750280</v>
      </c>
      <c r="L848" s="5" t="str">
        <f t="shared" si="27"/>
        <v>Abrir no Maps</v>
      </c>
      <c r="M848" t="s">
        <v>6041</v>
      </c>
      <c r="N848" s="5"/>
      <c r="O848" t="str">
        <f>VLOOKUP(G848,'[1]CONFIG.'!$B:$C,2,0)</f>
        <v>IGOR</v>
      </c>
      <c r="P848" t="str">
        <f>VLOOKUP(O848,'[1]CONFIG.'!$C:$D,2,0)</f>
        <v>74 99590346</v>
      </c>
    </row>
    <row r="849" spans="1:16" x14ac:dyDescent="0.3">
      <c r="A849" t="s">
        <v>6042</v>
      </c>
      <c r="B849" t="s">
        <v>6043</v>
      </c>
      <c r="C849" t="s">
        <v>6044</v>
      </c>
      <c r="D849" t="s">
        <v>5750</v>
      </c>
      <c r="E849" t="s">
        <v>6045</v>
      </c>
      <c r="F849" t="s">
        <v>137</v>
      </c>
      <c r="G849">
        <v>211</v>
      </c>
      <c r="H849">
        <v>500</v>
      </c>
      <c r="I849" s="5" t="s">
        <v>6046</v>
      </c>
      <c r="J849" s="5" t="s">
        <v>6047</v>
      </c>
      <c r="K849" s="5" t="str">
        <f t="shared" si="26"/>
        <v>https://www.google.com/maps?q=-11.689167, -41.766666</v>
      </c>
      <c r="L849" s="5" t="str">
        <f t="shared" si="27"/>
        <v>Abrir no Maps</v>
      </c>
      <c r="M849" t="s">
        <v>6048</v>
      </c>
      <c r="N849" s="5"/>
      <c r="O849" t="str">
        <f>VLOOKUP(G849,'[1]CONFIG.'!$B:$C,2,0)</f>
        <v>DAIANE</v>
      </c>
      <c r="P849" t="str">
        <f>VLOOKUP(O849,'[1]CONFIG.'!$C:$D,2,0)</f>
        <v>74 99298866</v>
      </c>
    </row>
    <row r="850" spans="1:16" x14ac:dyDescent="0.3">
      <c r="A850" t="s">
        <v>6049</v>
      </c>
      <c r="B850" t="s">
        <v>6050</v>
      </c>
      <c r="C850" t="s">
        <v>6051</v>
      </c>
      <c r="D850" t="s">
        <v>5750</v>
      </c>
      <c r="E850" t="s">
        <v>6052</v>
      </c>
      <c r="F850" t="s">
        <v>137</v>
      </c>
      <c r="G850">
        <v>211</v>
      </c>
      <c r="H850">
        <v>500</v>
      </c>
      <c r="I850" s="5" t="s">
        <v>6053</v>
      </c>
      <c r="J850" s="5" t="s">
        <v>6054</v>
      </c>
      <c r="K850" s="5" t="str">
        <f t="shared" si="26"/>
        <v>https://www.google.com/maps?q=-11.687777, -41.768612</v>
      </c>
      <c r="L850" s="5" t="str">
        <f t="shared" si="27"/>
        <v>Abrir no Maps</v>
      </c>
      <c r="M850" t="s">
        <v>6055</v>
      </c>
      <c r="N850" s="5"/>
      <c r="O850" t="str">
        <f>VLOOKUP(G850,'[1]CONFIG.'!$B:$C,2,0)</f>
        <v>DAIANE</v>
      </c>
      <c r="P850" t="str">
        <f>VLOOKUP(O850,'[1]CONFIG.'!$C:$D,2,0)</f>
        <v>74 99298866</v>
      </c>
    </row>
    <row r="851" spans="1:16" x14ac:dyDescent="0.3">
      <c r="A851" t="s">
        <v>6056</v>
      </c>
      <c r="B851" t="s">
        <v>6057</v>
      </c>
      <c r="C851" t="s">
        <v>6058</v>
      </c>
      <c r="D851" t="s">
        <v>5750</v>
      </c>
      <c r="E851" t="s">
        <v>6059</v>
      </c>
      <c r="F851" t="s">
        <v>5824</v>
      </c>
      <c r="G851">
        <v>209</v>
      </c>
      <c r="H851">
        <v>500</v>
      </c>
      <c r="I851" s="5" t="s">
        <v>6060</v>
      </c>
      <c r="J851" s="5" t="s">
        <v>6061</v>
      </c>
      <c r="K851" s="5" t="str">
        <f t="shared" si="26"/>
        <v>https://www.google.com/maps?q=-11.862500, -41.755280</v>
      </c>
      <c r="L851" s="5" t="str">
        <f t="shared" si="27"/>
        <v>Abrir no Maps</v>
      </c>
      <c r="M851" t="s">
        <v>6062</v>
      </c>
      <c r="N851" s="5"/>
      <c r="O851" t="str">
        <f>VLOOKUP(G851,'[1]CONFIG.'!$B:$C,2,0)</f>
        <v>IGOR</v>
      </c>
      <c r="P851" t="str">
        <f>VLOOKUP(O851,'[1]CONFIG.'!$C:$D,2,0)</f>
        <v>74 99590346</v>
      </c>
    </row>
    <row r="852" spans="1:16" x14ac:dyDescent="0.3">
      <c r="A852" t="s">
        <v>6063</v>
      </c>
      <c r="B852" t="s">
        <v>6064</v>
      </c>
      <c r="C852" t="s">
        <v>6065</v>
      </c>
      <c r="D852" t="s">
        <v>5750</v>
      </c>
      <c r="E852" t="s">
        <v>6066</v>
      </c>
      <c r="F852" t="s">
        <v>137</v>
      </c>
      <c r="G852">
        <v>211</v>
      </c>
      <c r="H852">
        <v>500</v>
      </c>
      <c r="I852" s="5" t="s">
        <v>6067</v>
      </c>
      <c r="J852" s="5" t="s">
        <v>6068</v>
      </c>
      <c r="K852" s="5" t="str">
        <f t="shared" si="26"/>
        <v>https://www.google.com/maps?q=-11.686111, -41.771110</v>
      </c>
      <c r="L852" s="5" t="str">
        <f t="shared" si="27"/>
        <v>Abrir no Maps</v>
      </c>
      <c r="M852" t="s">
        <v>6069</v>
      </c>
      <c r="N852" s="5"/>
      <c r="O852" t="str">
        <f>VLOOKUP(G852,'[1]CONFIG.'!$B:$C,2,0)</f>
        <v>DAIANE</v>
      </c>
      <c r="P852" t="str">
        <f>VLOOKUP(O852,'[1]CONFIG.'!$C:$D,2,0)</f>
        <v>74 99298866</v>
      </c>
    </row>
    <row r="853" spans="1:16" x14ac:dyDescent="0.3">
      <c r="A853" t="s">
        <v>6070</v>
      </c>
      <c r="B853" t="s">
        <v>6071</v>
      </c>
      <c r="C853" t="s">
        <v>6072</v>
      </c>
      <c r="D853" t="s">
        <v>5750</v>
      </c>
      <c r="E853" t="s">
        <v>6073</v>
      </c>
      <c r="F853" t="s">
        <v>137</v>
      </c>
      <c r="G853">
        <v>210</v>
      </c>
      <c r="H853">
        <v>500</v>
      </c>
      <c r="I853" s="5" t="s">
        <v>6074</v>
      </c>
      <c r="J853" s="5" t="s">
        <v>6075</v>
      </c>
      <c r="K853" s="5" t="str">
        <f t="shared" si="26"/>
        <v>https://www.google.com/maps?q=-11.683333, -41.769444</v>
      </c>
      <c r="L853" s="5" t="str">
        <f t="shared" si="27"/>
        <v>Abrir no Maps</v>
      </c>
      <c r="M853" t="s">
        <v>6076</v>
      </c>
      <c r="N853" s="5"/>
      <c r="O853" t="str">
        <f>VLOOKUP(G853,'[1]CONFIG.'!$B:$C,2,0)</f>
        <v>SILAS</v>
      </c>
      <c r="P853" t="str">
        <f>VLOOKUP(O853,'[1]CONFIG.'!$C:$D,2,0)</f>
        <v>74 98041875</v>
      </c>
    </row>
    <row r="854" spans="1:16" x14ac:dyDescent="0.3">
      <c r="A854" t="s">
        <v>6077</v>
      </c>
      <c r="B854" t="s">
        <v>6078</v>
      </c>
      <c r="C854" t="s">
        <v>6079</v>
      </c>
      <c r="D854" t="s">
        <v>5750</v>
      </c>
      <c r="E854" t="s">
        <v>6080</v>
      </c>
      <c r="F854" t="s">
        <v>5824</v>
      </c>
      <c r="G854">
        <v>209</v>
      </c>
      <c r="H854">
        <v>500</v>
      </c>
      <c r="I854" s="5" t="s">
        <v>6081</v>
      </c>
      <c r="J854" s="5" t="s">
        <v>6082</v>
      </c>
      <c r="K854" s="5" t="str">
        <f t="shared" si="26"/>
        <v>https://www.google.com/maps?q=-11.858746, -41.750458</v>
      </c>
      <c r="L854" s="5" t="str">
        <f t="shared" si="27"/>
        <v>Abrir no Maps</v>
      </c>
      <c r="M854" t="s">
        <v>6083</v>
      </c>
      <c r="N854" s="5"/>
      <c r="O854" t="str">
        <f>VLOOKUP(G854,'[1]CONFIG.'!$B:$C,2,0)</f>
        <v>IGOR</v>
      </c>
      <c r="P854" t="str">
        <f>VLOOKUP(O854,'[1]CONFIG.'!$C:$D,2,0)</f>
        <v>74 99590346</v>
      </c>
    </row>
    <row r="855" spans="1:16" x14ac:dyDescent="0.3">
      <c r="A855" t="s">
        <v>6084</v>
      </c>
      <c r="B855" t="s">
        <v>6085</v>
      </c>
      <c r="C855" t="s">
        <v>6086</v>
      </c>
      <c r="D855" t="s">
        <v>5750</v>
      </c>
      <c r="E855" t="s">
        <v>6087</v>
      </c>
      <c r="F855" t="s">
        <v>6088</v>
      </c>
      <c r="G855">
        <v>210</v>
      </c>
      <c r="H855">
        <v>500</v>
      </c>
      <c r="I855" s="5" t="s">
        <v>6089</v>
      </c>
      <c r="J855" s="5" t="s">
        <v>6090</v>
      </c>
      <c r="K855" s="5" t="str">
        <f t="shared" si="26"/>
        <v>https://www.google.com/maps?q=-11.685555, -41.770832</v>
      </c>
      <c r="L855" s="5" t="str">
        <f t="shared" si="27"/>
        <v>Abrir no Maps</v>
      </c>
      <c r="M855" t="s">
        <v>6091</v>
      </c>
      <c r="N855" s="5"/>
      <c r="O855" t="str">
        <f>VLOOKUP(G855,'[1]CONFIG.'!$B:$C,2,0)</f>
        <v>SILAS</v>
      </c>
      <c r="P855" t="str">
        <f>VLOOKUP(O855,'[1]CONFIG.'!$C:$D,2,0)</f>
        <v>74 98041875</v>
      </c>
    </row>
    <row r="856" spans="1:16" x14ac:dyDescent="0.3">
      <c r="A856" t="s">
        <v>6092</v>
      </c>
      <c r="B856" t="s">
        <v>6093</v>
      </c>
      <c r="C856" t="s">
        <v>6094</v>
      </c>
      <c r="D856" t="s">
        <v>5750</v>
      </c>
      <c r="E856" t="s">
        <v>6095</v>
      </c>
      <c r="F856" t="s">
        <v>137</v>
      </c>
      <c r="G856">
        <v>210</v>
      </c>
      <c r="H856">
        <v>500</v>
      </c>
      <c r="I856" s="5" t="s">
        <v>6096</v>
      </c>
      <c r="J856" s="5" t="s">
        <v>6097</v>
      </c>
      <c r="K856" s="5" t="str">
        <f t="shared" si="26"/>
        <v>https://www.google.com/maps?q=-11.685265, -41.769680</v>
      </c>
      <c r="L856" s="5" t="str">
        <f t="shared" si="27"/>
        <v>Abrir no Maps</v>
      </c>
      <c r="M856" t="s">
        <v>6098</v>
      </c>
      <c r="N856" s="5"/>
      <c r="O856" t="str">
        <f>VLOOKUP(G856,'[1]CONFIG.'!$B:$C,2,0)</f>
        <v>SILAS</v>
      </c>
      <c r="P856" t="str">
        <f>VLOOKUP(O856,'[1]CONFIG.'!$C:$D,2,0)</f>
        <v>74 98041875</v>
      </c>
    </row>
    <row r="857" spans="1:16" x14ac:dyDescent="0.3">
      <c r="A857" t="s">
        <v>6099</v>
      </c>
      <c r="B857" t="s">
        <v>6100</v>
      </c>
      <c r="C857" t="s">
        <v>6101</v>
      </c>
      <c r="D857" t="s">
        <v>5750</v>
      </c>
      <c r="E857" t="s">
        <v>6102</v>
      </c>
      <c r="F857" t="s">
        <v>137</v>
      </c>
      <c r="G857">
        <v>211</v>
      </c>
      <c r="H857">
        <v>500</v>
      </c>
      <c r="I857" s="5" t="s">
        <v>6103</v>
      </c>
      <c r="J857" s="5" t="s">
        <v>6104</v>
      </c>
      <c r="K857" s="5" t="str">
        <f t="shared" si="26"/>
        <v>https://www.google.com/maps?q=-11.684506, -41.769401</v>
      </c>
      <c r="L857" s="5" t="str">
        <f t="shared" si="27"/>
        <v>Abrir no Maps</v>
      </c>
      <c r="M857" t="s">
        <v>6105</v>
      </c>
      <c r="N857" s="5"/>
      <c r="O857" t="str">
        <f>VLOOKUP(G857,'[1]CONFIG.'!$B:$C,2,0)</f>
        <v>DAIANE</v>
      </c>
      <c r="P857" t="str">
        <f>VLOOKUP(O857,'[1]CONFIG.'!$C:$D,2,0)</f>
        <v>74 99298866</v>
      </c>
    </row>
    <row r="858" spans="1:16" x14ac:dyDescent="0.3">
      <c r="A858" t="s">
        <v>6106</v>
      </c>
      <c r="B858" t="s">
        <v>6107</v>
      </c>
      <c r="C858" t="s">
        <v>6108</v>
      </c>
      <c r="D858" t="s">
        <v>5750</v>
      </c>
      <c r="E858" t="s">
        <v>6109</v>
      </c>
      <c r="F858" t="s">
        <v>5824</v>
      </c>
      <c r="G858">
        <v>209</v>
      </c>
      <c r="H858">
        <v>500</v>
      </c>
      <c r="I858" s="5" t="s">
        <v>6110</v>
      </c>
      <c r="J858" s="5" t="s">
        <v>6111</v>
      </c>
      <c r="K858" s="5" t="str">
        <f t="shared" si="26"/>
        <v>https://www.google.com/maps?q=-11.863255, -41.751480</v>
      </c>
      <c r="L858" s="5" t="str">
        <f t="shared" si="27"/>
        <v>Abrir no Maps</v>
      </c>
      <c r="M858" t="s">
        <v>6112</v>
      </c>
      <c r="N858" s="5"/>
      <c r="O858" t="str">
        <f>VLOOKUP(G858,'[1]CONFIG.'!$B:$C,2,0)</f>
        <v>IGOR</v>
      </c>
      <c r="P858" t="str">
        <f>VLOOKUP(O858,'[1]CONFIG.'!$C:$D,2,0)</f>
        <v>74 99590346</v>
      </c>
    </row>
    <row r="859" spans="1:16" x14ac:dyDescent="0.3">
      <c r="A859" t="s">
        <v>6113</v>
      </c>
      <c r="B859" t="s">
        <v>6114</v>
      </c>
      <c r="C859" t="s">
        <v>6115</v>
      </c>
      <c r="D859" t="s">
        <v>5750</v>
      </c>
      <c r="E859" t="s">
        <v>6116</v>
      </c>
      <c r="F859" t="s">
        <v>137</v>
      </c>
      <c r="G859">
        <v>211</v>
      </c>
      <c r="H859">
        <v>500</v>
      </c>
      <c r="I859" s="5" t="s">
        <v>6117</v>
      </c>
      <c r="J859" s="5" t="s">
        <v>6118</v>
      </c>
      <c r="K859" s="5" t="str">
        <f t="shared" si="26"/>
        <v>https://www.google.com/maps?q=-11.685000, -41.770245</v>
      </c>
      <c r="L859" s="5" t="str">
        <f t="shared" si="27"/>
        <v>Abrir no Maps</v>
      </c>
      <c r="M859" t="s">
        <v>6119</v>
      </c>
      <c r="N859" s="5"/>
      <c r="O859" t="str">
        <f>VLOOKUP(G859,'[1]CONFIG.'!$B:$C,2,0)</f>
        <v>DAIANE</v>
      </c>
      <c r="P859" t="str">
        <f>VLOOKUP(O859,'[1]CONFIG.'!$C:$D,2,0)</f>
        <v>74 99298866</v>
      </c>
    </row>
    <row r="860" spans="1:16" x14ac:dyDescent="0.3">
      <c r="A860" t="s">
        <v>6120</v>
      </c>
      <c r="B860" t="s">
        <v>6121</v>
      </c>
      <c r="C860" t="s">
        <v>6122</v>
      </c>
      <c r="D860" t="s">
        <v>5750</v>
      </c>
      <c r="E860" t="s">
        <v>6123</v>
      </c>
      <c r="F860" t="s">
        <v>137</v>
      </c>
      <c r="G860">
        <v>211</v>
      </c>
      <c r="H860">
        <v>500</v>
      </c>
      <c r="I860" s="5" t="s">
        <v>6124</v>
      </c>
      <c r="J860" s="5" t="s">
        <v>6125</v>
      </c>
      <c r="K860" s="5" t="str">
        <f t="shared" si="26"/>
        <v>https://www.google.com/maps?q=-11.684439, -41.770680</v>
      </c>
      <c r="L860" s="5" t="str">
        <f t="shared" si="27"/>
        <v>Abrir no Maps</v>
      </c>
      <c r="M860" t="s">
        <v>6126</v>
      </c>
      <c r="N860" s="5"/>
      <c r="O860" t="str">
        <f>VLOOKUP(G860,'[1]CONFIG.'!$B:$C,2,0)</f>
        <v>DAIANE</v>
      </c>
      <c r="P860" t="str">
        <f>VLOOKUP(O860,'[1]CONFIG.'!$C:$D,2,0)</f>
        <v>74 99298866</v>
      </c>
    </row>
    <row r="861" spans="1:16" x14ac:dyDescent="0.3">
      <c r="A861" t="s">
        <v>6127</v>
      </c>
      <c r="B861" t="s">
        <v>6128</v>
      </c>
      <c r="C861" t="s">
        <v>6129</v>
      </c>
      <c r="D861" t="s">
        <v>5750</v>
      </c>
      <c r="E861" t="s">
        <v>6130</v>
      </c>
      <c r="F861" t="s">
        <v>137</v>
      </c>
      <c r="G861">
        <v>211</v>
      </c>
      <c r="H861">
        <v>500</v>
      </c>
      <c r="I861" s="5" t="s">
        <v>6131</v>
      </c>
      <c r="J861" s="5" t="s">
        <v>6132</v>
      </c>
      <c r="K861" s="5" t="str">
        <f t="shared" si="26"/>
        <v>https://www.google.com/maps?q=-11.684667, -41.767180</v>
      </c>
      <c r="L861" s="5" t="str">
        <f t="shared" si="27"/>
        <v>Abrir no Maps</v>
      </c>
      <c r="M861" t="s">
        <v>5775</v>
      </c>
      <c r="N861" s="5"/>
      <c r="O861" t="str">
        <f>VLOOKUP(G861,'[1]CONFIG.'!$B:$C,2,0)</f>
        <v>DAIANE</v>
      </c>
      <c r="P861" t="str">
        <f>VLOOKUP(O861,'[1]CONFIG.'!$C:$D,2,0)</f>
        <v>74 99298866</v>
      </c>
    </row>
    <row r="862" spans="1:16" x14ac:dyDescent="0.3">
      <c r="A862" t="s">
        <v>6133</v>
      </c>
      <c r="B862" t="s">
        <v>6134</v>
      </c>
      <c r="C862" t="s">
        <v>6135</v>
      </c>
      <c r="D862" t="s">
        <v>5750</v>
      </c>
      <c r="E862" t="s">
        <v>6136</v>
      </c>
      <c r="F862" t="s">
        <v>6137</v>
      </c>
      <c r="G862">
        <v>210</v>
      </c>
      <c r="H862">
        <v>500</v>
      </c>
      <c r="I862" s="5" t="s">
        <v>6138</v>
      </c>
      <c r="J862" s="5" t="s">
        <v>6139</v>
      </c>
      <c r="K862" s="5" t="str">
        <f t="shared" si="26"/>
        <v>https://www.google.com/maps?q=-11.905433, -41.682480</v>
      </c>
      <c r="L862" s="5" t="str">
        <f t="shared" si="27"/>
        <v>Abrir no Maps</v>
      </c>
      <c r="M862" t="s">
        <v>6140</v>
      </c>
      <c r="N862" s="5"/>
      <c r="O862" t="str">
        <f>VLOOKUP(G862,'[1]CONFIG.'!$B:$C,2,0)</f>
        <v>SILAS</v>
      </c>
      <c r="P862" t="str">
        <f>VLOOKUP(O862,'[1]CONFIG.'!$C:$D,2,0)</f>
        <v>74 98041875</v>
      </c>
    </row>
    <row r="863" spans="1:16" x14ac:dyDescent="0.3">
      <c r="A863" t="s">
        <v>6141</v>
      </c>
      <c r="B863" t="s">
        <v>6142</v>
      </c>
      <c r="C863" t="s">
        <v>6143</v>
      </c>
      <c r="D863" t="s">
        <v>5750</v>
      </c>
      <c r="E863" t="s">
        <v>6144</v>
      </c>
      <c r="F863" t="s">
        <v>5824</v>
      </c>
      <c r="G863">
        <v>209</v>
      </c>
      <c r="H863">
        <v>500</v>
      </c>
      <c r="I863" s="5" t="s">
        <v>6145</v>
      </c>
      <c r="J863" s="5" t="s">
        <v>6146</v>
      </c>
      <c r="K863" s="5" t="str">
        <f t="shared" si="26"/>
        <v>https://www.google.com/maps?q=-11.863187, -41.751415</v>
      </c>
      <c r="L863" s="5" t="str">
        <f t="shared" si="27"/>
        <v>Abrir no Maps</v>
      </c>
      <c r="M863" t="s">
        <v>6147</v>
      </c>
      <c r="N863" s="5"/>
      <c r="O863" t="str">
        <f>VLOOKUP(G863,'[1]CONFIG.'!$B:$C,2,0)</f>
        <v>IGOR</v>
      </c>
      <c r="P863" t="str">
        <f>VLOOKUP(O863,'[1]CONFIG.'!$C:$D,2,0)</f>
        <v>74 99590346</v>
      </c>
    </row>
    <row r="864" spans="1:16" x14ac:dyDescent="0.3">
      <c r="A864" t="s">
        <v>6148</v>
      </c>
      <c r="B864" t="s">
        <v>6149</v>
      </c>
      <c r="C864" t="s">
        <v>6150</v>
      </c>
      <c r="D864" t="s">
        <v>5750</v>
      </c>
      <c r="E864" t="s">
        <v>6151</v>
      </c>
      <c r="F864" t="s">
        <v>5824</v>
      </c>
      <c r="G864">
        <v>209</v>
      </c>
      <c r="H864">
        <v>500</v>
      </c>
      <c r="I864" s="5" t="s">
        <v>6152</v>
      </c>
      <c r="J864" s="5" t="s">
        <v>6153</v>
      </c>
      <c r="K864" s="5" t="str">
        <f t="shared" si="26"/>
        <v>https://www.google.com/maps?q=-11.861423, -41.752751</v>
      </c>
      <c r="L864" s="5" t="str">
        <f t="shared" si="27"/>
        <v>Abrir no Maps</v>
      </c>
      <c r="M864" t="s">
        <v>6154</v>
      </c>
      <c r="N864" s="5"/>
      <c r="O864" t="str">
        <f>VLOOKUP(G864,'[1]CONFIG.'!$B:$C,2,0)</f>
        <v>IGOR</v>
      </c>
      <c r="P864" t="str">
        <f>VLOOKUP(O864,'[1]CONFIG.'!$C:$D,2,0)</f>
        <v>74 99590346</v>
      </c>
    </row>
    <row r="865" spans="1:16" x14ac:dyDescent="0.3">
      <c r="A865" t="s">
        <v>6155</v>
      </c>
      <c r="B865" t="s">
        <v>6156</v>
      </c>
      <c r="C865" t="s">
        <v>6157</v>
      </c>
      <c r="D865" t="s">
        <v>5750</v>
      </c>
      <c r="E865" t="s">
        <v>6158</v>
      </c>
      <c r="F865" t="s">
        <v>5824</v>
      </c>
      <c r="G865">
        <v>209</v>
      </c>
      <c r="H865">
        <v>500</v>
      </c>
      <c r="I865" s="5" t="s">
        <v>6159</v>
      </c>
      <c r="J865" s="5" t="s">
        <v>6160</v>
      </c>
      <c r="K865" s="5" t="str">
        <f t="shared" si="26"/>
        <v>https://www.google.com/maps?q=-11.857569, -41.749875</v>
      </c>
      <c r="L865" s="5" t="str">
        <f t="shared" si="27"/>
        <v>Abrir no Maps</v>
      </c>
      <c r="M865" t="s">
        <v>6161</v>
      </c>
      <c r="N865" s="5"/>
      <c r="O865" t="str">
        <f>VLOOKUP(G865,'[1]CONFIG.'!$B:$C,2,0)</f>
        <v>IGOR</v>
      </c>
      <c r="P865" t="str">
        <f>VLOOKUP(O865,'[1]CONFIG.'!$C:$D,2,0)</f>
        <v>74 99590346</v>
      </c>
    </row>
    <row r="866" spans="1:16" x14ac:dyDescent="0.3">
      <c r="A866" t="s">
        <v>6162</v>
      </c>
      <c r="B866" t="s">
        <v>6163</v>
      </c>
      <c r="C866" t="s">
        <v>6164</v>
      </c>
      <c r="D866" t="s">
        <v>5750</v>
      </c>
      <c r="E866" t="s">
        <v>6165</v>
      </c>
      <c r="F866" t="s">
        <v>137</v>
      </c>
      <c r="G866">
        <v>211</v>
      </c>
      <c r="H866">
        <v>500</v>
      </c>
      <c r="I866" s="5" t="s">
        <v>6166</v>
      </c>
      <c r="J866" s="5" t="s">
        <v>6167</v>
      </c>
      <c r="K866" s="5" t="str">
        <f t="shared" si="26"/>
        <v>https://www.google.com/maps?q=-11.685820, -41.772675</v>
      </c>
      <c r="L866" s="5" t="str">
        <f t="shared" si="27"/>
        <v>Abrir no Maps</v>
      </c>
      <c r="M866" t="s">
        <v>6168</v>
      </c>
      <c r="N866" s="5"/>
      <c r="O866" t="str">
        <f>VLOOKUP(G866,'[1]CONFIG.'!$B:$C,2,0)</f>
        <v>DAIANE</v>
      </c>
      <c r="P866" t="str">
        <f>VLOOKUP(O866,'[1]CONFIG.'!$C:$D,2,0)</f>
        <v>74 99298866</v>
      </c>
    </row>
    <row r="867" spans="1:16" x14ac:dyDescent="0.3">
      <c r="A867" t="s">
        <v>6169</v>
      </c>
      <c r="B867" t="s">
        <v>6170</v>
      </c>
      <c r="C867" t="s">
        <v>6171</v>
      </c>
      <c r="D867" t="s">
        <v>5750</v>
      </c>
      <c r="E867" t="s">
        <v>6172</v>
      </c>
      <c r="F867" t="s">
        <v>6173</v>
      </c>
      <c r="G867">
        <v>202</v>
      </c>
      <c r="H867">
        <v>500</v>
      </c>
      <c r="I867" s="5" t="s">
        <v>6174</v>
      </c>
      <c r="J867" s="5" t="s">
        <v>6175</v>
      </c>
      <c r="K867" s="5" t="str">
        <f t="shared" si="26"/>
        <v>https://www.google.com/maps?q=-11.884345, -41.653725</v>
      </c>
      <c r="L867" s="5" t="str">
        <f t="shared" si="27"/>
        <v>Abrir no Maps</v>
      </c>
      <c r="M867" t="s">
        <v>6176</v>
      </c>
      <c r="N867" s="5"/>
      <c r="O867" t="str">
        <f>VLOOKUP(G867,'[1]CONFIG.'!$B:$C,2,0)</f>
        <v>ARISTON</v>
      </c>
      <c r="P867" t="str">
        <f>VLOOKUP(O867,'[1]CONFIG.'!$C:$D,2,0)</f>
        <v>74 99384078</v>
      </c>
    </row>
    <row r="868" spans="1:16" x14ac:dyDescent="0.3">
      <c r="A868" t="s">
        <v>6177</v>
      </c>
      <c r="B868" t="s">
        <v>6178</v>
      </c>
      <c r="C868" t="s">
        <v>6179</v>
      </c>
      <c r="D868" t="s">
        <v>5750</v>
      </c>
      <c r="E868" t="s">
        <v>6180</v>
      </c>
      <c r="F868" t="s">
        <v>137</v>
      </c>
      <c r="G868">
        <v>211</v>
      </c>
      <c r="H868">
        <v>500</v>
      </c>
      <c r="I868" s="5" t="s">
        <v>6181</v>
      </c>
      <c r="J868" s="5" t="s">
        <v>6182</v>
      </c>
      <c r="K868" s="5" t="str">
        <f t="shared" si="26"/>
        <v>https://www.google.com/maps?q=-11.684748, -41.769590</v>
      </c>
      <c r="L868" s="5" t="str">
        <f t="shared" si="27"/>
        <v>Abrir no Maps</v>
      </c>
      <c r="M868" t="s">
        <v>6183</v>
      </c>
      <c r="N868" s="5"/>
      <c r="O868" t="str">
        <f>VLOOKUP(G868,'[1]CONFIG.'!$B:$C,2,0)</f>
        <v>DAIANE</v>
      </c>
      <c r="P868" t="str">
        <f>VLOOKUP(O868,'[1]CONFIG.'!$C:$D,2,0)</f>
        <v>74 99298866</v>
      </c>
    </row>
    <row r="869" spans="1:16" x14ac:dyDescent="0.3">
      <c r="A869" t="s">
        <v>6184</v>
      </c>
      <c r="B869" t="s">
        <v>6185</v>
      </c>
      <c r="C869" t="s">
        <v>6186</v>
      </c>
      <c r="D869" t="s">
        <v>5750</v>
      </c>
      <c r="E869" t="s">
        <v>6187</v>
      </c>
      <c r="F869" t="s">
        <v>137</v>
      </c>
      <c r="G869">
        <v>210</v>
      </c>
      <c r="H869">
        <v>500</v>
      </c>
      <c r="I869" s="5" t="s">
        <v>6188</v>
      </c>
      <c r="J869" s="5" t="s">
        <v>6189</v>
      </c>
      <c r="K869" s="5" t="str">
        <f t="shared" si="26"/>
        <v>https://www.google.com/maps?q=-11.688745, -41.769604</v>
      </c>
      <c r="L869" s="5" t="str">
        <f t="shared" si="27"/>
        <v>Abrir no Maps</v>
      </c>
      <c r="M869" t="s">
        <v>6190</v>
      </c>
      <c r="N869" s="5"/>
      <c r="O869" t="str">
        <f>VLOOKUP(G869,'[1]CONFIG.'!$B:$C,2,0)</f>
        <v>SILAS</v>
      </c>
      <c r="P869" t="str">
        <f>VLOOKUP(O869,'[1]CONFIG.'!$C:$D,2,0)</f>
        <v>74 98041875</v>
      </c>
    </row>
    <row r="870" spans="1:16" x14ac:dyDescent="0.3">
      <c r="A870" t="s">
        <v>6191</v>
      </c>
      <c r="B870" t="s">
        <v>6192</v>
      </c>
      <c r="C870" t="s">
        <v>6193</v>
      </c>
      <c r="D870" t="s">
        <v>5750</v>
      </c>
      <c r="E870" t="s">
        <v>6194</v>
      </c>
      <c r="F870" t="s">
        <v>137</v>
      </c>
      <c r="G870">
        <v>211</v>
      </c>
      <c r="H870">
        <v>500</v>
      </c>
      <c r="I870" s="5" t="s">
        <v>6195</v>
      </c>
      <c r="J870" s="5" t="s">
        <v>6196</v>
      </c>
      <c r="K870" s="5" t="str">
        <f t="shared" si="26"/>
        <v>https://www.google.com/maps?q=-11.683589, -41.767310</v>
      </c>
      <c r="L870" s="5" t="str">
        <f t="shared" si="27"/>
        <v>Abrir no Maps</v>
      </c>
      <c r="M870" t="s">
        <v>6197</v>
      </c>
      <c r="N870" s="5"/>
      <c r="O870" t="str">
        <f>VLOOKUP(G870,'[1]CONFIG.'!$B:$C,2,0)</f>
        <v>DAIANE</v>
      </c>
      <c r="P870" t="str">
        <f>VLOOKUP(O870,'[1]CONFIG.'!$C:$D,2,0)</f>
        <v>74 99298866</v>
      </c>
    </row>
    <row r="871" spans="1:16" x14ac:dyDescent="0.3">
      <c r="A871" t="s">
        <v>6198</v>
      </c>
      <c r="B871" t="s">
        <v>1328</v>
      </c>
      <c r="C871" t="s">
        <v>6199</v>
      </c>
      <c r="D871" t="s">
        <v>5750</v>
      </c>
      <c r="E871" t="s">
        <v>6200</v>
      </c>
      <c r="F871" t="s">
        <v>137</v>
      </c>
      <c r="G871">
        <v>211</v>
      </c>
      <c r="H871">
        <v>500</v>
      </c>
      <c r="I871" s="5" t="s">
        <v>6201</v>
      </c>
      <c r="J871" s="5" t="s">
        <v>6202</v>
      </c>
      <c r="K871" s="5" t="str">
        <f t="shared" si="26"/>
        <v>https://www.google.com/maps?q=-11.685833, -41.766556</v>
      </c>
      <c r="L871" s="5" t="str">
        <f t="shared" si="27"/>
        <v>Abrir no Maps</v>
      </c>
      <c r="M871" t="s">
        <v>1333</v>
      </c>
      <c r="N871" s="5"/>
      <c r="O871" t="str">
        <f>VLOOKUP(G871,'[1]CONFIG.'!$B:$C,2,0)</f>
        <v>DAIANE</v>
      </c>
      <c r="P871" t="str">
        <f>VLOOKUP(O871,'[1]CONFIG.'!$C:$D,2,0)</f>
        <v>74 99298866</v>
      </c>
    </row>
    <row r="872" spans="1:16" x14ac:dyDescent="0.3">
      <c r="A872" t="s">
        <v>6203</v>
      </c>
      <c r="B872" t="s">
        <v>6204</v>
      </c>
      <c r="C872" t="s">
        <v>6205</v>
      </c>
      <c r="D872" t="s">
        <v>5750</v>
      </c>
      <c r="E872" t="s">
        <v>6206</v>
      </c>
      <c r="F872" t="s">
        <v>137</v>
      </c>
      <c r="G872">
        <v>202</v>
      </c>
      <c r="H872">
        <v>500</v>
      </c>
      <c r="I872" s="5" t="s">
        <v>6207</v>
      </c>
      <c r="J872" s="5" t="s">
        <v>6208</v>
      </c>
      <c r="K872" s="5" t="str">
        <f t="shared" si="26"/>
        <v>https://www.google.com/maps?q=-11.829285, -41.641929</v>
      </c>
      <c r="L872" s="5" t="str">
        <f t="shared" si="27"/>
        <v>Abrir no Maps</v>
      </c>
      <c r="M872" t="s">
        <v>6209</v>
      </c>
      <c r="N872" s="5"/>
      <c r="O872" t="str">
        <f>VLOOKUP(G872,'[1]CONFIG.'!$B:$C,2,0)</f>
        <v>ARISTON</v>
      </c>
      <c r="P872" t="str">
        <f>VLOOKUP(O872,'[1]CONFIG.'!$C:$D,2,0)</f>
        <v>74 99384078</v>
      </c>
    </row>
    <row r="873" spans="1:16" x14ac:dyDescent="0.3">
      <c r="A873" t="s">
        <v>6210</v>
      </c>
      <c r="B873" t="s">
        <v>6211</v>
      </c>
      <c r="C873" t="s">
        <v>6212</v>
      </c>
      <c r="D873" t="s">
        <v>5750</v>
      </c>
      <c r="E873" t="s">
        <v>6213</v>
      </c>
      <c r="F873" t="s">
        <v>137</v>
      </c>
      <c r="G873">
        <v>210</v>
      </c>
      <c r="H873">
        <v>500</v>
      </c>
      <c r="I873" s="5" t="s">
        <v>6214</v>
      </c>
      <c r="J873" s="5" t="s">
        <v>6215</v>
      </c>
      <c r="K873" s="5" t="str">
        <f t="shared" si="26"/>
        <v>https://www.google.com/maps?q=-11.688342, -41.767111</v>
      </c>
      <c r="L873" s="5" t="str">
        <f t="shared" si="27"/>
        <v>Abrir no Maps</v>
      </c>
      <c r="M873" t="s">
        <v>6216</v>
      </c>
      <c r="N873" s="5"/>
      <c r="O873" t="str">
        <f>VLOOKUP(G873,'[1]CONFIG.'!$B:$C,2,0)</f>
        <v>SILAS</v>
      </c>
      <c r="P873" t="str">
        <f>VLOOKUP(O873,'[1]CONFIG.'!$C:$D,2,0)</f>
        <v>74 98041875</v>
      </c>
    </row>
    <row r="874" spans="1:16" x14ac:dyDescent="0.3">
      <c r="A874" t="s">
        <v>6217</v>
      </c>
      <c r="B874" t="s">
        <v>6218</v>
      </c>
      <c r="C874" t="s">
        <v>6219</v>
      </c>
      <c r="D874" t="s">
        <v>5750</v>
      </c>
      <c r="E874" t="s">
        <v>6220</v>
      </c>
      <c r="F874" t="s">
        <v>6173</v>
      </c>
      <c r="G874">
        <v>202</v>
      </c>
      <c r="H874">
        <v>500</v>
      </c>
      <c r="I874" s="5" t="s">
        <v>6221</v>
      </c>
      <c r="J874" s="5" t="s">
        <v>6222</v>
      </c>
      <c r="K874" s="5" t="str">
        <f t="shared" si="26"/>
        <v>https://www.google.com/maps?q=-11.884710, -41.654015</v>
      </c>
      <c r="L874" s="5" t="str">
        <f t="shared" si="27"/>
        <v>Abrir no Maps</v>
      </c>
      <c r="M874" t="s">
        <v>6223</v>
      </c>
      <c r="N874" s="5"/>
      <c r="O874" t="str">
        <f>VLOOKUP(G874,'[1]CONFIG.'!$B:$C,2,0)</f>
        <v>ARISTON</v>
      </c>
      <c r="P874" t="str">
        <f>VLOOKUP(O874,'[1]CONFIG.'!$C:$D,2,0)</f>
        <v>74 99384078</v>
      </c>
    </row>
    <row r="875" spans="1:16" x14ac:dyDescent="0.3">
      <c r="A875" t="s">
        <v>6224</v>
      </c>
      <c r="B875" t="s">
        <v>6225</v>
      </c>
      <c r="C875" t="s">
        <v>6226</v>
      </c>
      <c r="D875" t="s">
        <v>5750</v>
      </c>
      <c r="E875" t="s">
        <v>6227</v>
      </c>
      <c r="F875" t="s">
        <v>5824</v>
      </c>
      <c r="G875">
        <v>209</v>
      </c>
      <c r="H875">
        <v>500</v>
      </c>
      <c r="I875" s="5" t="s">
        <v>6228</v>
      </c>
      <c r="J875" s="5" t="s">
        <v>6229</v>
      </c>
      <c r="K875" s="5" t="str">
        <f t="shared" si="26"/>
        <v>https://www.google.com/maps?q=-11.863264, -41.732827</v>
      </c>
      <c r="L875" s="5" t="str">
        <f t="shared" si="27"/>
        <v>Abrir no Maps</v>
      </c>
      <c r="M875" t="s">
        <v>6230</v>
      </c>
      <c r="N875" s="5"/>
      <c r="O875" t="str">
        <f>VLOOKUP(G875,'[1]CONFIG.'!$B:$C,2,0)</f>
        <v>IGOR</v>
      </c>
      <c r="P875" t="str">
        <f>VLOOKUP(O875,'[1]CONFIG.'!$C:$D,2,0)</f>
        <v>74 99590346</v>
      </c>
    </row>
    <row r="876" spans="1:16" x14ac:dyDescent="0.3">
      <c r="A876" t="s">
        <v>6231</v>
      </c>
      <c r="B876" t="s">
        <v>6232</v>
      </c>
      <c r="C876" t="s">
        <v>6233</v>
      </c>
      <c r="D876" t="s">
        <v>5750</v>
      </c>
      <c r="E876" t="s">
        <v>6234</v>
      </c>
      <c r="F876" t="s">
        <v>137</v>
      </c>
      <c r="G876">
        <v>211</v>
      </c>
      <c r="H876">
        <v>500</v>
      </c>
      <c r="I876" s="5" t="s">
        <v>6235</v>
      </c>
      <c r="J876" s="5" t="s">
        <v>6236</v>
      </c>
      <c r="K876" s="5" t="str">
        <f t="shared" si="26"/>
        <v>https://www.google.com/maps?q=-11.688195, -41.768684</v>
      </c>
      <c r="L876" s="5" t="str">
        <f t="shared" si="27"/>
        <v>Abrir no Maps</v>
      </c>
      <c r="M876" t="s">
        <v>6105</v>
      </c>
      <c r="N876" s="5"/>
      <c r="O876" t="str">
        <f>VLOOKUP(G876,'[1]CONFIG.'!$B:$C,2,0)</f>
        <v>DAIANE</v>
      </c>
      <c r="P876" t="str">
        <f>VLOOKUP(O876,'[1]CONFIG.'!$C:$D,2,0)</f>
        <v>74 99298866</v>
      </c>
    </row>
    <row r="877" spans="1:16" x14ac:dyDescent="0.3">
      <c r="A877" t="s">
        <v>6237</v>
      </c>
      <c r="B877" t="s">
        <v>6238</v>
      </c>
      <c r="C877" t="s">
        <v>6239</v>
      </c>
      <c r="D877" t="s">
        <v>5750</v>
      </c>
      <c r="E877" t="s">
        <v>6240</v>
      </c>
      <c r="F877" t="s">
        <v>5824</v>
      </c>
      <c r="G877">
        <v>209</v>
      </c>
      <c r="H877">
        <v>500</v>
      </c>
      <c r="I877" s="5" t="s">
        <v>6241</v>
      </c>
      <c r="J877" s="5" t="s">
        <v>6242</v>
      </c>
      <c r="K877" s="5" t="str">
        <f t="shared" si="26"/>
        <v>https://www.google.com/maps?q=-11.859742, -41.753326</v>
      </c>
      <c r="L877" s="5" t="str">
        <f t="shared" si="27"/>
        <v>Abrir no Maps</v>
      </c>
      <c r="M877" t="s">
        <v>6243</v>
      </c>
      <c r="N877" s="5"/>
      <c r="O877" t="str">
        <f>VLOOKUP(G877,'[1]CONFIG.'!$B:$C,2,0)</f>
        <v>IGOR</v>
      </c>
      <c r="P877" t="str">
        <f>VLOOKUP(O877,'[1]CONFIG.'!$C:$D,2,0)</f>
        <v>74 99590346</v>
      </c>
    </row>
    <row r="878" spans="1:16" x14ac:dyDescent="0.3">
      <c r="A878" t="s">
        <v>6244</v>
      </c>
      <c r="B878" t="s">
        <v>6245</v>
      </c>
      <c r="C878" t="s">
        <v>6246</v>
      </c>
      <c r="D878" t="s">
        <v>5750</v>
      </c>
      <c r="E878" t="s">
        <v>6247</v>
      </c>
      <c r="F878" t="s">
        <v>137</v>
      </c>
      <c r="G878">
        <v>210</v>
      </c>
      <c r="H878">
        <v>500</v>
      </c>
      <c r="I878" s="5" t="s">
        <v>6248</v>
      </c>
      <c r="J878" s="5" t="s">
        <v>6249</v>
      </c>
      <c r="K878" s="5" t="str">
        <f t="shared" si="26"/>
        <v>https://www.google.com/maps?q=-11.690576, -41.765675</v>
      </c>
      <c r="L878" s="5" t="str">
        <f t="shared" si="27"/>
        <v>Abrir no Maps</v>
      </c>
      <c r="M878" t="s">
        <v>6250</v>
      </c>
      <c r="N878" s="5"/>
      <c r="O878" t="str">
        <f>VLOOKUP(G878,'[1]CONFIG.'!$B:$C,2,0)</f>
        <v>SILAS</v>
      </c>
      <c r="P878" t="str">
        <f>VLOOKUP(O878,'[1]CONFIG.'!$C:$D,2,0)</f>
        <v>74 98041875</v>
      </c>
    </row>
    <row r="879" spans="1:16" x14ac:dyDescent="0.3">
      <c r="A879" t="s">
        <v>6251</v>
      </c>
      <c r="B879" t="s">
        <v>6252</v>
      </c>
      <c r="C879" t="s">
        <v>6253</v>
      </c>
      <c r="D879" t="s">
        <v>5750</v>
      </c>
      <c r="E879" t="s">
        <v>6254</v>
      </c>
      <c r="F879" t="s">
        <v>137</v>
      </c>
      <c r="G879">
        <v>210</v>
      </c>
      <c r="H879">
        <v>500</v>
      </c>
      <c r="I879" s="5" t="s">
        <v>6255</v>
      </c>
      <c r="J879" s="5" t="s">
        <v>6256</v>
      </c>
      <c r="K879" s="5" t="str">
        <f t="shared" si="26"/>
        <v>https://www.google.com/maps?q=-11.691142, -41.764538</v>
      </c>
      <c r="L879" s="5" t="str">
        <f t="shared" si="27"/>
        <v>Abrir no Maps</v>
      </c>
      <c r="M879" t="s">
        <v>6257</v>
      </c>
      <c r="N879" s="5"/>
      <c r="O879" t="str">
        <f>VLOOKUP(G879,'[1]CONFIG.'!$B:$C,2,0)</f>
        <v>SILAS</v>
      </c>
      <c r="P879" t="str">
        <f>VLOOKUP(O879,'[1]CONFIG.'!$C:$D,2,0)</f>
        <v>74 98041875</v>
      </c>
    </row>
    <row r="880" spans="1:16" x14ac:dyDescent="0.3">
      <c r="A880" t="s">
        <v>6258</v>
      </c>
      <c r="B880" t="s">
        <v>6259</v>
      </c>
      <c r="C880" t="s">
        <v>6260</v>
      </c>
      <c r="D880" t="s">
        <v>5750</v>
      </c>
      <c r="E880" t="s">
        <v>6261</v>
      </c>
      <c r="F880" t="s">
        <v>137</v>
      </c>
      <c r="G880">
        <v>211</v>
      </c>
      <c r="H880">
        <v>500</v>
      </c>
      <c r="I880" s="5" t="s">
        <v>6262</v>
      </c>
      <c r="J880" s="5" t="s">
        <v>6263</v>
      </c>
      <c r="K880" s="5" t="str">
        <f t="shared" si="26"/>
        <v>https://www.google.com/maps?q=-11.686631, -41.764347</v>
      </c>
      <c r="L880" s="5" t="str">
        <f t="shared" si="27"/>
        <v>Abrir no Maps</v>
      </c>
      <c r="M880" t="s">
        <v>6264</v>
      </c>
      <c r="N880" s="5"/>
      <c r="O880" t="str">
        <f>VLOOKUP(G880,'[1]CONFIG.'!$B:$C,2,0)</f>
        <v>DAIANE</v>
      </c>
      <c r="P880" t="str">
        <f>VLOOKUP(O880,'[1]CONFIG.'!$C:$D,2,0)</f>
        <v>74 99298866</v>
      </c>
    </row>
    <row r="881" spans="1:16" x14ac:dyDescent="0.3">
      <c r="A881" t="s">
        <v>6265</v>
      </c>
      <c r="B881" t="s">
        <v>6266</v>
      </c>
      <c r="C881" t="s">
        <v>6267</v>
      </c>
      <c r="D881" t="s">
        <v>5750</v>
      </c>
      <c r="E881" t="s">
        <v>6268</v>
      </c>
      <c r="F881" t="s">
        <v>6269</v>
      </c>
      <c r="G881">
        <v>209</v>
      </c>
      <c r="H881">
        <v>500</v>
      </c>
      <c r="I881" s="5" t="s">
        <v>6270</v>
      </c>
      <c r="J881" s="5" t="s">
        <v>6271</v>
      </c>
      <c r="K881" s="5" t="str">
        <f t="shared" si="26"/>
        <v>https://www.google.com/maps?q=-11.798132, -41.736275</v>
      </c>
      <c r="L881" s="5" t="str">
        <f t="shared" si="27"/>
        <v>Abrir no Maps</v>
      </c>
      <c r="M881" t="s">
        <v>6272</v>
      </c>
      <c r="N881" s="5"/>
      <c r="O881" t="str">
        <f>VLOOKUP(G881,'[1]CONFIG.'!$B:$C,2,0)</f>
        <v>IGOR</v>
      </c>
      <c r="P881" t="str">
        <f>VLOOKUP(O881,'[1]CONFIG.'!$C:$D,2,0)</f>
        <v>74 99590346</v>
      </c>
    </row>
    <row r="882" spans="1:16" x14ac:dyDescent="0.3">
      <c r="A882" t="s">
        <v>6273</v>
      </c>
      <c r="B882" t="s">
        <v>6274</v>
      </c>
      <c r="C882" t="s">
        <v>6275</v>
      </c>
      <c r="D882" t="s">
        <v>5750</v>
      </c>
      <c r="E882" t="s">
        <v>6276</v>
      </c>
      <c r="F882" t="s">
        <v>137</v>
      </c>
      <c r="G882">
        <v>211</v>
      </c>
      <c r="H882">
        <v>500</v>
      </c>
      <c r="I882" s="5" t="s">
        <v>6277</v>
      </c>
      <c r="J882" s="5" t="s">
        <v>6278</v>
      </c>
      <c r="K882" s="5" t="str">
        <f t="shared" si="26"/>
        <v>https://www.google.com/maps?q=-11.684048, -41.768500</v>
      </c>
      <c r="L882" s="5" t="str">
        <f t="shared" si="27"/>
        <v>Abrir no Maps</v>
      </c>
      <c r="M882" t="s">
        <v>6279</v>
      </c>
      <c r="N882" s="5"/>
      <c r="O882" t="str">
        <f>VLOOKUP(G882,'[1]CONFIG.'!$B:$C,2,0)</f>
        <v>DAIANE</v>
      </c>
      <c r="P882" t="str">
        <f>VLOOKUP(O882,'[1]CONFIG.'!$C:$D,2,0)</f>
        <v>74 99298866</v>
      </c>
    </row>
    <row r="883" spans="1:16" x14ac:dyDescent="0.3">
      <c r="A883" t="s">
        <v>6280</v>
      </c>
      <c r="B883" t="s">
        <v>6281</v>
      </c>
      <c r="C883" t="s">
        <v>6282</v>
      </c>
      <c r="D883" t="s">
        <v>5750</v>
      </c>
      <c r="E883" t="s">
        <v>6283</v>
      </c>
      <c r="F883" t="s">
        <v>5824</v>
      </c>
      <c r="G883">
        <v>209</v>
      </c>
      <c r="H883">
        <v>500</v>
      </c>
      <c r="I883" s="5" t="s">
        <v>6284</v>
      </c>
      <c r="J883" s="5" t="s">
        <v>6285</v>
      </c>
      <c r="K883" s="5" t="str">
        <f t="shared" si="26"/>
        <v>https://www.google.com/maps?q=-11.859506, -41.750355</v>
      </c>
      <c r="L883" s="5" t="str">
        <f t="shared" si="27"/>
        <v>Abrir no Maps</v>
      </c>
      <c r="M883" t="s">
        <v>6286</v>
      </c>
      <c r="N883" s="5"/>
      <c r="O883" t="str">
        <f>VLOOKUP(G883,'[1]CONFIG.'!$B:$C,2,0)</f>
        <v>IGOR</v>
      </c>
      <c r="P883" t="str">
        <f>VLOOKUP(O883,'[1]CONFIG.'!$C:$D,2,0)</f>
        <v>74 99590346</v>
      </c>
    </row>
    <row r="884" spans="1:16" x14ac:dyDescent="0.3">
      <c r="A884" t="s">
        <v>6287</v>
      </c>
      <c r="B884" t="s">
        <v>6288</v>
      </c>
      <c r="C884" t="s">
        <v>6289</v>
      </c>
      <c r="D884" t="s">
        <v>5750</v>
      </c>
      <c r="E884" t="s">
        <v>6290</v>
      </c>
      <c r="F884" t="s">
        <v>5824</v>
      </c>
      <c r="G884">
        <v>209</v>
      </c>
      <c r="H884">
        <v>500</v>
      </c>
      <c r="I884" s="5" t="s">
        <v>6291</v>
      </c>
      <c r="J884" s="5" t="s">
        <v>6292</v>
      </c>
      <c r="K884" s="5" t="str">
        <f t="shared" si="26"/>
        <v>https://www.google.com/maps?q=-11.857490, -41.748418</v>
      </c>
      <c r="L884" s="5" t="str">
        <f t="shared" si="27"/>
        <v>Abrir no Maps</v>
      </c>
      <c r="M884" t="s">
        <v>6293</v>
      </c>
      <c r="N884" s="5"/>
      <c r="O884" t="str">
        <f>VLOOKUP(G884,'[1]CONFIG.'!$B:$C,2,0)</f>
        <v>IGOR</v>
      </c>
      <c r="P884" t="str">
        <f>VLOOKUP(O884,'[1]CONFIG.'!$C:$D,2,0)</f>
        <v>74 99590346</v>
      </c>
    </row>
    <row r="885" spans="1:16" x14ac:dyDescent="0.3">
      <c r="A885" t="s">
        <v>6294</v>
      </c>
      <c r="B885" t="s">
        <v>6295</v>
      </c>
      <c r="C885" t="s">
        <v>6296</v>
      </c>
      <c r="D885" t="s">
        <v>5750</v>
      </c>
      <c r="E885" t="s">
        <v>6297</v>
      </c>
      <c r="F885" t="s">
        <v>6002</v>
      </c>
      <c r="G885">
        <v>209</v>
      </c>
      <c r="H885">
        <v>500</v>
      </c>
      <c r="I885" s="5" t="s">
        <v>6298</v>
      </c>
      <c r="J885" s="5" t="s">
        <v>6299</v>
      </c>
      <c r="K885" s="5" t="str">
        <f t="shared" si="26"/>
        <v>https://www.google.com/maps?q=-11.863633, -41.751205</v>
      </c>
      <c r="L885" s="5" t="str">
        <f t="shared" si="27"/>
        <v>Abrir no Maps</v>
      </c>
      <c r="M885" t="s">
        <v>6300</v>
      </c>
      <c r="N885" s="5"/>
      <c r="O885" t="str">
        <f>VLOOKUP(G885,'[1]CONFIG.'!$B:$C,2,0)</f>
        <v>IGOR</v>
      </c>
      <c r="P885" t="str">
        <f>VLOOKUP(O885,'[1]CONFIG.'!$C:$D,2,0)</f>
        <v>74 99590346</v>
      </c>
    </row>
    <row r="886" spans="1:16" x14ac:dyDescent="0.3">
      <c r="A886" t="s">
        <v>6301</v>
      </c>
      <c r="B886" t="s">
        <v>6302</v>
      </c>
      <c r="C886" t="s">
        <v>6303</v>
      </c>
      <c r="D886" t="s">
        <v>5750</v>
      </c>
      <c r="E886" t="s">
        <v>6304</v>
      </c>
      <c r="F886" t="s">
        <v>6088</v>
      </c>
      <c r="G886">
        <v>210</v>
      </c>
      <c r="H886">
        <v>500</v>
      </c>
      <c r="I886" s="5" t="s">
        <v>6305</v>
      </c>
      <c r="J886" s="5" t="s">
        <v>6306</v>
      </c>
      <c r="K886" s="5" t="str">
        <f t="shared" si="26"/>
        <v>https://www.google.com/maps?q=-11.710405, -41.793212</v>
      </c>
      <c r="L886" s="5" t="str">
        <f t="shared" si="27"/>
        <v>Abrir no Maps</v>
      </c>
      <c r="M886" t="s">
        <v>6307</v>
      </c>
      <c r="N886" s="5"/>
      <c r="O886" t="str">
        <f>VLOOKUP(G886,'[1]CONFIG.'!$B:$C,2,0)</f>
        <v>SILAS</v>
      </c>
      <c r="P886" t="str">
        <f>VLOOKUP(O886,'[1]CONFIG.'!$C:$D,2,0)</f>
        <v>74 98041875</v>
      </c>
    </row>
    <row r="887" spans="1:16" x14ac:dyDescent="0.3">
      <c r="A887" t="s">
        <v>6308</v>
      </c>
      <c r="B887" t="s">
        <v>6309</v>
      </c>
      <c r="C887" t="s">
        <v>6310</v>
      </c>
      <c r="D887" t="s">
        <v>5750</v>
      </c>
      <c r="E887" t="s">
        <v>6311</v>
      </c>
      <c r="F887" t="s">
        <v>5824</v>
      </c>
      <c r="G887">
        <v>209</v>
      </c>
      <c r="H887">
        <v>500</v>
      </c>
      <c r="I887" s="5" t="s">
        <v>6312</v>
      </c>
      <c r="J887" s="5" t="s">
        <v>6313</v>
      </c>
      <c r="K887" s="5" t="str">
        <f t="shared" si="26"/>
        <v>https://www.google.com/maps?q=-11.861553, -41.752244</v>
      </c>
      <c r="L887" s="5" t="str">
        <f t="shared" si="27"/>
        <v>Abrir no Maps</v>
      </c>
      <c r="M887" t="s">
        <v>6314</v>
      </c>
      <c r="N887" s="5"/>
      <c r="O887" t="str">
        <f>VLOOKUP(G887,'[1]CONFIG.'!$B:$C,2,0)</f>
        <v>IGOR</v>
      </c>
      <c r="P887" t="str">
        <f>VLOOKUP(O887,'[1]CONFIG.'!$C:$D,2,0)</f>
        <v>74 99590346</v>
      </c>
    </row>
    <row r="888" spans="1:16" x14ac:dyDescent="0.3">
      <c r="A888" t="s">
        <v>6315</v>
      </c>
      <c r="B888" t="s">
        <v>6316</v>
      </c>
      <c r="C888" t="s">
        <v>6317</v>
      </c>
      <c r="D888" t="s">
        <v>5750</v>
      </c>
      <c r="E888" t="s">
        <v>6318</v>
      </c>
      <c r="F888" t="s">
        <v>137</v>
      </c>
      <c r="G888">
        <v>210</v>
      </c>
      <c r="H888">
        <v>500</v>
      </c>
      <c r="I888" s="5" t="s">
        <v>6319</v>
      </c>
      <c r="J888" s="5" t="s">
        <v>6320</v>
      </c>
      <c r="K888" s="5" t="str">
        <f t="shared" si="26"/>
        <v>https://www.google.com/maps?q=-11.686945, -41.766259</v>
      </c>
      <c r="L888" s="5" t="str">
        <f t="shared" si="27"/>
        <v>Abrir no Maps</v>
      </c>
      <c r="M888" t="s">
        <v>6321</v>
      </c>
      <c r="N888" s="5"/>
      <c r="O888" t="str">
        <f>VLOOKUP(G888,'[1]CONFIG.'!$B:$C,2,0)</f>
        <v>SILAS</v>
      </c>
      <c r="P888" t="str">
        <f>VLOOKUP(O888,'[1]CONFIG.'!$C:$D,2,0)</f>
        <v>74 98041875</v>
      </c>
    </row>
    <row r="889" spans="1:16" x14ac:dyDescent="0.3">
      <c r="A889" t="s">
        <v>6322</v>
      </c>
      <c r="B889" t="s">
        <v>6323</v>
      </c>
      <c r="C889" t="s">
        <v>6324</v>
      </c>
      <c r="D889" t="s">
        <v>5750</v>
      </c>
      <c r="E889" t="s">
        <v>6325</v>
      </c>
      <c r="F889" t="s">
        <v>5824</v>
      </c>
      <c r="G889">
        <v>209</v>
      </c>
      <c r="H889">
        <v>500</v>
      </c>
      <c r="I889" s="5" t="s">
        <v>6326</v>
      </c>
      <c r="J889" s="5" t="s">
        <v>6327</v>
      </c>
      <c r="K889" s="5" t="str">
        <f t="shared" si="26"/>
        <v>https://www.google.com/maps?q=-11.862893, -41.751337</v>
      </c>
      <c r="L889" s="5" t="str">
        <f t="shared" si="27"/>
        <v>Abrir no Maps</v>
      </c>
      <c r="M889" t="s">
        <v>6328</v>
      </c>
      <c r="N889" s="5"/>
      <c r="O889" t="str">
        <f>VLOOKUP(G889,'[1]CONFIG.'!$B:$C,2,0)</f>
        <v>IGOR</v>
      </c>
      <c r="P889" t="str">
        <f>VLOOKUP(O889,'[1]CONFIG.'!$C:$D,2,0)</f>
        <v>74 99590346</v>
      </c>
    </row>
    <row r="890" spans="1:16" x14ac:dyDescent="0.3">
      <c r="A890" t="s">
        <v>6329</v>
      </c>
      <c r="B890" t="s">
        <v>6330</v>
      </c>
      <c r="C890" t="s">
        <v>6331</v>
      </c>
      <c r="D890" t="s">
        <v>5750</v>
      </c>
      <c r="E890" t="s">
        <v>6332</v>
      </c>
      <c r="F890" t="s">
        <v>5824</v>
      </c>
      <c r="G890">
        <v>209</v>
      </c>
      <c r="H890">
        <v>500</v>
      </c>
      <c r="I890" s="5" t="s">
        <v>6333</v>
      </c>
      <c r="J890" s="5" t="s">
        <v>6334</v>
      </c>
      <c r="K890" s="5" t="str">
        <f t="shared" si="26"/>
        <v>https://www.google.com/maps?q=-11.862984, -41.751174</v>
      </c>
      <c r="L890" s="5" t="str">
        <f t="shared" si="27"/>
        <v>Abrir no Maps</v>
      </c>
      <c r="M890" t="s">
        <v>6335</v>
      </c>
      <c r="N890" s="5"/>
      <c r="O890" t="str">
        <f>VLOOKUP(G890,'[1]CONFIG.'!$B:$C,2,0)</f>
        <v>IGOR</v>
      </c>
      <c r="P890" t="str">
        <f>VLOOKUP(O890,'[1]CONFIG.'!$C:$D,2,0)</f>
        <v>74 99590346</v>
      </c>
    </row>
    <row r="891" spans="1:16" x14ac:dyDescent="0.3">
      <c r="A891" t="s">
        <v>6336</v>
      </c>
      <c r="B891" t="s">
        <v>6337</v>
      </c>
      <c r="C891" t="s">
        <v>6338</v>
      </c>
      <c r="D891" t="s">
        <v>5750</v>
      </c>
      <c r="E891" t="s">
        <v>6339</v>
      </c>
      <c r="F891" t="s">
        <v>137</v>
      </c>
      <c r="G891">
        <v>211</v>
      </c>
      <c r="H891">
        <v>500</v>
      </c>
      <c r="I891" s="5" t="s">
        <v>6340</v>
      </c>
      <c r="J891" s="5" t="s">
        <v>6341</v>
      </c>
      <c r="K891" s="5" t="str">
        <f t="shared" si="26"/>
        <v>https://www.google.com/maps?q=-11.688904, -41.766638</v>
      </c>
      <c r="L891" s="5" t="str">
        <f t="shared" si="27"/>
        <v>Abrir no Maps</v>
      </c>
      <c r="M891" t="s">
        <v>6342</v>
      </c>
      <c r="N891" s="5"/>
      <c r="O891" t="str">
        <f>VLOOKUP(G891,'[1]CONFIG.'!$B:$C,2,0)</f>
        <v>DAIANE</v>
      </c>
      <c r="P891" t="str">
        <f>VLOOKUP(O891,'[1]CONFIG.'!$C:$D,2,0)</f>
        <v>74 99298866</v>
      </c>
    </row>
    <row r="892" spans="1:16" x14ac:dyDescent="0.3">
      <c r="A892" t="s">
        <v>6343</v>
      </c>
      <c r="B892" t="s">
        <v>6344</v>
      </c>
      <c r="C892" t="s">
        <v>6345</v>
      </c>
      <c r="D892" t="s">
        <v>5750</v>
      </c>
      <c r="E892" t="s">
        <v>6346</v>
      </c>
      <c r="F892" t="s">
        <v>6347</v>
      </c>
      <c r="G892">
        <v>209</v>
      </c>
      <c r="H892">
        <v>500</v>
      </c>
      <c r="I892" s="5" t="s">
        <v>6348</v>
      </c>
      <c r="J892" s="5" t="s">
        <v>6349</v>
      </c>
      <c r="K892" s="5" t="str">
        <f t="shared" si="26"/>
        <v>https://www.google.com/maps?q=-11.860228, -41.756542</v>
      </c>
      <c r="L892" s="5" t="str">
        <f t="shared" si="27"/>
        <v>Abrir no Maps</v>
      </c>
      <c r="M892" t="s">
        <v>6350</v>
      </c>
      <c r="N892" s="5"/>
      <c r="O892" t="str">
        <f>VLOOKUP(G892,'[1]CONFIG.'!$B:$C,2,0)</f>
        <v>IGOR</v>
      </c>
      <c r="P892" t="str">
        <f>VLOOKUP(O892,'[1]CONFIG.'!$C:$D,2,0)</f>
        <v>74 99590346</v>
      </c>
    </row>
    <row r="893" spans="1:16" x14ac:dyDescent="0.3">
      <c r="A893" t="s">
        <v>6351</v>
      </c>
      <c r="B893" t="s">
        <v>6352</v>
      </c>
      <c r="C893" t="s">
        <v>6353</v>
      </c>
      <c r="D893" t="s">
        <v>5750</v>
      </c>
      <c r="E893" t="s">
        <v>6354</v>
      </c>
      <c r="F893" t="s">
        <v>137</v>
      </c>
      <c r="G893">
        <v>211</v>
      </c>
      <c r="H893">
        <v>500</v>
      </c>
      <c r="I893" s="5" t="s">
        <v>6355</v>
      </c>
      <c r="J893" s="5" t="s">
        <v>6356</v>
      </c>
      <c r="K893" s="5" t="str">
        <f t="shared" si="26"/>
        <v>https://www.google.com/maps?q=-11.685518, -41.766865</v>
      </c>
      <c r="L893" s="5" t="str">
        <f t="shared" si="27"/>
        <v>Abrir no Maps</v>
      </c>
      <c r="M893" t="s">
        <v>6357</v>
      </c>
      <c r="N893" s="5"/>
      <c r="O893" t="str">
        <f>VLOOKUP(G893,'[1]CONFIG.'!$B:$C,2,0)</f>
        <v>DAIANE</v>
      </c>
      <c r="P893" t="str">
        <f>VLOOKUP(O893,'[1]CONFIG.'!$C:$D,2,0)</f>
        <v>74 99298866</v>
      </c>
    </row>
    <row r="894" spans="1:16" x14ac:dyDescent="0.3">
      <c r="A894" t="s">
        <v>6358</v>
      </c>
      <c r="B894" t="s">
        <v>6359</v>
      </c>
      <c r="C894" t="s">
        <v>6360</v>
      </c>
      <c r="D894" t="s">
        <v>5750</v>
      </c>
      <c r="E894" t="s">
        <v>6361</v>
      </c>
      <c r="F894" t="s">
        <v>137</v>
      </c>
      <c r="G894">
        <v>211</v>
      </c>
      <c r="H894">
        <v>500</v>
      </c>
      <c r="I894" s="5" t="s">
        <v>6362</v>
      </c>
      <c r="J894" s="5" t="s">
        <v>6363</v>
      </c>
      <c r="K894" s="5" t="str">
        <f t="shared" si="26"/>
        <v>https://www.google.com/maps?q=-11.684190, -41.767226</v>
      </c>
      <c r="L894" s="5" t="str">
        <f t="shared" si="27"/>
        <v>Abrir no Maps</v>
      </c>
      <c r="M894" t="s">
        <v>6364</v>
      </c>
      <c r="N894" s="5"/>
      <c r="O894" t="str">
        <f>VLOOKUP(G894,'[1]CONFIG.'!$B:$C,2,0)</f>
        <v>DAIANE</v>
      </c>
      <c r="P894" t="str">
        <f>VLOOKUP(O894,'[1]CONFIG.'!$C:$D,2,0)</f>
        <v>74 99298866</v>
      </c>
    </row>
    <row r="895" spans="1:16" x14ac:dyDescent="0.3">
      <c r="A895" t="s">
        <v>6365</v>
      </c>
      <c r="B895" t="s">
        <v>6366</v>
      </c>
      <c r="C895" t="s">
        <v>6367</v>
      </c>
      <c r="D895" t="s">
        <v>5750</v>
      </c>
      <c r="E895" t="s">
        <v>6368</v>
      </c>
      <c r="F895" t="s">
        <v>6173</v>
      </c>
      <c r="G895">
        <v>202</v>
      </c>
      <c r="H895">
        <v>500</v>
      </c>
      <c r="I895" s="5" t="s">
        <v>6369</v>
      </c>
      <c r="J895" s="5" t="s">
        <v>6370</v>
      </c>
      <c r="K895" s="5" t="str">
        <f t="shared" si="26"/>
        <v>https://www.google.com/maps?q=-11.884779, -41.654163</v>
      </c>
      <c r="L895" s="5" t="str">
        <f t="shared" si="27"/>
        <v>Abrir no Maps</v>
      </c>
      <c r="M895" t="s">
        <v>6371</v>
      </c>
      <c r="N895" s="5"/>
      <c r="O895" t="str">
        <f>VLOOKUP(G895,'[1]CONFIG.'!$B:$C,2,0)</f>
        <v>ARISTON</v>
      </c>
      <c r="P895" t="str">
        <f>VLOOKUP(O895,'[1]CONFIG.'!$C:$D,2,0)</f>
        <v>74 99384078</v>
      </c>
    </row>
    <row r="896" spans="1:16" x14ac:dyDescent="0.3">
      <c r="A896" t="s">
        <v>6372</v>
      </c>
      <c r="B896" t="s">
        <v>6373</v>
      </c>
      <c r="C896" t="s">
        <v>6374</v>
      </c>
      <c r="D896" t="s">
        <v>5750</v>
      </c>
      <c r="E896" t="s">
        <v>6375</v>
      </c>
      <c r="F896" t="s">
        <v>6173</v>
      </c>
      <c r="G896">
        <v>202</v>
      </c>
      <c r="H896">
        <v>500</v>
      </c>
      <c r="I896" s="5" t="s">
        <v>6376</v>
      </c>
      <c r="J896" s="5" t="s">
        <v>6377</v>
      </c>
      <c r="K896" s="5" t="str">
        <f t="shared" si="26"/>
        <v>https://www.google.com/maps?q=-11.884080, -41.654204</v>
      </c>
      <c r="L896" s="5" t="str">
        <f t="shared" si="27"/>
        <v>Abrir no Maps</v>
      </c>
      <c r="M896" t="s">
        <v>6378</v>
      </c>
      <c r="N896" s="5"/>
      <c r="O896" t="str">
        <f>VLOOKUP(G896,'[1]CONFIG.'!$B:$C,2,0)</f>
        <v>ARISTON</v>
      </c>
      <c r="P896" t="str">
        <f>VLOOKUP(O896,'[1]CONFIG.'!$C:$D,2,0)</f>
        <v>74 99384078</v>
      </c>
    </row>
    <row r="897" spans="1:16" x14ac:dyDescent="0.3">
      <c r="A897" t="s">
        <v>6379</v>
      </c>
      <c r="B897" t="s">
        <v>6380</v>
      </c>
      <c r="C897" t="s">
        <v>6381</v>
      </c>
      <c r="D897" t="s">
        <v>5750</v>
      </c>
      <c r="E897" t="s">
        <v>6382</v>
      </c>
      <c r="F897" t="s">
        <v>137</v>
      </c>
      <c r="G897">
        <v>211</v>
      </c>
      <c r="H897">
        <v>500</v>
      </c>
      <c r="I897" s="5" t="s">
        <v>6383</v>
      </c>
      <c r="J897" s="5" t="s">
        <v>6384</v>
      </c>
      <c r="K897" s="5" t="str">
        <f t="shared" si="26"/>
        <v>https://www.google.com/maps?q=-11.684890, -41.770198</v>
      </c>
      <c r="L897" s="5" t="str">
        <f t="shared" si="27"/>
        <v>Abrir no Maps</v>
      </c>
      <c r="M897" t="s">
        <v>6119</v>
      </c>
      <c r="N897" s="5"/>
      <c r="O897" t="str">
        <f>VLOOKUP(G897,'[1]CONFIG.'!$B:$C,2,0)</f>
        <v>DAIANE</v>
      </c>
      <c r="P897" t="str">
        <f>VLOOKUP(O897,'[1]CONFIG.'!$C:$D,2,0)</f>
        <v>74 99298866</v>
      </c>
    </row>
    <row r="898" spans="1:16" x14ac:dyDescent="0.3">
      <c r="A898" t="s">
        <v>6385</v>
      </c>
      <c r="B898" t="s">
        <v>6386</v>
      </c>
      <c r="C898" t="s">
        <v>6387</v>
      </c>
      <c r="D898" t="s">
        <v>5750</v>
      </c>
      <c r="E898" t="s">
        <v>6388</v>
      </c>
      <c r="F898" t="s">
        <v>6389</v>
      </c>
      <c r="G898">
        <v>210</v>
      </c>
      <c r="H898">
        <v>500</v>
      </c>
      <c r="I898" s="5" t="s">
        <v>6390</v>
      </c>
      <c r="J898" s="5" t="s">
        <v>6391</v>
      </c>
      <c r="K898" s="5" t="str">
        <f t="shared" si="26"/>
        <v>https://www.google.com/maps?q=-11.760706, -41.683457</v>
      </c>
      <c r="L898" s="5" t="str">
        <f t="shared" si="27"/>
        <v>Abrir no Maps</v>
      </c>
      <c r="M898" t="s">
        <v>6392</v>
      </c>
      <c r="N898" s="5"/>
      <c r="O898" t="str">
        <f>VLOOKUP(G898,'[1]CONFIG.'!$B:$C,2,0)</f>
        <v>SILAS</v>
      </c>
      <c r="P898" t="str">
        <f>VLOOKUP(O898,'[1]CONFIG.'!$C:$D,2,0)</f>
        <v>74 98041875</v>
      </c>
    </row>
    <row r="899" spans="1:16" x14ac:dyDescent="0.3">
      <c r="A899" t="s">
        <v>6393</v>
      </c>
      <c r="B899" t="s">
        <v>6394</v>
      </c>
      <c r="C899" t="s">
        <v>6395</v>
      </c>
      <c r="D899" t="s">
        <v>5750</v>
      </c>
      <c r="E899" t="s">
        <v>6396</v>
      </c>
      <c r="F899" t="s">
        <v>6397</v>
      </c>
      <c r="G899">
        <v>209</v>
      </c>
      <c r="H899">
        <v>500</v>
      </c>
      <c r="I899" s="5" t="s">
        <v>6398</v>
      </c>
      <c r="J899" s="5" t="s">
        <v>6399</v>
      </c>
      <c r="K899" s="5" t="str">
        <f t="shared" si="26"/>
        <v>https://www.google.com/maps?q=-11.863010, -41.736238</v>
      </c>
      <c r="L899" s="5" t="str">
        <f t="shared" si="27"/>
        <v>Abrir no Maps</v>
      </c>
      <c r="M899" t="s">
        <v>6400</v>
      </c>
      <c r="N899" s="5"/>
      <c r="O899" t="str">
        <f>VLOOKUP(G899,'[1]CONFIG.'!$B:$C,2,0)</f>
        <v>IGOR</v>
      </c>
      <c r="P899" t="str">
        <f>VLOOKUP(O899,'[1]CONFIG.'!$C:$D,2,0)</f>
        <v>74 99590346</v>
      </c>
    </row>
    <row r="900" spans="1:16" x14ac:dyDescent="0.3">
      <c r="A900" t="s">
        <v>6401</v>
      </c>
      <c r="B900" t="s">
        <v>6402</v>
      </c>
      <c r="C900" t="s">
        <v>6403</v>
      </c>
      <c r="D900" t="s">
        <v>5750</v>
      </c>
      <c r="E900" t="s">
        <v>6404</v>
      </c>
      <c r="F900" t="s">
        <v>5824</v>
      </c>
      <c r="G900">
        <v>209</v>
      </c>
      <c r="H900">
        <v>500</v>
      </c>
      <c r="I900" s="5" t="s">
        <v>6405</v>
      </c>
      <c r="J900" s="5" t="s">
        <v>6406</v>
      </c>
      <c r="K900" s="5" t="str">
        <f t="shared" ref="K900:K963" si="28">"https://www.google.com/maps?q="&amp;""&amp;LEFT(I900,3)&amp;"."&amp;RIGHT(I900,6)&amp;", "&amp;LEFT(J900,3)&amp;"."&amp;RIGHT(J900,6)</f>
        <v>https://www.google.com/maps?q=-11.862949, -41.754239</v>
      </c>
      <c r="L900" s="5" t="str">
        <f t="shared" ref="L900:L963" si="29">HYPERLINK(K900,"Abrir no Maps")</f>
        <v>Abrir no Maps</v>
      </c>
      <c r="M900" t="s">
        <v>6407</v>
      </c>
      <c r="N900" s="5"/>
      <c r="O900" t="str">
        <f>VLOOKUP(G900,'[1]CONFIG.'!$B:$C,2,0)</f>
        <v>IGOR</v>
      </c>
      <c r="P900" t="str">
        <f>VLOOKUP(O900,'[1]CONFIG.'!$C:$D,2,0)</f>
        <v>74 99590346</v>
      </c>
    </row>
    <row r="901" spans="1:16" x14ac:dyDescent="0.3">
      <c r="A901" t="s">
        <v>6408</v>
      </c>
      <c r="B901" t="s">
        <v>6409</v>
      </c>
      <c r="C901" t="s">
        <v>6410</v>
      </c>
      <c r="D901" t="s">
        <v>5750</v>
      </c>
      <c r="E901" t="s">
        <v>6411</v>
      </c>
      <c r="F901" t="s">
        <v>6002</v>
      </c>
      <c r="G901">
        <v>209</v>
      </c>
      <c r="H901">
        <v>500</v>
      </c>
      <c r="I901" s="5" t="s">
        <v>6412</v>
      </c>
      <c r="J901" s="5" t="s">
        <v>6413</v>
      </c>
      <c r="K901" s="5" t="str">
        <f t="shared" si="28"/>
        <v>https://www.google.com/maps?q=-11.860912, -41.750107</v>
      </c>
      <c r="L901" s="5" t="str">
        <f t="shared" si="29"/>
        <v>Abrir no Maps</v>
      </c>
      <c r="M901" t="s">
        <v>6414</v>
      </c>
      <c r="N901" s="5"/>
      <c r="O901" t="str">
        <f>VLOOKUP(G901,'[1]CONFIG.'!$B:$C,2,0)</f>
        <v>IGOR</v>
      </c>
      <c r="P901" t="str">
        <f>VLOOKUP(O901,'[1]CONFIG.'!$C:$D,2,0)</f>
        <v>74 99590346</v>
      </c>
    </row>
    <row r="902" spans="1:16" x14ac:dyDescent="0.3">
      <c r="A902" t="s">
        <v>6415</v>
      </c>
      <c r="B902" t="s">
        <v>6416</v>
      </c>
      <c r="C902" t="s">
        <v>6417</v>
      </c>
      <c r="D902" t="s">
        <v>5750</v>
      </c>
      <c r="E902" t="s">
        <v>6418</v>
      </c>
      <c r="F902" t="s">
        <v>6002</v>
      </c>
      <c r="G902">
        <v>209</v>
      </c>
      <c r="H902">
        <v>500</v>
      </c>
      <c r="I902" s="5" t="s">
        <v>6419</v>
      </c>
      <c r="J902" s="5" t="s">
        <v>6420</v>
      </c>
      <c r="K902" s="5" t="str">
        <f t="shared" si="28"/>
        <v>https://www.google.com/maps?q=-11.859407, -41.750611</v>
      </c>
      <c r="L902" s="5" t="str">
        <f t="shared" si="29"/>
        <v>Abrir no Maps</v>
      </c>
      <c r="M902" t="s">
        <v>6421</v>
      </c>
      <c r="N902" s="5"/>
      <c r="O902" t="str">
        <f>VLOOKUP(G902,'[1]CONFIG.'!$B:$C,2,0)</f>
        <v>IGOR</v>
      </c>
      <c r="P902" t="str">
        <f>VLOOKUP(O902,'[1]CONFIG.'!$C:$D,2,0)</f>
        <v>74 99590346</v>
      </c>
    </row>
    <row r="903" spans="1:16" x14ac:dyDescent="0.3">
      <c r="A903" t="s">
        <v>6422</v>
      </c>
      <c r="B903" t="s">
        <v>6423</v>
      </c>
      <c r="C903" t="s">
        <v>6424</v>
      </c>
      <c r="D903" t="s">
        <v>688</v>
      </c>
      <c r="E903" t="s">
        <v>6425</v>
      </c>
      <c r="F903" t="s">
        <v>137</v>
      </c>
      <c r="G903">
        <v>209</v>
      </c>
      <c r="H903">
        <v>500</v>
      </c>
      <c r="I903" s="5" t="s">
        <v>6426</v>
      </c>
      <c r="J903" s="5" t="s">
        <v>6427</v>
      </c>
      <c r="K903" s="5" t="str">
        <f t="shared" si="28"/>
        <v>https://www.google.com/maps?q=-11.137901, -42.107384</v>
      </c>
      <c r="L903" s="5" t="str">
        <f t="shared" si="29"/>
        <v>Abrir no Maps</v>
      </c>
      <c r="M903" t="s">
        <v>6428</v>
      </c>
      <c r="N903" s="5"/>
      <c r="O903" t="str">
        <f>VLOOKUP(G903,'[1]CONFIG.'!$B:$C,2,0)</f>
        <v>IGOR</v>
      </c>
      <c r="P903" t="str">
        <f>VLOOKUP(O903,'[1]CONFIG.'!$C:$D,2,0)</f>
        <v>74 99590346</v>
      </c>
    </row>
    <row r="904" spans="1:16" x14ac:dyDescent="0.3">
      <c r="A904" t="s">
        <v>6429</v>
      </c>
      <c r="B904" t="s">
        <v>6430</v>
      </c>
      <c r="C904" t="s">
        <v>6431</v>
      </c>
      <c r="D904" t="s">
        <v>688</v>
      </c>
      <c r="E904" t="s">
        <v>6432</v>
      </c>
      <c r="F904" t="s">
        <v>137</v>
      </c>
      <c r="G904">
        <v>209</v>
      </c>
      <c r="H904">
        <v>500</v>
      </c>
      <c r="I904" s="5" t="s">
        <v>6433</v>
      </c>
      <c r="J904" s="5" t="s">
        <v>6434</v>
      </c>
      <c r="K904" s="5" t="str">
        <f t="shared" si="28"/>
        <v>https://www.google.com/maps?q=-11.138222, -42.112663</v>
      </c>
      <c r="L904" s="5" t="str">
        <f t="shared" si="29"/>
        <v>Abrir no Maps</v>
      </c>
      <c r="M904" t="s">
        <v>6435</v>
      </c>
      <c r="N904" s="5"/>
      <c r="O904" t="str">
        <f>VLOOKUP(G904,'[1]CONFIG.'!$B:$C,2,0)</f>
        <v>IGOR</v>
      </c>
      <c r="P904" t="str">
        <f>VLOOKUP(O904,'[1]CONFIG.'!$C:$D,2,0)</f>
        <v>74 99590346</v>
      </c>
    </row>
    <row r="905" spans="1:16" x14ac:dyDescent="0.3">
      <c r="A905" t="s">
        <v>6436</v>
      </c>
      <c r="B905" t="s">
        <v>6437</v>
      </c>
      <c r="C905" t="s">
        <v>6438</v>
      </c>
      <c r="D905" t="s">
        <v>688</v>
      </c>
      <c r="E905" t="s">
        <v>6439</v>
      </c>
      <c r="F905" t="s">
        <v>6440</v>
      </c>
      <c r="G905">
        <v>209</v>
      </c>
      <c r="H905">
        <v>500</v>
      </c>
      <c r="I905" s="5" t="s">
        <v>6441</v>
      </c>
      <c r="J905" s="5" t="s">
        <v>6442</v>
      </c>
      <c r="K905" s="5" t="str">
        <f t="shared" si="28"/>
        <v>https://www.google.com/maps?q=-11.078015, -42.131233</v>
      </c>
      <c r="L905" s="5" t="str">
        <f t="shared" si="29"/>
        <v>Abrir no Maps</v>
      </c>
      <c r="M905" t="s">
        <v>6443</v>
      </c>
      <c r="N905" s="5"/>
      <c r="O905" t="str">
        <f>VLOOKUP(G905,'[1]CONFIG.'!$B:$C,2,0)</f>
        <v>IGOR</v>
      </c>
      <c r="P905" t="str">
        <f>VLOOKUP(O905,'[1]CONFIG.'!$C:$D,2,0)</f>
        <v>74 99590346</v>
      </c>
    </row>
    <row r="906" spans="1:16" x14ac:dyDescent="0.3">
      <c r="A906" t="s">
        <v>6444</v>
      </c>
      <c r="B906" t="s">
        <v>6445</v>
      </c>
      <c r="C906" t="s">
        <v>6446</v>
      </c>
      <c r="D906" t="s">
        <v>688</v>
      </c>
      <c r="E906" t="s">
        <v>6447</v>
      </c>
      <c r="F906" t="s">
        <v>137</v>
      </c>
      <c r="G906">
        <v>209</v>
      </c>
      <c r="H906">
        <v>500</v>
      </c>
      <c r="I906" s="5" t="s">
        <v>6448</v>
      </c>
      <c r="J906" s="5" t="s">
        <v>6449</v>
      </c>
      <c r="K906" s="5" t="str">
        <f t="shared" si="28"/>
        <v>https://www.google.com/maps?q=-11.136620, -42.112730</v>
      </c>
      <c r="L906" s="5" t="str">
        <f t="shared" si="29"/>
        <v>Abrir no Maps</v>
      </c>
      <c r="M906" t="s">
        <v>6450</v>
      </c>
      <c r="N906" s="5"/>
      <c r="O906" t="str">
        <f>VLOOKUP(G906,'[1]CONFIG.'!$B:$C,2,0)</f>
        <v>IGOR</v>
      </c>
      <c r="P906" t="str">
        <f>VLOOKUP(O906,'[1]CONFIG.'!$C:$D,2,0)</f>
        <v>74 99590346</v>
      </c>
    </row>
    <row r="907" spans="1:16" x14ac:dyDescent="0.3">
      <c r="A907" t="s">
        <v>6451</v>
      </c>
      <c r="B907" t="s">
        <v>6452</v>
      </c>
      <c r="C907" t="s">
        <v>6453</v>
      </c>
      <c r="D907" t="s">
        <v>688</v>
      </c>
      <c r="E907" t="s">
        <v>6454</v>
      </c>
      <c r="F907" t="s">
        <v>137</v>
      </c>
      <c r="G907">
        <v>209</v>
      </c>
      <c r="H907">
        <v>500</v>
      </c>
      <c r="I907" s="5" t="s">
        <v>6455</v>
      </c>
      <c r="J907" s="5" t="s">
        <v>6456</v>
      </c>
      <c r="K907" s="5" t="str">
        <f t="shared" si="28"/>
        <v>https://www.google.com/maps?q=-11.137142, -42.112770</v>
      </c>
      <c r="L907" s="5" t="str">
        <f t="shared" si="29"/>
        <v>Abrir no Maps</v>
      </c>
      <c r="M907" t="s">
        <v>6457</v>
      </c>
      <c r="N907" s="5"/>
      <c r="O907" t="str">
        <f>VLOOKUP(G907,'[1]CONFIG.'!$B:$C,2,0)</f>
        <v>IGOR</v>
      </c>
      <c r="P907" t="str">
        <f>VLOOKUP(O907,'[1]CONFIG.'!$C:$D,2,0)</f>
        <v>74 99590346</v>
      </c>
    </row>
    <row r="908" spans="1:16" x14ac:dyDescent="0.3">
      <c r="A908" t="s">
        <v>6458</v>
      </c>
      <c r="B908" t="s">
        <v>6459</v>
      </c>
      <c r="C908" t="s">
        <v>6460</v>
      </c>
      <c r="D908" t="s">
        <v>688</v>
      </c>
      <c r="E908" t="s">
        <v>6461</v>
      </c>
      <c r="F908" t="s">
        <v>137</v>
      </c>
      <c r="G908">
        <v>209</v>
      </c>
      <c r="H908">
        <v>500</v>
      </c>
      <c r="I908" s="5" t="s">
        <v>6462</v>
      </c>
      <c r="J908" s="5" t="s">
        <v>6463</v>
      </c>
      <c r="K908" s="5" t="str">
        <f t="shared" si="28"/>
        <v>https://www.google.com/maps?q=-11.133713, -42.109560</v>
      </c>
      <c r="L908" s="5" t="str">
        <f t="shared" si="29"/>
        <v>Abrir no Maps</v>
      </c>
      <c r="M908" t="s">
        <v>6464</v>
      </c>
      <c r="N908" s="5"/>
      <c r="O908" t="str">
        <f>VLOOKUP(G908,'[1]CONFIG.'!$B:$C,2,0)</f>
        <v>IGOR</v>
      </c>
      <c r="P908" t="str">
        <f>VLOOKUP(O908,'[1]CONFIG.'!$C:$D,2,0)</f>
        <v>74 99590346</v>
      </c>
    </row>
    <row r="909" spans="1:16" x14ac:dyDescent="0.3">
      <c r="A909" t="s">
        <v>6465</v>
      </c>
      <c r="B909" t="s">
        <v>6466</v>
      </c>
      <c r="C909" t="s">
        <v>6467</v>
      </c>
      <c r="D909" t="s">
        <v>688</v>
      </c>
      <c r="E909" t="s">
        <v>6468</v>
      </c>
      <c r="F909" t="s">
        <v>6469</v>
      </c>
      <c r="G909">
        <v>209</v>
      </c>
      <c r="H909">
        <v>500</v>
      </c>
      <c r="I909" s="5" t="s">
        <v>6470</v>
      </c>
      <c r="J909" s="5" t="s">
        <v>6471</v>
      </c>
      <c r="K909" s="5" t="str">
        <f t="shared" si="28"/>
        <v>https://www.google.com/maps?q=-11.178338, -42.022808</v>
      </c>
      <c r="L909" s="5" t="str">
        <f t="shared" si="29"/>
        <v>Abrir no Maps</v>
      </c>
      <c r="M909" t="s">
        <v>6472</v>
      </c>
      <c r="N909" s="5"/>
      <c r="O909" t="str">
        <f>VLOOKUP(G909,'[1]CONFIG.'!$B:$C,2,0)</f>
        <v>IGOR</v>
      </c>
      <c r="P909" t="str">
        <f>VLOOKUP(O909,'[1]CONFIG.'!$C:$D,2,0)</f>
        <v>74 99590346</v>
      </c>
    </row>
    <row r="910" spans="1:16" x14ac:dyDescent="0.3">
      <c r="A910" t="s">
        <v>6473</v>
      </c>
      <c r="B910" t="s">
        <v>6474</v>
      </c>
      <c r="C910" t="s">
        <v>6475</v>
      </c>
      <c r="D910" t="s">
        <v>688</v>
      </c>
      <c r="E910" t="s">
        <v>6476</v>
      </c>
      <c r="F910" t="s">
        <v>137</v>
      </c>
      <c r="G910">
        <v>209</v>
      </c>
      <c r="H910">
        <v>500</v>
      </c>
      <c r="I910" s="5" t="s">
        <v>6477</v>
      </c>
      <c r="J910" s="5" t="s">
        <v>6478</v>
      </c>
      <c r="K910" s="5" t="str">
        <f t="shared" si="28"/>
        <v>https://www.google.com/maps?q=-11.134658, -42.112995</v>
      </c>
      <c r="L910" s="5" t="str">
        <f t="shared" si="29"/>
        <v>Abrir no Maps</v>
      </c>
      <c r="M910" t="s">
        <v>6479</v>
      </c>
      <c r="N910" s="5"/>
      <c r="O910" t="str">
        <f>VLOOKUP(G910,'[1]CONFIG.'!$B:$C,2,0)</f>
        <v>IGOR</v>
      </c>
      <c r="P910" t="str">
        <f>VLOOKUP(O910,'[1]CONFIG.'!$C:$D,2,0)</f>
        <v>74 99590346</v>
      </c>
    </row>
    <row r="911" spans="1:16" x14ac:dyDescent="0.3">
      <c r="A911" t="s">
        <v>6480</v>
      </c>
      <c r="B911" t="s">
        <v>6481</v>
      </c>
      <c r="C911" t="s">
        <v>6482</v>
      </c>
      <c r="D911" t="s">
        <v>688</v>
      </c>
      <c r="E911" t="s">
        <v>6483</v>
      </c>
      <c r="F911" t="s">
        <v>137</v>
      </c>
      <c r="G911">
        <v>209</v>
      </c>
      <c r="H911">
        <v>500</v>
      </c>
      <c r="I911" s="5" t="s">
        <v>6484</v>
      </c>
      <c r="J911" s="5" t="s">
        <v>6485</v>
      </c>
      <c r="K911" s="5" t="str">
        <f t="shared" si="28"/>
        <v>https://www.google.com/maps?q=-11.137845, -42.107830</v>
      </c>
      <c r="L911" s="5" t="str">
        <f t="shared" si="29"/>
        <v>Abrir no Maps</v>
      </c>
      <c r="M911" t="s">
        <v>6486</v>
      </c>
      <c r="N911" s="5"/>
      <c r="O911" t="str">
        <f>VLOOKUP(G911,'[1]CONFIG.'!$B:$C,2,0)</f>
        <v>IGOR</v>
      </c>
      <c r="P911" t="str">
        <f>VLOOKUP(O911,'[1]CONFIG.'!$C:$D,2,0)</f>
        <v>74 99590346</v>
      </c>
    </row>
    <row r="912" spans="1:16" x14ac:dyDescent="0.3">
      <c r="A912" t="s">
        <v>6487</v>
      </c>
      <c r="B912" t="s">
        <v>6488</v>
      </c>
      <c r="C912" t="s">
        <v>6489</v>
      </c>
      <c r="D912" t="s">
        <v>688</v>
      </c>
      <c r="E912" t="s">
        <v>6490</v>
      </c>
      <c r="F912" t="s">
        <v>137</v>
      </c>
      <c r="G912">
        <v>209</v>
      </c>
      <c r="H912">
        <v>500</v>
      </c>
      <c r="I912" s="5" t="s">
        <v>6491</v>
      </c>
      <c r="J912" s="5" t="s">
        <v>6492</v>
      </c>
      <c r="K912" s="5" t="str">
        <f t="shared" si="28"/>
        <v>https://www.google.com/maps?q=-11.200397, -41.988330</v>
      </c>
      <c r="L912" s="5" t="str">
        <f t="shared" si="29"/>
        <v>Abrir no Maps</v>
      </c>
      <c r="M912" t="s">
        <v>6493</v>
      </c>
      <c r="N912" s="5"/>
      <c r="O912" t="str">
        <f>VLOOKUP(G912,'[1]CONFIG.'!$B:$C,2,0)</f>
        <v>IGOR</v>
      </c>
      <c r="P912" t="str">
        <f>VLOOKUP(O912,'[1]CONFIG.'!$C:$D,2,0)</f>
        <v>74 99590346</v>
      </c>
    </row>
    <row r="913" spans="1:16" x14ac:dyDescent="0.3">
      <c r="A913" t="s">
        <v>6494</v>
      </c>
      <c r="B913" t="s">
        <v>6495</v>
      </c>
      <c r="C913" t="s">
        <v>6496</v>
      </c>
      <c r="D913" t="s">
        <v>688</v>
      </c>
      <c r="E913" t="s">
        <v>6497</v>
      </c>
      <c r="F913" t="s">
        <v>137</v>
      </c>
      <c r="G913">
        <v>209</v>
      </c>
      <c r="H913">
        <v>500</v>
      </c>
      <c r="I913" s="5" t="s">
        <v>6498</v>
      </c>
      <c r="J913" s="5" t="s">
        <v>6499</v>
      </c>
      <c r="K913" s="5" t="str">
        <f t="shared" si="28"/>
        <v>https://www.google.com/maps?q=-11.134899, -42.110900</v>
      </c>
      <c r="L913" s="5" t="str">
        <f t="shared" si="29"/>
        <v>Abrir no Maps</v>
      </c>
      <c r="M913" t="s">
        <v>6500</v>
      </c>
      <c r="N913" s="5"/>
      <c r="O913" t="str">
        <f>VLOOKUP(G913,'[1]CONFIG.'!$B:$C,2,0)</f>
        <v>IGOR</v>
      </c>
      <c r="P913" t="str">
        <f>VLOOKUP(O913,'[1]CONFIG.'!$C:$D,2,0)</f>
        <v>74 99590346</v>
      </c>
    </row>
    <row r="914" spans="1:16" x14ac:dyDescent="0.3">
      <c r="A914" t="s">
        <v>6501</v>
      </c>
      <c r="B914" t="s">
        <v>6502</v>
      </c>
      <c r="C914" t="s">
        <v>6503</v>
      </c>
      <c r="D914" t="s">
        <v>688</v>
      </c>
      <c r="E914" t="s">
        <v>6504</v>
      </c>
      <c r="F914" t="s">
        <v>137</v>
      </c>
      <c r="G914">
        <v>209</v>
      </c>
      <c r="H914">
        <v>500</v>
      </c>
      <c r="I914" s="5" t="s">
        <v>6505</v>
      </c>
      <c r="J914" s="5" t="s">
        <v>6506</v>
      </c>
      <c r="K914" s="5" t="str">
        <f t="shared" si="28"/>
        <v>https://www.google.com/maps?q=-11.134050, -42.112620</v>
      </c>
      <c r="L914" s="5" t="str">
        <f t="shared" si="29"/>
        <v>Abrir no Maps</v>
      </c>
      <c r="M914" t="s">
        <v>6507</v>
      </c>
      <c r="N914" s="5"/>
      <c r="O914" t="str">
        <f>VLOOKUP(G914,'[1]CONFIG.'!$B:$C,2,0)</f>
        <v>IGOR</v>
      </c>
      <c r="P914" t="str">
        <f>VLOOKUP(O914,'[1]CONFIG.'!$C:$D,2,0)</f>
        <v>74 99590346</v>
      </c>
    </row>
    <row r="915" spans="1:16" x14ac:dyDescent="0.3">
      <c r="A915" t="s">
        <v>6508</v>
      </c>
      <c r="B915" t="s">
        <v>6509</v>
      </c>
      <c r="C915" t="s">
        <v>6510</v>
      </c>
      <c r="D915" t="s">
        <v>688</v>
      </c>
      <c r="E915" t="s">
        <v>6511</v>
      </c>
      <c r="F915" t="s">
        <v>137</v>
      </c>
      <c r="G915">
        <v>209</v>
      </c>
      <c r="H915">
        <v>500</v>
      </c>
      <c r="I915" s="5" t="s">
        <v>6512</v>
      </c>
      <c r="J915" s="5" t="s">
        <v>6513</v>
      </c>
      <c r="K915" s="5" t="str">
        <f t="shared" si="28"/>
        <v>https://www.google.com/maps?q=-11.137519, -42.112564</v>
      </c>
      <c r="L915" s="5" t="str">
        <f t="shared" si="29"/>
        <v>Abrir no Maps</v>
      </c>
      <c r="M915" t="s">
        <v>6514</v>
      </c>
      <c r="N915" s="5"/>
      <c r="O915" t="str">
        <f>VLOOKUP(G915,'[1]CONFIG.'!$B:$C,2,0)</f>
        <v>IGOR</v>
      </c>
      <c r="P915" t="str">
        <f>VLOOKUP(O915,'[1]CONFIG.'!$C:$D,2,0)</f>
        <v>74 99590346</v>
      </c>
    </row>
    <row r="916" spans="1:16" x14ac:dyDescent="0.3">
      <c r="A916" t="s">
        <v>6515</v>
      </c>
      <c r="B916" t="s">
        <v>6516</v>
      </c>
      <c r="C916" t="s">
        <v>6517</v>
      </c>
      <c r="D916" t="s">
        <v>688</v>
      </c>
      <c r="E916" t="s">
        <v>6518</v>
      </c>
      <c r="F916" t="s">
        <v>137</v>
      </c>
      <c r="G916">
        <v>209</v>
      </c>
      <c r="H916">
        <v>500</v>
      </c>
      <c r="I916" s="5" t="s">
        <v>6519</v>
      </c>
      <c r="J916" s="5" t="s">
        <v>6520</v>
      </c>
      <c r="K916" s="5" t="str">
        <f t="shared" si="28"/>
        <v>https://www.google.com/maps?q=-11.133999, -42.113052</v>
      </c>
      <c r="L916" s="5" t="str">
        <f t="shared" si="29"/>
        <v>Abrir no Maps</v>
      </c>
      <c r="M916" t="s">
        <v>6521</v>
      </c>
      <c r="N916" s="5"/>
      <c r="O916" t="str">
        <f>VLOOKUP(G916,'[1]CONFIG.'!$B:$C,2,0)</f>
        <v>IGOR</v>
      </c>
      <c r="P916" t="str">
        <f>VLOOKUP(O916,'[1]CONFIG.'!$C:$D,2,0)</f>
        <v>74 99590346</v>
      </c>
    </row>
    <row r="917" spans="1:16" x14ac:dyDescent="0.3">
      <c r="A917" t="s">
        <v>6522</v>
      </c>
      <c r="B917" t="s">
        <v>6523</v>
      </c>
      <c r="C917" t="s">
        <v>6524</v>
      </c>
      <c r="D917" t="s">
        <v>688</v>
      </c>
      <c r="E917" t="s">
        <v>6525</v>
      </c>
      <c r="F917" t="s">
        <v>137</v>
      </c>
      <c r="G917">
        <v>209</v>
      </c>
      <c r="H917">
        <v>500</v>
      </c>
      <c r="I917" s="5" t="s">
        <v>6526</v>
      </c>
      <c r="J917" s="5" t="s">
        <v>6527</v>
      </c>
      <c r="K917" s="5" t="str">
        <f t="shared" si="28"/>
        <v>https://www.google.com/maps?q=-11.133375, -42.095505</v>
      </c>
      <c r="L917" s="5" t="str">
        <f t="shared" si="29"/>
        <v>Abrir no Maps</v>
      </c>
      <c r="M917" t="s">
        <v>6528</v>
      </c>
      <c r="N917" s="5"/>
      <c r="O917" t="str">
        <f>VLOOKUP(G917,'[1]CONFIG.'!$B:$C,2,0)</f>
        <v>IGOR</v>
      </c>
      <c r="P917" t="str">
        <f>VLOOKUP(O917,'[1]CONFIG.'!$C:$D,2,0)</f>
        <v>74 99590346</v>
      </c>
    </row>
    <row r="918" spans="1:16" x14ac:dyDescent="0.3">
      <c r="A918" t="s">
        <v>6529</v>
      </c>
      <c r="B918" t="s">
        <v>6530</v>
      </c>
      <c r="C918" t="s">
        <v>6531</v>
      </c>
      <c r="D918" t="s">
        <v>688</v>
      </c>
      <c r="E918" t="s">
        <v>6532</v>
      </c>
      <c r="F918" t="s">
        <v>137</v>
      </c>
      <c r="G918">
        <v>209</v>
      </c>
      <c r="H918">
        <v>500</v>
      </c>
      <c r="I918" s="5" t="s">
        <v>6533</v>
      </c>
      <c r="J918" s="5" t="s">
        <v>6534</v>
      </c>
      <c r="K918" s="5" t="str">
        <f t="shared" si="28"/>
        <v>https://www.google.com/maps?q=-11.138877, -42.111850</v>
      </c>
      <c r="L918" s="5" t="str">
        <f t="shared" si="29"/>
        <v>Abrir no Maps</v>
      </c>
      <c r="M918">
        <v>0</v>
      </c>
      <c r="N918" s="5"/>
      <c r="O918" t="str">
        <f>VLOOKUP(G918,'[1]CONFIG.'!$B:$C,2,0)</f>
        <v>IGOR</v>
      </c>
      <c r="P918" t="str">
        <f>VLOOKUP(O918,'[1]CONFIG.'!$C:$D,2,0)</f>
        <v>74 99590346</v>
      </c>
    </row>
    <row r="919" spans="1:16" x14ac:dyDescent="0.3">
      <c r="A919" t="s">
        <v>6535</v>
      </c>
      <c r="B919" t="s">
        <v>6536</v>
      </c>
      <c r="C919" t="s">
        <v>6537</v>
      </c>
      <c r="D919" t="s">
        <v>688</v>
      </c>
      <c r="E919" t="s">
        <v>6538</v>
      </c>
      <c r="F919" t="s">
        <v>6539</v>
      </c>
      <c r="G919">
        <v>209</v>
      </c>
      <c r="H919">
        <v>500</v>
      </c>
      <c r="I919" s="5" t="s">
        <v>6540</v>
      </c>
      <c r="J919" s="5" t="s">
        <v>6541</v>
      </c>
      <c r="K919" s="5" t="str">
        <f t="shared" si="28"/>
        <v>https://www.google.com/maps?q=-11.180355, -42.019558</v>
      </c>
      <c r="L919" s="5" t="str">
        <f t="shared" si="29"/>
        <v>Abrir no Maps</v>
      </c>
      <c r="M919" t="s">
        <v>6542</v>
      </c>
      <c r="N919" s="5"/>
      <c r="O919" t="str">
        <f>VLOOKUP(G919,'[1]CONFIG.'!$B:$C,2,0)</f>
        <v>IGOR</v>
      </c>
      <c r="P919" t="str">
        <f>VLOOKUP(O919,'[1]CONFIG.'!$C:$D,2,0)</f>
        <v>74 99590346</v>
      </c>
    </row>
    <row r="920" spans="1:16" x14ac:dyDescent="0.3">
      <c r="A920" t="s">
        <v>6543</v>
      </c>
      <c r="B920" t="s">
        <v>6544</v>
      </c>
      <c r="C920" t="s">
        <v>6545</v>
      </c>
      <c r="D920" t="s">
        <v>688</v>
      </c>
      <c r="E920" t="s">
        <v>6546</v>
      </c>
      <c r="F920" t="s">
        <v>137</v>
      </c>
      <c r="G920">
        <v>209</v>
      </c>
      <c r="H920">
        <v>500</v>
      </c>
      <c r="I920" s="5" t="s">
        <v>6547</v>
      </c>
      <c r="J920" s="5" t="s">
        <v>6548</v>
      </c>
      <c r="K920" s="5" t="str">
        <f t="shared" si="28"/>
        <v>https://www.google.com/maps?q=-11.135776, -42.111904</v>
      </c>
      <c r="L920" s="5" t="str">
        <f t="shared" si="29"/>
        <v>Abrir no Maps</v>
      </c>
      <c r="M920" t="s">
        <v>6549</v>
      </c>
      <c r="N920" s="5"/>
      <c r="O920" t="str">
        <f>VLOOKUP(G920,'[1]CONFIG.'!$B:$C,2,0)</f>
        <v>IGOR</v>
      </c>
      <c r="P920" t="str">
        <f>VLOOKUP(O920,'[1]CONFIG.'!$C:$D,2,0)</f>
        <v>74 99590346</v>
      </c>
    </row>
    <row r="921" spans="1:16" x14ac:dyDescent="0.3">
      <c r="A921" t="s">
        <v>6550</v>
      </c>
      <c r="B921" t="s">
        <v>6551</v>
      </c>
      <c r="C921" t="s">
        <v>6552</v>
      </c>
      <c r="D921" t="s">
        <v>688</v>
      </c>
      <c r="E921" t="s">
        <v>6553</v>
      </c>
      <c r="F921" t="s">
        <v>6554</v>
      </c>
      <c r="G921">
        <v>209</v>
      </c>
      <c r="H921">
        <v>500</v>
      </c>
      <c r="I921" s="5" t="s">
        <v>6555</v>
      </c>
      <c r="J921" s="5" t="s">
        <v>6556</v>
      </c>
      <c r="K921" s="5" t="str">
        <f t="shared" si="28"/>
        <v>https://www.google.com/maps?q=-11.028780, -42.178350</v>
      </c>
      <c r="L921" s="5" t="str">
        <f t="shared" si="29"/>
        <v>Abrir no Maps</v>
      </c>
      <c r="M921" t="s">
        <v>6557</v>
      </c>
      <c r="N921" s="5"/>
      <c r="O921" t="str">
        <f>VLOOKUP(G921,'[1]CONFIG.'!$B:$C,2,0)</f>
        <v>IGOR</v>
      </c>
      <c r="P921" t="str">
        <f>VLOOKUP(O921,'[1]CONFIG.'!$C:$D,2,0)</f>
        <v>74 99590346</v>
      </c>
    </row>
    <row r="922" spans="1:16" x14ac:dyDescent="0.3">
      <c r="A922" t="s">
        <v>6558</v>
      </c>
      <c r="B922" t="s">
        <v>6559</v>
      </c>
      <c r="C922" t="s">
        <v>6560</v>
      </c>
      <c r="D922" t="s">
        <v>688</v>
      </c>
      <c r="E922" t="s">
        <v>6561</v>
      </c>
      <c r="F922" t="s">
        <v>137</v>
      </c>
      <c r="G922">
        <v>209</v>
      </c>
      <c r="H922">
        <v>500</v>
      </c>
      <c r="I922" s="5" t="s">
        <v>6562</v>
      </c>
      <c r="J922" s="5" t="s">
        <v>6563</v>
      </c>
      <c r="K922" s="5" t="str">
        <f t="shared" si="28"/>
        <v>https://www.google.com/maps?q=-11.178336, -42.022675</v>
      </c>
      <c r="L922" s="5" t="str">
        <f t="shared" si="29"/>
        <v>Abrir no Maps</v>
      </c>
      <c r="M922" t="s">
        <v>6564</v>
      </c>
      <c r="N922" s="5"/>
      <c r="O922" t="str">
        <f>VLOOKUP(G922,'[1]CONFIG.'!$B:$C,2,0)</f>
        <v>IGOR</v>
      </c>
      <c r="P922" t="str">
        <f>VLOOKUP(O922,'[1]CONFIG.'!$C:$D,2,0)</f>
        <v>74 99590346</v>
      </c>
    </row>
    <row r="923" spans="1:16" x14ac:dyDescent="0.3">
      <c r="A923" t="s">
        <v>6565</v>
      </c>
      <c r="B923" t="s">
        <v>6566</v>
      </c>
      <c r="C923" t="s">
        <v>6567</v>
      </c>
      <c r="D923" t="s">
        <v>688</v>
      </c>
      <c r="E923" t="s">
        <v>6568</v>
      </c>
      <c r="F923" t="s">
        <v>137</v>
      </c>
      <c r="G923">
        <v>209</v>
      </c>
      <c r="H923">
        <v>500</v>
      </c>
      <c r="I923" s="5" t="s">
        <v>6569</v>
      </c>
      <c r="J923" s="5" t="s">
        <v>6570</v>
      </c>
      <c r="K923" s="5" t="str">
        <f t="shared" si="28"/>
        <v>https://www.google.com/maps?q=-11.134196, -42.110320</v>
      </c>
      <c r="L923" s="5" t="str">
        <f t="shared" si="29"/>
        <v>Abrir no Maps</v>
      </c>
      <c r="M923" t="s">
        <v>6571</v>
      </c>
      <c r="N923" s="5"/>
      <c r="O923" t="str">
        <f>VLOOKUP(G923,'[1]CONFIG.'!$B:$C,2,0)</f>
        <v>IGOR</v>
      </c>
      <c r="P923" t="str">
        <f>VLOOKUP(O923,'[1]CONFIG.'!$C:$D,2,0)</f>
        <v>74 99590346</v>
      </c>
    </row>
    <row r="924" spans="1:16" x14ac:dyDescent="0.3">
      <c r="A924" t="s">
        <v>6572</v>
      </c>
      <c r="B924" t="s">
        <v>6573</v>
      </c>
      <c r="C924" t="s">
        <v>6574</v>
      </c>
      <c r="D924" t="s">
        <v>688</v>
      </c>
      <c r="E924" t="s">
        <v>6575</v>
      </c>
      <c r="F924" t="s">
        <v>6576</v>
      </c>
      <c r="G924">
        <v>207</v>
      </c>
      <c r="H924">
        <v>500</v>
      </c>
      <c r="I924" s="5" t="s">
        <v>6577</v>
      </c>
      <c r="J924" s="5" t="s">
        <v>6578</v>
      </c>
      <c r="K924" s="5" t="str">
        <f t="shared" si="28"/>
        <v>https://www.google.com/maps?q=-11.107501, -42.027020</v>
      </c>
      <c r="L924" s="5" t="str">
        <f t="shared" si="29"/>
        <v>Abrir no Maps</v>
      </c>
      <c r="M924" t="s">
        <v>6579</v>
      </c>
      <c r="N924" s="5"/>
      <c r="O924" t="str">
        <f>VLOOKUP(G924,'[1]CONFIG.'!$B:$C,2,0)</f>
        <v>HIAGO</v>
      </c>
      <c r="P924" t="str">
        <f>VLOOKUP(O924,'[1]CONFIG.'!$C:$D,2,0)</f>
        <v>74 99872571</v>
      </c>
    </row>
    <row r="925" spans="1:16" x14ac:dyDescent="0.3">
      <c r="A925" t="s">
        <v>6580</v>
      </c>
      <c r="B925" t="s">
        <v>6581</v>
      </c>
      <c r="C925" t="s">
        <v>6582</v>
      </c>
      <c r="D925" t="s">
        <v>688</v>
      </c>
      <c r="E925" t="s">
        <v>6583</v>
      </c>
      <c r="F925" t="s">
        <v>137</v>
      </c>
      <c r="G925">
        <v>209</v>
      </c>
      <c r="H925">
        <v>500</v>
      </c>
      <c r="I925" s="5" t="s">
        <v>6584</v>
      </c>
      <c r="J925" s="5" t="s">
        <v>6585</v>
      </c>
      <c r="K925" s="5" t="str">
        <f t="shared" si="28"/>
        <v>https://www.google.com/maps?q=-11.134989, -42.111160</v>
      </c>
      <c r="L925" s="5" t="str">
        <f t="shared" si="29"/>
        <v>Abrir no Maps</v>
      </c>
      <c r="M925" t="s">
        <v>6586</v>
      </c>
      <c r="N925" s="5"/>
      <c r="O925" t="str">
        <f>VLOOKUP(G925,'[1]CONFIG.'!$B:$C,2,0)</f>
        <v>IGOR</v>
      </c>
      <c r="P925" t="str">
        <f>VLOOKUP(O925,'[1]CONFIG.'!$C:$D,2,0)</f>
        <v>74 99590346</v>
      </c>
    </row>
    <row r="926" spans="1:16" x14ac:dyDescent="0.3">
      <c r="A926" t="s">
        <v>6587</v>
      </c>
      <c r="B926" t="s">
        <v>6588</v>
      </c>
      <c r="C926" t="s">
        <v>6589</v>
      </c>
      <c r="D926" t="s">
        <v>688</v>
      </c>
      <c r="E926" t="s">
        <v>6590</v>
      </c>
      <c r="F926" t="s">
        <v>137</v>
      </c>
      <c r="G926">
        <v>209</v>
      </c>
      <c r="H926">
        <v>500</v>
      </c>
      <c r="I926" s="5" t="s">
        <v>6591</v>
      </c>
      <c r="J926" s="5" t="s">
        <v>6592</v>
      </c>
      <c r="K926" s="5" t="str">
        <f t="shared" si="28"/>
        <v>https://www.google.com/maps?q=-11.133581, -42.099937</v>
      </c>
      <c r="L926" s="5" t="str">
        <f t="shared" si="29"/>
        <v>Abrir no Maps</v>
      </c>
      <c r="M926">
        <v>0</v>
      </c>
      <c r="N926" s="5"/>
      <c r="O926" t="str">
        <f>VLOOKUP(G926,'[1]CONFIG.'!$B:$C,2,0)</f>
        <v>IGOR</v>
      </c>
      <c r="P926" t="str">
        <f>VLOOKUP(O926,'[1]CONFIG.'!$C:$D,2,0)</f>
        <v>74 99590346</v>
      </c>
    </row>
    <row r="927" spans="1:16" x14ac:dyDescent="0.3">
      <c r="A927" t="s">
        <v>6593</v>
      </c>
      <c r="B927" t="s">
        <v>6594</v>
      </c>
      <c r="C927" t="s">
        <v>6595</v>
      </c>
      <c r="D927" t="s">
        <v>688</v>
      </c>
      <c r="E927" t="s">
        <v>6596</v>
      </c>
      <c r="F927" t="s">
        <v>137</v>
      </c>
      <c r="G927">
        <v>209</v>
      </c>
      <c r="H927">
        <v>500</v>
      </c>
      <c r="I927" s="5" t="s">
        <v>6597</v>
      </c>
      <c r="J927" s="5" t="s">
        <v>6598</v>
      </c>
      <c r="K927" s="5" t="str">
        <f t="shared" si="28"/>
        <v>https://www.google.com/maps?q=-11.136508, -42.112610</v>
      </c>
      <c r="L927" s="5" t="str">
        <f t="shared" si="29"/>
        <v>Abrir no Maps</v>
      </c>
      <c r="M927" t="s">
        <v>6599</v>
      </c>
      <c r="N927" s="5"/>
      <c r="O927" t="str">
        <f>VLOOKUP(G927,'[1]CONFIG.'!$B:$C,2,0)</f>
        <v>IGOR</v>
      </c>
      <c r="P927" t="str">
        <f>VLOOKUP(O927,'[1]CONFIG.'!$C:$D,2,0)</f>
        <v>74 99590346</v>
      </c>
    </row>
    <row r="928" spans="1:16" x14ac:dyDescent="0.3">
      <c r="A928" t="s">
        <v>6600</v>
      </c>
      <c r="B928" t="s">
        <v>6601</v>
      </c>
      <c r="C928" t="s">
        <v>6602</v>
      </c>
      <c r="D928" t="s">
        <v>688</v>
      </c>
      <c r="E928" t="s">
        <v>6603</v>
      </c>
      <c r="F928" t="s">
        <v>137</v>
      </c>
      <c r="G928">
        <v>209</v>
      </c>
      <c r="H928">
        <v>500</v>
      </c>
      <c r="I928" s="5" t="s">
        <v>6604</v>
      </c>
      <c r="J928" s="5" t="s">
        <v>6605</v>
      </c>
      <c r="K928" s="5" t="str">
        <f t="shared" si="28"/>
        <v>https://www.google.com/maps?q=-11.132498, -42.110065</v>
      </c>
      <c r="L928" s="5" t="str">
        <f t="shared" si="29"/>
        <v>Abrir no Maps</v>
      </c>
      <c r="M928" t="s">
        <v>6606</v>
      </c>
      <c r="N928" s="5"/>
      <c r="O928" t="str">
        <f>VLOOKUP(G928,'[1]CONFIG.'!$B:$C,2,0)</f>
        <v>IGOR</v>
      </c>
      <c r="P928" t="str">
        <f>VLOOKUP(O928,'[1]CONFIG.'!$C:$D,2,0)</f>
        <v>74 99590346</v>
      </c>
    </row>
    <row r="929" spans="1:16" x14ac:dyDescent="0.3">
      <c r="A929" t="s">
        <v>6607</v>
      </c>
      <c r="B929" t="s">
        <v>6608</v>
      </c>
      <c r="C929" t="s">
        <v>6609</v>
      </c>
      <c r="D929" t="s">
        <v>688</v>
      </c>
      <c r="E929" t="s">
        <v>6610</v>
      </c>
      <c r="F929" t="s">
        <v>137</v>
      </c>
      <c r="G929">
        <v>209</v>
      </c>
      <c r="H929">
        <v>500</v>
      </c>
      <c r="I929" s="5" t="s">
        <v>6611</v>
      </c>
      <c r="J929" s="5" t="s">
        <v>6612</v>
      </c>
      <c r="K929" s="5" t="str">
        <f t="shared" si="28"/>
        <v>https://www.google.com/maps?q=-11.136125, -42.112070</v>
      </c>
      <c r="L929" s="5" t="str">
        <f t="shared" si="29"/>
        <v>Abrir no Maps</v>
      </c>
      <c r="M929" t="s">
        <v>6613</v>
      </c>
      <c r="N929" s="5"/>
      <c r="O929" t="str">
        <f>VLOOKUP(G929,'[1]CONFIG.'!$B:$C,2,0)</f>
        <v>IGOR</v>
      </c>
      <c r="P929" t="str">
        <f>VLOOKUP(O929,'[1]CONFIG.'!$C:$D,2,0)</f>
        <v>74 99590346</v>
      </c>
    </row>
    <row r="930" spans="1:16" x14ac:dyDescent="0.3">
      <c r="A930" t="s">
        <v>6614</v>
      </c>
      <c r="B930" t="s">
        <v>6615</v>
      </c>
      <c r="C930" t="s">
        <v>6616</v>
      </c>
      <c r="D930" t="s">
        <v>688</v>
      </c>
      <c r="E930" t="s">
        <v>6617</v>
      </c>
      <c r="F930" t="s">
        <v>137</v>
      </c>
      <c r="G930">
        <v>209</v>
      </c>
      <c r="H930">
        <v>500</v>
      </c>
      <c r="I930" s="5" t="s">
        <v>6618</v>
      </c>
      <c r="J930" s="5" t="s">
        <v>6619</v>
      </c>
      <c r="K930" s="5" t="str">
        <f t="shared" si="28"/>
        <v>https://www.google.com/maps?q=-11.128441, -42.110000</v>
      </c>
      <c r="L930" s="5" t="str">
        <f t="shared" si="29"/>
        <v>Abrir no Maps</v>
      </c>
      <c r="M930" t="s">
        <v>6620</v>
      </c>
      <c r="N930" s="5"/>
      <c r="O930" t="str">
        <f>VLOOKUP(G930,'[1]CONFIG.'!$B:$C,2,0)</f>
        <v>IGOR</v>
      </c>
      <c r="P930" t="str">
        <f>VLOOKUP(O930,'[1]CONFIG.'!$C:$D,2,0)</f>
        <v>74 99590346</v>
      </c>
    </row>
    <row r="931" spans="1:16" x14ac:dyDescent="0.3">
      <c r="A931" t="s">
        <v>6621</v>
      </c>
      <c r="B931" t="s">
        <v>6622</v>
      </c>
      <c r="C931" t="s">
        <v>6623</v>
      </c>
      <c r="D931" t="s">
        <v>688</v>
      </c>
      <c r="E931" t="s">
        <v>6624</v>
      </c>
      <c r="F931" t="s">
        <v>137</v>
      </c>
      <c r="G931">
        <v>209</v>
      </c>
      <c r="H931">
        <v>500</v>
      </c>
      <c r="I931" s="5" t="s">
        <v>6625</v>
      </c>
      <c r="J931" s="5" t="s">
        <v>6626</v>
      </c>
      <c r="K931" s="5" t="str">
        <f t="shared" si="28"/>
        <v>https://www.google.com/maps?q=-11.134108, -42.109375</v>
      </c>
      <c r="L931" s="5" t="str">
        <f t="shared" si="29"/>
        <v>Abrir no Maps</v>
      </c>
      <c r="M931" t="s">
        <v>6627</v>
      </c>
      <c r="N931" s="5"/>
      <c r="O931" t="str">
        <f>VLOOKUP(G931,'[1]CONFIG.'!$B:$C,2,0)</f>
        <v>IGOR</v>
      </c>
      <c r="P931" t="str">
        <f>VLOOKUP(O931,'[1]CONFIG.'!$C:$D,2,0)</f>
        <v>74 99590346</v>
      </c>
    </row>
    <row r="932" spans="1:16" x14ac:dyDescent="0.3">
      <c r="A932" t="s">
        <v>6628</v>
      </c>
      <c r="B932" t="s">
        <v>6629</v>
      </c>
      <c r="C932" t="s">
        <v>6630</v>
      </c>
      <c r="D932" t="s">
        <v>688</v>
      </c>
      <c r="E932" t="s">
        <v>6631</v>
      </c>
      <c r="F932" t="s">
        <v>137</v>
      </c>
      <c r="G932">
        <v>205</v>
      </c>
      <c r="H932">
        <v>300</v>
      </c>
      <c r="I932" s="5" t="s">
        <v>6632</v>
      </c>
      <c r="J932" s="5" t="s">
        <v>6633</v>
      </c>
      <c r="K932" s="5" t="str">
        <f t="shared" si="28"/>
        <v>https://www.google.com/maps?q=-11.254030, -40.947590</v>
      </c>
      <c r="L932" s="5" t="str">
        <f t="shared" si="29"/>
        <v>Abrir no Maps</v>
      </c>
      <c r="M932" t="s">
        <v>6634</v>
      </c>
      <c r="N932" s="5"/>
      <c r="O932" t="str">
        <f>VLOOKUP(G932,'[1]CONFIG.'!$B:$C,2,0)</f>
        <v>EMETIO</v>
      </c>
      <c r="P932" t="str">
        <f>VLOOKUP(O932,'[1]CONFIG.'!$C:$D,2,0)</f>
        <v>74 98039589</v>
      </c>
    </row>
    <row r="933" spans="1:16" x14ac:dyDescent="0.3">
      <c r="A933" t="s">
        <v>6635</v>
      </c>
      <c r="B933" t="s">
        <v>6636</v>
      </c>
      <c r="C933" t="s">
        <v>6637</v>
      </c>
      <c r="D933" t="s">
        <v>688</v>
      </c>
      <c r="E933" t="s">
        <v>6638</v>
      </c>
      <c r="F933" t="s">
        <v>137</v>
      </c>
      <c r="G933">
        <v>209</v>
      </c>
      <c r="H933">
        <v>500</v>
      </c>
      <c r="I933" s="5" t="s">
        <v>6639</v>
      </c>
      <c r="J933" s="5" t="s">
        <v>6640</v>
      </c>
      <c r="K933" s="5" t="str">
        <f t="shared" si="28"/>
        <v>https://www.google.com/maps?q=-11.137074, -42.113796</v>
      </c>
      <c r="L933" s="5" t="str">
        <f t="shared" si="29"/>
        <v>Abrir no Maps</v>
      </c>
      <c r="M933" t="s">
        <v>6641</v>
      </c>
      <c r="N933" s="5"/>
      <c r="O933" t="str">
        <f>VLOOKUP(G933,'[1]CONFIG.'!$B:$C,2,0)</f>
        <v>IGOR</v>
      </c>
      <c r="P933" t="str">
        <f>VLOOKUP(O933,'[1]CONFIG.'!$C:$D,2,0)</f>
        <v>74 99590346</v>
      </c>
    </row>
    <row r="934" spans="1:16" x14ac:dyDescent="0.3">
      <c r="A934" t="s">
        <v>6642</v>
      </c>
      <c r="B934" t="s">
        <v>6643</v>
      </c>
      <c r="C934" t="s">
        <v>6644</v>
      </c>
      <c r="D934" t="s">
        <v>688</v>
      </c>
      <c r="E934" t="s">
        <v>6645</v>
      </c>
      <c r="F934" t="s">
        <v>6646</v>
      </c>
      <c r="G934">
        <v>209</v>
      </c>
      <c r="H934">
        <v>500</v>
      </c>
      <c r="I934" s="5" t="s">
        <v>6647</v>
      </c>
      <c r="J934" s="5" t="s">
        <v>6648</v>
      </c>
      <c r="K934" s="5" t="str">
        <f t="shared" si="28"/>
        <v>https://www.google.com/maps?q=-11.201385, -41.985996</v>
      </c>
      <c r="L934" s="5" t="str">
        <f t="shared" si="29"/>
        <v>Abrir no Maps</v>
      </c>
      <c r="M934" t="s">
        <v>6649</v>
      </c>
      <c r="N934" s="5"/>
      <c r="O934" t="str">
        <f>VLOOKUP(G934,'[1]CONFIG.'!$B:$C,2,0)</f>
        <v>IGOR</v>
      </c>
      <c r="P934" t="str">
        <f>VLOOKUP(O934,'[1]CONFIG.'!$C:$D,2,0)</f>
        <v>74 99590346</v>
      </c>
    </row>
    <row r="935" spans="1:16" x14ac:dyDescent="0.3">
      <c r="A935" t="s">
        <v>6650</v>
      </c>
      <c r="B935" t="s">
        <v>6651</v>
      </c>
      <c r="C935" t="s">
        <v>6652</v>
      </c>
      <c r="D935" t="s">
        <v>688</v>
      </c>
      <c r="E935" t="s">
        <v>6653</v>
      </c>
      <c r="F935" t="s">
        <v>137</v>
      </c>
      <c r="G935">
        <v>209</v>
      </c>
      <c r="H935">
        <v>500</v>
      </c>
      <c r="I935" s="5" t="s">
        <v>6654</v>
      </c>
      <c r="J935" s="5" t="s">
        <v>6655</v>
      </c>
      <c r="K935" s="5" t="str">
        <f t="shared" si="28"/>
        <v>https://www.google.com/maps?q=-11.136037, -42.109947</v>
      </c>
      <c r="L935" s="5" t="str">
        <f t="shared" si="29"/>
        <v>Abrir no Maps</v>
      </c>
      <c r="M935" t="s">
        <v>6656</v>
      </c>
      <c r="N935" s="5"/>
      <c r="O935" t="str">
        <f>VLOOKUP(G935,'[1]CONFIG.'!$B:$C,2,0)</f>
        <v>IGOR</v>
      </c>
      <c r="P935" t="str">
        <f>VLOOKUP(O935,'[1]CONFIG.'!$C:$D,2,0)</f>
        <v>74 99590346</v>
      </c>
    </row>
    <row r="936" spans="1:16" x14ac:dyDescent="0.3">
      <c r="A936" t="s">
        <v>6657</v>
      </c>
      <c r="B936" t="s">
        <v>6658</v>
      </c>
      <c r="C936" t="s">
        <v>6659</v>
      </c>
      <c r="D936" t="s">
        <v>688</v>
      </c>
      <c r="E936" t="s">
        <v>6660</v>
      </c>
      <c r="F936" t="s">
        <v>137</v>
      </c>
      <c r="G936">
        <v>209</v>
      </c>
      <c r="H936">
        <v>500</v>
      </c>
      <c r="I936" s="5" t="s">
        <v>6661</v>
      </c>
      <c r="J936" s="5" t="s">
        <v>6662</v>
      </c>
      <c r="K936" s="5" t="str">
        <f t="shared" si="28"/>
        <v>https://www.google.com/maps?q=-11.132071, -42.109673</v>
      </c>
      <c r="L936" s="5" t="str">
        <f t="shared" si="29"/>
        <v>Abrir no Maps</v>
      </c>
      <c r="M936" t="s">
        <v>6663</v>
      </c>
      <c r="N936" s="5"/>
      <c r="O936" t="str">
        <f>VLOOKUP(G936,'[1]CONFIG.'!$B:$C,2,0)</f>
        <v>IGOR</v>
      </c>
      <c r="P936" t="str">
        <f>VLOOKUP(O936,'[1]CONFIG.'!$C:$D,2,0)</f>
        <v>74 99590346</v>
      </c>
    </row>
    <row r="937" spans="1:16" x14ac:dyDescent="0.3">
      <c r="A937" t="s">
        <v>6664</v>
      </c>
      <c r="B937" t="s">
        <v>6665</v>
      </c>
      <c r="C937" t="s">
        <v>6666</v>
      </c>
      <c r="D937" t="s">
        <v>688</v>
      </c>
      <c r="E937" t="s">
        <v>6667</v>
      </c>
      <c r="F937" t="s">
        <v>137</v>
      </c>
      <c r="G937">
        <v>209</v>
      </c>
      <c r="H937">
        <v>500</v>
      </c>
      <c r="I937" s="5" t="s">
        <v>6668</v>
      </c>
      <c r="J937" s="5" t="s">
        <v>6669</v>
      </c>
      <c r="K937" s="5" t="str">
        <f t="shared" si="28"/>
        <v>https://www.google.com/maps?q=-11.138387, -42.112827</v>
      </c>
      <c r="L937" s="5" t="str">
        <f t="shared" si="29"/>
        <v>Abrir no Maps</v>
      </c>
      <c r="M937" t="s">
        <v>6670</v>
      </c>
      <c r="N937" s="5"/>
      <c r="O937" t="str">
        <f>VLOOKUP(G937,'[1]CONFIG.'!$B:$C,2,0)</f>
        <v>IGOR</v>
      </c>
      <c r="P937" t="str">
        <f>VLOOKUP(O937,'[1]CONFIG.'!$C:$D,2,0)</f>
        <v>74 99590346</v>
      </c>
    </row>
    <row r="938" spans="1:16" x14ac:dyDescent="0.3">
      <c r="A938" t="s">
        <v>6671</v>
      </c>
      <c r="B938" t="s">
        <v>6672</v>
      </c>
      <c r="C938" t="s">
        <v>6673</v>
      </c>
      <c r="D938" t="s">
        <v>688</v>
      </c>
      <c r="E938" t="s">
        <v>6674</v>
      </c>
      <c r="F938" t="s">
        <v>6675</v>
      </c>
      <c r="G938">
        <v>209</v>
      </c>
      <c r="H938">
        <v>500</v>
      </c>
      <c r="I938" s="5" t="s">
        <v>6676</v>
      </c>
      <c r="J938" s="5" t="s">
        <v>6677</v>
      </c>
      <c r="K938" s="5" t="str">
        <f t="shared" si="28"/>
        <v>https://www.google.com/maps?q=-11.157308, -42.054520</v>
      </c>
      <c r="L938" s="5" t="str">
        <f t="shared" si="29"/>
        <v>Abrir no Maps</v>
      </c>
      <c r="M938" t="s">
        <v>6678</v>
      </c>
      <c r="N938" s="5"/>
      <c r="O938" t="str">
        <f>VLOOKUP(G938,'[1]CONFIG.'!$B:$C,2,0)</f>
        <v>IGOR</v>
      </c>
      <c r="P938" t="str">
        <f>VLOOKUP(O938,'[1]CONFIG.'!$C:$D,2,0)</f>
        <v>74 99590346</v>
      </c>
    </row>
    <row r="939" spans="1:16" x14ac:dyDescent="0.3">
      <c r="A939" t="s">
        <v>6679</v>
      </c>
      <c r="B939" t="s">
        <v>6680</v>
      </c>
      <c r="C939" t="s">
        <v>6681</v>
      </c>
      <c r="D939" t="s">
        <v>688</v>
      </c>
      <c r="E939" t="s">
        <v>6682</v>
      </c>
      <c r="F939" t="s">
        <v>6683</v>
      </c>
      <c r="G939">
        <v>207</v>
      </c>
      <c r="H939">
        <v>500</v>
      </c>
      <c r="I939" s="5" t="s">
        <v>6684</v>
      </c>
      <c r="J939" s="5" t="s">
        <v>6685</v>
      </c>
      <c r="K939" s="5" t="str">
        <f t="shared" si="28"/>
        <v>https://www.google.com/maps?q=-11.107402, -42.028270</v>
      </c>
      <c r="L939" s="5" t="str">
        <f t="shared" si="29"/>
        <v>Abrir no Maps</v>
      </c>
      <c r="M939" t="s">
        <v>6686</v>
      </c>
      <c r="N939" s="5"/>
      <c r="O939" t="str">
        <f>VLOOKUP(G939,'[1]CONFIG.'!$B:$C,2,0)</f>
        <v>HIAGO</v>
      </c>
      <c r="P939" t="str">
        <f>VLOOKUP(O939,'[1]CONFIG.'!$C:$D,2,0)</f>
        <v>74 99872571</v>
      </c>
    </row>
    <row r="940" spans="1:16" x14ac:dyDescent="0.3">
      <c r="A940" t="s">
        <v>6687</v>
      </c>
      <c r="B940" t="s">
        <v>6688</v>
      </c>
      <c r="C940" t="s">
        <v>6689</v>
      </c>
      <c r="D940" t="s">
        <v>36</v>
      </c>
      <c r="E940" t="s">
        <v>6690</v>
      </c>
      <c r="F940" t="s">
        <v>137</v>
      </c>
      <c r="G940">
        <v>204</v>
      </c>
      <c r="H940">
        <v>500</v>
      </c>
      <c r="I940" s="5" t="s">
        <v>6691</v>
      </c>
      <c r="J940" s="5" t="s">
        <v>6692</v>
      </c>
      <c r="K940" s="5" t="str">
        <f t="shared" si="28"/>
        <v>https://www.google.com/maps?q=-11.302983, -41.855567</v>
      </c>
      <c r="L940" s="5" t="str">
        <f t="shared" si="29"/>
        <v>Abrir no Maps</v>
      </c>
      <c r="M940" t="s">
        <v>6693</v>
      </c>
      <c r="N940" s="5"/>
      <c r="O940" t="str">
        <f>VLOOKUP(G940,'[1]CONFIG.'!$B:$C,2,0)</f>
        <v>EVA</v>
      </c>
      <c r="P940" t="str">
        <f>VLOOKUP(O940,'[1]CONFIG.'!$C:$D,2,0)</f>
        <v>74 98046078</v>
      </c>
    </row>
    <row r="941" spans="1:16" x14ac:dyDescent="0.3">
      <c r="A941" t="s">
        <v>6694</v>
      </c>
      <c r="B941" t="s">
        <v>6695</v>
      </c>
      <c r="C941" t="s">
        <v>6696</v>
      </c>
      <c r="D941" t="s">
        <v>688</v>
      </c>
      <c r="E941" t="s">
        <v>6697</v>
      </c>
      <c r="F941" t="s">
        <v>137</v>
      </c>
      <c r="G941">
        <v>209</v>
      </c>
      <c r="H941">
        <v>500</v>
      </c>
      <c r="I941" s="5" t="s">
        <v>6698</v>
      </c>
      <c r="J941" s="5" t="s">
        <v>6699</v>
      </c>
      <c r="K941" s="5" t="str">
        <f t="shared" si="28"/>
        <v>https://www.google.com/maps?q=-11.134950, -42.111423</v>
      </c>
      <c r="L941" s="5" t="str">
        <f t="shared" si="29"/>
        <v>Abrir no Maps</v>
      </c>
      <c r="M941" t="s">
        <v>6700</v>
      </c>
      <c r="N941" s="5"/>
      <c r="O941" t="str">
        <f>VLOOKUP(G941,'[1]CONFIG.'!$B:$C,2,0)</f>
        <v>IGOR</v>
      </c>
      <c r="P941" t="str">
        <f>VLOOKUP(O941,'[1]CONFIG.'!$C:$D,2,0)</f>
        <v>74 99590346</v>
      </c>
    </row>
    <row r="942" spans="1:16" x14ac:dyDescent="0.3">
      <c r="A942" t="s">
        <v>6701</v>
      </c>
      <c r="B942" t="s">
        <v>6702</v>
      </c>
      <c r="C942" t="s">
        <v>6703</v>
      </c>
      <c r="D942" t="s">
        <v>688</v>
      </c>
      <c r="E942" t="s">
        <v>6704</v>
      </c>
      <c r="F942" t="s">
        <v>137</v>
      </c>
      <c r="G942">
        <v>209</v>
      </c>
      <c r="H942">
        <v>500</v>
      </c>
      <c r="I942" s="5" t="s">
        <v>6705</v>
      </c>
      <c r="J942" s="5" t="s">
        <v>6706</v>
      </c>
      <c r="K942" s="5" t="str">
        <f t="shared" si="28"/>
        <v>https://www.google.com/maps?q=-11.138123, -42.112630</v>
      </c>
      <c r="L942" s="5" t="str">
        <f t="shared" si="29"/>
        <v>Abrir no Maps</v>
      </c>
      <c r="M942" t="s">
        <v>6707</v>
      </c>
      <c r="N942" s="5"/>
      <c r="O942" t="str">
        <f>VLOOKUP(G942,'[1]CONFIG.'!$B:$C,2,0)</f>
        <v>IGOR</v>
      </c>
      <c r="P942" t="str">
        <f>VLOOKUP(O942,'[1]CONFIG.'!$C:$D,2,0)</f>
        <v>74 99590346</v>
      </c>
    </row>
    <row r="943" spans="1:16" x14ac:dyDescent="0.3">
      <c r="A943" t="s">
        <v>6708</v>
      </c>
      <c r="B943" t="s">
        <v>6709</v>
      </c>
      <c r="C943" t="s">
        <v>6710</v>
      </c>
      <c r="D943" t="s">
        <v>688</v>
      </c>
      <c r="E943" t="s">
        <v>6711</v>
      </c>
      <c r="F943" t="s">
        <v>137</v>
      </c>
      <c r="G943">
        <v>209</v>
      </c>
      <c r="H943">
        <v>500</v>
      </c>
      <c r="I943" s="5" t="s">
        <v>6712</v>
      </c>
      <c r="J943" s="5" t="s">
        <v>6713</v>
      </c>
      <c r="K943" s="5" t="str">
        <f t="shared" si="28"/>
        <v>https://www.google.com/maps?q=-11.124966, -42.110207</v>
      </c>
      <c r="L943" s="5" t="str">
        <f t="shared" si="29"/>
        <v>Abrir no Maps</v>
      </c>
      <c r="M943" t="s">
        <v>6714</v>
      </c>
      <c r="N943" s="5"/>
      <c r="O943" t="str">
        <f>VLOOKUP(G943,'[1]CONFIG.'!$B:$C,2,0)</f>
        <v>IGOR</v>
      </c>
      <c r="P943" t="str">
        <f>VLOOKUP(O943,'[1]CONFIG.'!$C:$D,2,0)</f>
        <v>74 99590346</v>
      </c>
    </row>
    <row r="944" spans="1:16" x14ac:dyDescent="0.3">
      <c r="A944" t="s">
        <v>6715</v>
      </c>
      <c r="B944" t="s">
        <v>6716</v>
      </c>
      <c r="C944" t="s">
        <v>6717</v>
      </c>
      <c r="D944" t="s">
        <v>688</v>
      </c>
      <c r="E944" t="s">
        <v>6718</v>
      </c>
      <c r="F944" t="s">
        <v>6719</v>
      </c>
      <c r="G944">
        <v>209</v>
      </c>
      <c r="H944">
        <v>500</v>
      </c>
      <c r="I944" s="5" t="s">
        <v>6720</v>
      </c>
      <c r="J944" s="5" t="s">
        <v>6721</v>
      </c>
      <c r="K944" s="5" t="str">
        <f t="shared" si="28"/>
        <v>https://www.google.com/maps?q=-11.097925, -42.149834</v>
      </c>
      <c r="L944" s="5" t="str">
        <f t="shared" si="29"/>
        <v>Abrir no Maps</v>
      </c>
      <c r="M944" t="s">
        <v>6722</v>
      </c>
      <c r="N944" s="5"/>
      <c r="O944" t="str">
        <f>VLOOKUP(G944,'[1]CONFIG.'!$B:$C,2,0)</f>
        <v>IGOR</v>
      </c>
      <c r="P944" t="str">
        <f>VLOOKUP(O944,'[1]CONFIG.'!$C:$D,2,0)</f>
        <v>74 99590346</v>
      </c>
    </row>
    <row r="945" spans="1:16" x14ac:dyDescent="0.3">
      <c r="A945" t="s">
        <v>6723</v>
      </c>
      <c r="B945" t="s">
        <v>6724</v>
      </c>
      <c r="C945" t="s">
        <v>6725</v>
      </c>
      <c r="D945" t="s">
        <v>688</v>
      </c>
      <c r="E945" t="s">
        <v>6726</v>
      </c>
      <c r="F945" t="s">
        <v>137</v>
      </c>
      <c r="G945">
        <v>209</v>
      </c>
      <c r="H945">
        <v>500</v>
      </c>
      <c r="I945" s="5" t="s">
        <v>6727</v>
      </c>
      <c r="J945" s="5" t="s">
        <v>6728</v>
      </c>
      <c r="K945" s="5" t="str">
        <f t="shared" si="28"/>
        <v>https://www.google.com/maps?q=-11.123765, -42.111187</v>
      </c>
      <c r="L945" s="5" t="str">
        <f t="shared" si="29"/>
        <v>Abrir no Maps</v>
      </c>
      <c r="M945" t="s">
        <v>6729</v>
      </c>
      <c r="N945" s="5"/>
      <c r="O945" t="str">
        <f>VLOOKUP(G945,'[1]CONFIG.'!$B:$C,2,0)</f>
        <v>IGOR</v>
      </c>
      <c r="P945" t="str">
        <f>VLOOKUP(O945,'[1]CONFIG.'!$C:$D,2,0)</f>
        <v>74 99590346</v>
      </c>
    </row>
    <row r="946" spans="1:16" x14ac:dyDescent="0.3">
      <c r="A946" t="s">
        <v>6730</v>
      </c>
      <c r="B946" t="s">
        <v>6731</v>
      </c>
      <c r="C946" t="s">
        <v>6732</v>
      </c>
      <c r="D946" t="s">
        <v>688</v>
      </c>
      <c r="E946" t="s">
        <v>6733</v>
      </c>
      <c r="F946" t="s">
        <v>137</v>
      </c>
      <c r="G946">
        <v>209</v>
      </c>
      <c r="H946">
        <v>500</v>
      </c>
      <c r="I946" s="5" t="s">
        <v>6734</v>
      </c>
      <c r="J946" s="5" t="s">
        <v>6735</v>
      </c>
      <c r="K946" s="5" t="str">
        <f t="shared" si="28"/>
        <v>https://www.google.com/maps?q=-11.135647, -42.111584</v>
      </c>
      <c r="L946" s="5" t="str">
        <f t="shared" si="29"/>
        <v>Abrir no Maps</v>
      </c>
      <c r="M946" t="s">
        <v>6736</v>
      </c>
      <c r="N946" s="5"/>
      <c r="O946" t="str">
        <f>VLOOKUP(G946,'[1]CONFIG.'!$B:$C,2,0)</f>
        <v>IGOR</v>
      </c>
      <c r="P946" t="str">
        <f>VLOOKUP(O946,'[1]CONFIG.'!$C:$D,2,0)</f>
        <v>74 99590346</v>
      </c>
    </row>
    <row r="947" spans="1:16" x14ac:dyDescent="0.3">
      <c r="A947" t="s">
        <v>6737</v>
      </c>
      <c r="B947" t="s">
        <v>6738</v>
      </c>
      <c r="C947" t="s">
        <v>6739</v>
      </c>
      <c r="D947" t="s">
        <v>688</v>
      </c>
      <c r="E947" t="s">
        <v>6740</v>
      </c>
      <c r="F947" t="s">
        <v>6741</v>
      </c>
      <c r="G947">
        <v>207</v>
      </c>
      <c r="H947">
        <v>500</v>
      </c>
      <c r="I947" s="5" t="s">
        <v>6742</v>
      </c>
      <c r="J947" s="5" t="s">
        <v>6743</v>
      </c>
      <c r="K947" s="5" t="str">
        <f t="shared" si="28"/>
        <v>https://www.google.com/maps?q=-11.190527, -41.930565</v>
      </c>
      <c r="L947" s="5" t="str">
        <f t="shared" si="29"/>
        <v>Abrir no Maps</v>
      </c>
      <c r="M947" t="s">
        <v>6744</v>
      </c>
      <c r="N947" s="5"/>
      <c r="O947" t="str">
        <f>VLOOKUP(G947,'[1]CONFIG.'!$B:$C,2,0)</f>
        <v>HIAGO</v>
      </c>
      <c r="P947" t="str">
        <f>VLOOKUP(O947,'[1]CONFIG.'!$C:$D,2,0)</f>
        <v>74 99872571</v>
      </c>
    </row>
    <row r="948" spans="1:16" x14ac:dyDescent="0.3">
      <c r="A948" t="s">
        <v>6745</v>
      </c>
      <c r="B948" t="s">
        <v>6746</v>
      </c>
      <c r="C948" t="s">
        <v>6747</v>
      </c>
      <c r="D948" t="s">
        <v>688</v>
      </c>
      <c r="E948" t="s">
        <v>6748</v>
      </c>
      <c r="F948" t="s">
        <v>137</v>
      </c>
      <c r="G948">
        <v>209</v>
      </c>
      <c r="H948">
        <v>500</v>
      </c>
      <c r="I948" s="5" t="s">
        <v>6749</v>
      </c>
      <c r="J948" s="5" t="s">
        <v>6750</v>
      </c>
      <c r="K948" s="5" t="str">
        <f t="shared" si="28"/>
        <v>https://www.google.com/maps?q=-11.135258, -42.111350</v>
      </c>
      <c r="L948" s="5" t="str">
        <f t="shared" si="29"/>
        <v>Abrir no Maps</v>
      </c>
      <c r="M948" t="s">
        <v>6751</v>
      </c>
      <c r="N948" s="5"/>
      <c r="O948" t="str">
        <f>VLOOKUP(G948,'[1]CONFIG.'!$B:$C,2,0)</f>
        <v>IGOR</v>
      </c>
      <c r="P948" t="str">
        <f>VLOOKUP(O948,'[1]CONFIG.'!$C:$D,2,0)</f>
        <v>74 99590346</v>
      </c>
    </row>
    <row r="949" spans="1:16" x14ac:dyDescent="0.3">
      <c r="A949" t="s">
        <v>6752</v>
      </c>
      <c r="B949" t="s">
        <v>6753</v>
      </c>
      <c r="C949" t="s">
        <v>6754</v>
      </c>
      <c r="D949" t="s">
        <v>688</v>
      </c>
      <c r="E949" t="s">
        <v>6755</v>
      </c>
      <c r="F949" t="s">
        <v>137</v>
      </c>
      <c r="G949">
        <v>209</v>
      </c>
      <c r="H949">
        <v>500</v>
      </c>
      <c r="I949" s="5" t="s">
        <v>6756</v>
      </c>
      <c r="J949" s="5" t="s">
        <v>6757</v>
      </c>
      <c r="K949" s="5" t="str">
        <f t="shared" si="28"/>
        <v>https://www.google.com/maps?q=-11.130130, -42.109585</v>
      </c>
      <c r="L949" s="5" t="str">
        <f t="shared" si="29"/>
        <v>Abrir no Maps</v>
      </c>
      <c r="M949" t="s">
        <v>6758</v>
      </c>
      <c r="N949" s="5"/>
      <c r="O949" t="str">
        <f>VLOOKUP(G949,'[1]CONFIG.'!$B:$C,2,0)</f>
        <v>IGOR</v>
      </c>
      <c r="P949" t="str">
        <f>VLOOKUP(O949,'[1]CONFIG.'!$C:$D,2,0)</f>
        <v>74 99590346</v>
      </c>
    </row>
    <row r="950" spans="1:16" x14ac:dyDescent="0.3">
      <c r="A950" t="s">
        <v>6759</v>
      </c>
      <c r="B950" t="s">
        <v>6760</v>
      </c>
      <c r="C950" t="s">
        <v>6761</v>
      </c>
      <c r="D950" t="s">
        <v>688</v>
      </c>
      <c r="E950" t="s">
        <v>6762</v>
      </c>
      <c r="F950" t="s">
        <v>6646</v>
      </c>
      <c r="G950">
        <v>209</v>
      </c>
      <c r="H950">
        <v>500</v>
      </c>
      <c r="I950" s="5" t="s">
        <v>6763</v>
      </c>
      <c r="J950" s="5" t="s">
        <v>6764</v>
      </c>
      <c r="K950" s="5" t="str">
        <f t="shared" si="28"/>
        <v>https://www.google.com/maps?q=-11.194818, -41.995610</v>
      </c>
      <c r="L950" s="5" t="str">
        <f t="shared" si="29"/>
        <v>Abrir no Maps</v>
      </c>
      <c r="M950" t="s">
        <v>6765</v>
      </c>
      <c r="N950" s="5"/>
      <c r="O950" t="str">
        <f>VLOOKUP(G950,'[1]CONFIG.'!$B:$C,2,0)</f>
        <v>IGOR</v>
      </c>
      <c r="P950" t="str">
        <f>VLOOKUP(O950,'[1]CONFIG.'!$C:$D,2,0)</f>
        <v>74 99590346</v>
      </c>
    </row>
    <row r="951" spans="1:16" x14ac:dyDescent="0.3">
      <c r="A951" t="s">
        <v>6766</v>
      </c>
      <c r="B951" t="s">
        <v>6767</v>
      </c>
      <c r="C951" t="s">
        <v>6768</v>
      </c>
      <c r="D951" t="s">
        <v>688</v>
      </c>
      <c r="E951" t="s">
        <v>6769</v>
      </c>
      <c r="F951" t="s">
        <v>137</v>
      </c>
      <c r="G951">
        <v>209</v>
      </c>
      <c r="H951">
        <v>500</v>
      </c>
      <c r="I951" s="5" t="s">
        <v>6770</v>
      </c>
      <c r="J951" s="5" t="s">
        <v>6771</v>
      </c>
      <c r="K951" s="5" t="str">
        <f t="shared" si="28"/>
        <v>https://www.google.com/maps?q=-11.133988, -42.112810</v>
      </c>
      <c r="L951" s="5" t="str">
        <f t="shared" si="29"/>
        <v>Abrir no Maps</v>
      </c>
      <c r="M951" t="s">
        <v>6772</v>
      </c>
      <c r="N951" s="5"/>
      <c r="O951" t="str">
        <f>VLOOKUP(G951,'[1]CONFIG.'!$B:$C,2,0)</f>
        <v>IGOR</v>
      </c>
      <c r="P951" t="str">
        <f>VLOOKUP(O951,'[1]CONFIG.'!$C:$D,2,0)</f>
        <v>74 99590346</v>
      </c>
    </row>
    <row r="952" spans="1:16" x14ac:dyDescent="0.3">
      <c r="A952" t="s">
        <v>6773</v>
      </c>
      <c r="B952" t="s">
        <v>6774</v>
      </c>
      <c r="C952" t="s">
        <v>6775</v>
      </c>
      <c r="D952" t="s">
        <v>688</v>
      </c>
      <c r="E952" t="s">
        <v>6776</v>
      </c>
      <c r="F952" t="s">
        <v>6646</v>
      </c>
      <c r="G952">
        <v>209</v>
      </c>
      <c r="H952">
        <v>500</v>
      </c>
      <c r="I952" s="5" t="s">
        <v>6777</v>
      </c>
      <c r="J952" s="5" t="s">
        <v>6778</v>
      </c>
      <c r="K952" s="5" t="str">
        <f t="shared" si="28"/>
        <v>https://www.google.com/maps?q=-11.200994, -41.986660</v>
      </c>
      <c r="L952" s="5" t="str">
        <f t="shared" si="29"/>
        <v>Abrir no Maps</v>
      </c>
      <c r="M952" t="s">
        <v>6779</v>
      </c>
      <c r="N952" s="5"/>
      <c r="O952" t="str">
        <f>VLOOKUP(G952,'[1]CONFIG.'!$B:$C,2,0)</f>
        <v>IGOR</v>
      </c>
      <c r="P952" t="str">
        <f>VLOOKUP(O952,'[1]CONFIG.'!$C:$D,2,0)</f>
        <v>74 99590346</v>
      </c>
    </row>
    <row r="953" spans="1:16" x14ac:dyDescent="0.3">
      <c r="A953" t="s">
        <v>6780</v>
      </c>
      <c r="B953" t="s">
        <v>6781</v>
      </c>
      <c r="C953" t="s">
        <v>6782</v>
      </c>
      <c r="D953" t="s">
        <v>688</v>
      </c>
      <c r="E953" t="s">
        <v>6783</v>
      </c>
      <c r="F953" t="s">
        <v>137</v>
      </c>
      <c r="G953">
        <v>209</v>
      </c>
      <c r="H953">
        <v>500</v>
      </c>
      <c r="I953" s="5" t="s">
        <v>6784</v>
      </c>
      <c r="J953" s="5" t="s">
        <v>6785</v>
      </c>
      <c r="K953" s="5" t="str">
        <f t="shared" si="28"/>
        <v>https://www.google.com/maps?q=-11.135350, -42.111385</v>
      </c>
      <c r="L953" s="5" t="str">
        <f t="shared" si="29"/>
        <v>Abrir no Maps</v>
      </c>
      <c r="M953" t="s">
        <v>6786</v>
      </c>
      <c r="N953" s="5"/>
      <c r="O953" t="str">
        <f>VLOOKUP(G953,'[1]CONFIG.'!$B:$C,2,0)</f>
        <v>IGOR</v>
      </c>
      <c r="P953" t="str">
        <f>VLOOKUP(O953,'[1]CONFIG.'!$C:$D,2,0)</f>
        <v>74 99590346</v>
      </c>
    </row>
    <row r="954" spans="1:16" x14ac:dyDescent="0.3">
      <c r="A954" t="s">
        <v>6787</v>
      </c>
      <c r="B954" t="s">
        <v>6788</v>
      </c>
      <c r="C954" t="s">
        <v>6789</v>
      </c>
      <c r="D954" t="s">
        <v>688</v>
      </c>
      <c r="E954" t="s">
        <v>6790</v>
      </c>
      <c r="F954" t="s">
        <v>137</v>
      </c>
      <c r="G954">
        <v>209</v>
      </c>
      <c r="H954">
        <v>500</v>
      </c>
      <c r="I954" s="5" t="s">
        <v>6791</v>
      </c>
      <c r="J954" s="5" t="s">
        <v>6792</v>
      </c>
      <c r="K954" s="5" t="str">
        <f t="shared" si="28"/>
        <v>https://www.google.com/maps?q=-11.134830, -42.110830</v>
      </c>
      <c r="L954" s="5" t="str">
        <f t="shared" si="29"/>
        <v>Abrir no Maps</v>
      </c>
      <c r="M954" t="s">
        <v>6793</v>
      </c>
      <c r="N954" s="5"/>
      <c r="O954" t="str">
        <f>VLOOKUP(G954,'[1]CONFIG.'!$B:$C,2,0)</f>
        <v>IGOR</v>
      </c>
      <c r="P954" t="str">
        <f>VLOOKUP(O954,'[1]CONFIG.'!$C:$D,2,0)</f>
        <v>74 99590346</v>
      </c>
    </row>
    <row r="955" spans="1:16" x14ac:dyDescent="0.3">
      <c r="A955" t="s">
        <v>6794</v>
      </c>
      <c r="B955" t="s">
        <v>6795</v>
      </c>
      <c r="C955" t="s">
        <v>6796</v>
      </c>
      <c r="D955" t="s">
        <v>688</v>
      </c>
      <c r="E955" t="s">
        <v>6797</v>
      </c>
      <c r="F955" t="s">
        <v>137</v>
      </c>
      <c r="G955">
        <v>209</v>
      </c>
      <c r="H955">
        <v>500</v>
      </c>
      <c r="I955" s="5" t="s">
        <v>6798</v>
      </c>
      <c r="J955" s="5" t="s">
        <v>6799</v>
      </c>
      <c r="K955" s="5" t="str">
        <f t="shared" si="28"/>
        <v>https://www.google.com/maps?q=-11.134893, -42.110943</v>
      </c>
      <c r="L955" s="5" t="str">
        <f t="shared" si="29"/>
        <v>Abrir no Maps</v>
      </c>
      <c r="M955" t="s">
        <v>6800</v>
      </c>
      <c r="N955" s="5"/>
      <c r="O955" t="str">
        <f>VLOOKUP(G955,'[1]CONFIG.'!$B:$C,2,0)</f>
        <v>IGOR</v>
      </c>
      <c r="P955" t="str">
        <f>VLOOKUP(O955,'[1]CONFIG.'!$C:$D,2,0)</f>
        <v>74 99590346</v>
      </c>
    </row>
    <row r="956" spans="1:16" x14ac:dyDescent="0.3">
      <c r="A956" t="s">
        <v>6801</v>
      </c>
      <c r="B956" t="s">
        <v>6802</v>
      </c>
      <c r="C956" t="s">
        <v>6803</v>
      </c>
      <c r="D956" t="s">
        <v>688</v>
      </c>
      <c r="E956" t="s">
        <v>6804</v>
      </c>
      <c r="F956" t="s">
        <v>6805</v>
      </c>
      <c r="G956">
        <v>207</v>
      </c>
      <c r="H956">
        <v>500</v>
      </c>
      <c r="I956" s="5" t="s">
        <v>6806</v>
      </c>
      <c r="J956" s="5" t="s">
        <v>6807</v>
      </c>
      <c r="K956" s="5" t="str">
        <f t="shared" si="28"/>
        <v>https://www.google.com/maps?q=-11.148258, -41.985645</v>
      </c>
      <c r="L956" s="5" t="str">
        <f t="shared" si="29"/>
        <v>Abrir no Maps</v>
      </c>
      <c r="M956" t="s">
        <v>6808</v>
      </c>
      <c r="N956" s="5"/>
      <c r="O956" t="str">
        <f>VLOOKUP(G956,'[1]CONFIG.'!$B:$C,2,0)</f>
        <v>HIAGO</v>
      </c>
      <c r="P956" t="str">
        <f>VLOOKUP(O956,'[1]CONFIG.'!$C:$D,2,0)</f>
        <v>74 99872571</v>
      </c>
    </row>
    <row r="957" spans="1:16" x14ac:dyDescent="0.3">
      <c r="A957" t="s">
        <v>6809</v>
      </c>
      <c r="B957" t="s">
        <v>6810</v>
      </c>
      <c r="C957" t="s">
        <v>6811</v>
      </c>
      <c r="D957" t="s">
        <v>688</v>
      </c>
      <c r="E957" t="s">
        <v>6812</v>
      </c>
      <c r="F957" t="s">
        <v>6813</v>
      </c>
      <c r="G957">
        <v>209</v>
      </c>
      <c r="H957">
        <v>500</v>
      </c>
      <c r="I957" s="5" t="s">
        <v>6814</v>
      </c>
      <c r="J957" s="5" t="s">
        <v>6815</v>
      </c>
      <c r="K957" s="5" t="str">
        <f t="shared" si="28"/>
        <v>https://www.google.com/maps?q=-11.047488, -42.145855</v>
      </c>
      <c r="L957" s="5" t="str">
        <f t="shared" si="29"/>
        <v>Abrir no Maps</v>
      </c>
      <c r="M957" t="s">
        <v>6816</v>
      </c>
      <c r="N957" s="5"/>
      <c r="O957" t="str">
        <f>VLOOKUP(G957,'[1]CONFIG.'!$B:$C,2,0)</f>
        <v>IGOR</v>
      </c>
      <c r="P957" t="str">
        <f>VLOOKUP(O957,'[1]CONFIG.'!$C:$D,2,0)</f>
        <v>74 99590346</v>
      </c>
    </row>
    <row r="958" spans="1:16" x14ac:dyDescent="0.3">
      <c r="A958" t="s">
        <v>6817</v>
      </c>
      <c r="B958" t="s">
        <v>6818</v>
      </c>
      <c r="C958" t="s">
        <v>6819</v>
      </c>
      <c r="D958" t="s">
        <v>688</v>
      </c>
      <c r="E958" t="s">
        <v>6820</v>
      </c>
      <c r="F958" t="s">
        <v>137</v>
      </c>
      <c r="G958">
        <v>209</v>
      </c>
      <c r="H958">
        <v>500</v>
      </c>
      <c r="I958" s="5" t="s">
        <v>6821</v>
      </c>
      <c r="J958" s="5" t="s">
        <v>6822</v>
      </c>
      <c r="K958" s="5" t="str">
        <f t="shared" si="28"/>
        <v>https://www.google.com/maps?q=-11.136280, -42.105690</v>
      </c>
      <c r="L958" s="5" t="str">
        <f t="shared" si="29"/>
        <v>Abrir no Maps</v>
      </c>
      <c r="M958" t="s">
        <v>6823</v>
      </c>
      <c r="N958" s="5"/>
      <c r="O958" t="str">
        <f>VLOOKUP(G958,'[1]CONFIG.'!$B:$C,2,0)</f>
        <v>IGOR</v>
      </c>
      <c r="P958" t="str">
        <f>VLOOKUP(O958,'[1]CONFIG.'!$C:$D,2,0)</f>
        <v>74 99590346</v>
      </c>
    </row>
    <row r="959" spans="1:16" x14ac:dyDescent="0.3">
      <c r="A959" t="s">
        <v>6824</v>
      </c>
      <c r="B959" t="s">
        <v>6825</v>
      </c>
      <c r="C959" t="s">
        <v>6826</v>
      </c>
      <c r="D959" t="s">
        <v>688</v>
      </c>
      <c r="E959" t="s">
        <v>6827</v>
      </c>
      <c r="F959" t="s">
        <v>137</v>
      </c>
      <c r="G959">
        <v>209</v>
      </c>
      <c r="H959">
        <v>500</v>
      </c>
      <c r="I959" s="5" t="s">
        <v>6828</v>
      </c>
      <c r="J959" s="5" t="s">
        <v>6619</v>
      </c>
      <c r="K959" s="5" t="str">
        <f t="shared" si="28"/>
        <v>https://www.google.com/maps?q=-11.133837, -42.110000</v>
      </c>
      <c r="L959" s="5" t="str">
        <f t="shared" si="29"/>
        <v>Abrir no Maps</v>
      </c>
      <c r="M959" t="s">
        <v>6829</v>
      </c>
      <c r="N959" s="5"/>
      <c r="O959" t="str">
        <f>VLOOKUP(G959,'[1]CONFIG.'!$B:$C,2,0)</f>
        <v>IGOR</v>
      </c>
      <c r="P959" t="str">
        <f>VLOOKUP(O959,'[1]CONFIG.'!$C:$D,2,0)</f>
        <v>74 99590346</v>
      </c>
    </row>
    <row r="960" spans="1:16" x14ac:dyDescent="0.3">
      <c r="A960" t="s">
        <v>6830</v>
      </c>
      <c r="B960" t="s">
        <v>6831</v>
      </c>
      <c r="C960" t="s">
        <v>6832</v>
      </c>
      <c r="D960" t="s">
        <v>688</v>
      </c>
      <c r="E960" t="s">
        <v>6833</v>
      </c>
      <c r="F960" t="s">
        <v>137</v>
      </c>
      <c r="G960">
        <v>209</v>
      </c>
      <c r="H960">
        <v>500</v>
      </c>
      <c r="I960" s="5" t="s">
        <v>6834</v>
      </c>
      <c r="J960" s="5" t="s">
        <v>6835</v>
      </c>
      <c r="K960" s="5" t="str">
        <f t="shared" si="28"/>
        <v>https://www.google.com/maps?q=-11.135619, -42.111654</v>
      </c>
      <c r="L960" s="5" t="str">
        <f t="shared" si="29"/>
        <v>Abrir no Maps</v>
      </c>
      <c r="M960" t="s">
        <v>6836</v>
      </c>
      <c r="N960" s="5"/>
      <c r="O960" t="str">
        <f>VLOOKUP(G960,'[1]CONFIG.'!$B:$C,2,0)</f>
        <v>IGOR</v>
      </c>
      <c r="P960" t="str">
        <f>VLOOKUP(O960,'[1]CONFIG.'!$C:$D,2,0)</f>
        <v>74 99590346</v>
      </c>
    </row>
    <row r="961" spans="1:16" x14ac:dyDescent="0.3">
      <c r="A961" t="s">
        <v>6837</v>
      </c>
      <c r="B961" t="s">
        <v>6838</v>
      </c>
      <c r="C961" t="s">
        <v>6839</v>
      </c>
      <c r="D961" t="s">
        <v>688</v>
      </c>
      <c r="E961" t="s">
        <v>6840</v>
      </c>
      <c r="F961" t="s">
        <v>137</v>
      </c>
      <c r="G961">
        <v>209</v>
      </c>
      <c r="H961">
        <v>500</v>
      </c>
      <c r="I961" s="5" t="s">
        <v>6841</v>
      </c>
      <c r="J961" s="5" t="s">
        <v>6842</v>
      </c>
      <c r="K961" s="5" t="str">
        <f t="shared" si="28"/>
        <v>https://www.google.com/maps?q=-11.137394, -42.112001</v>
      </c>
      <c r="L961" s="5" t="str">
        <f t="shared" si="29"/>
        <v>Abrir no Maps</v>
      </c>
      <c r="M961" t="s">
        <v>6843</v>
      </c>
      <c r="N961" s="5"/>
      <c r="O961" t="str">
        <f>VLOOKUP(G961,'[1]CONFIG.'!$B:$C,2,0)</f>
        <v>IGOR</v>
      </c>
      <c r="P961" t="str">
        <f>VLOOKUP(O961,'[1]CONFIG.'!$C:$D,2,0)</f>
        <v>74 99590346</v>
      </c>
    </row>
    <row r="962" spans="1:16" x14ac:dyDescent="0.3">
      <c r="A962" t="s">
        <v>6844</v>
      </c>
      <c r="B962" t="s">
        <v>6845</v>
      </c>
      <c r="C962" t="s">
        <v>6846</v>
      </c>
      <c r="D962" t="s">
        <v>688</v>
      </c>
      <c r="E962" t="s">
        <v>6847</v>
      </c>
      <c r="F962" t="s">
        <v>137</v>
      </c>
      <c r="G962">
        <v>209</v>
      </c>
      <c r="H962">
        <v>500</v>
      </c>
      <c r="I962" s="5" t="s">
        <v>6848</v>
      </c>
      <c r="J962" s="5" t="s">
        <v>6849</v>
      </c>
      <c r="K962" s="5" t="str">
        <f t="shared" si="28"/>
        <v>https://www.google.com/maps?q=-11.137271, -42.112241</v>
      </c>
      <c r="L962" s="5" t="str">
        <f t="shared" si="29"/>
        <v>Abrir no Maps</v>
      </c>
      <c r="M962" t="s">
        <v>6850</v>
      </c>
      <c r="N962" s="5"/>
      <c r="O962" t="str">
        <f>VLOOKUP(G962,'[1]CONFIG.'!$B:$C,2,0)</f>
        <v>IGOR</v>
      </c>
      <c r="P962" t="str">
        <f>VLOOKUP(O962,'[1]CONFIG.'!$C:$D,2,0)</f>
        <v>74 99590346</v>
      </c>
    </row>
    <row r="963" spans="1:16" x14ac:dyDescent="0.3">
      <c r="A963" t="s">
        <v>6851</v>
      </c>
      <c r="B963" t="s">
        <v>6852</v>
      </c>
      <c r="C963" t="s">
        <v>6853</v>
      </c>
      <c r="D963" t="s">
        <v>688</v>
      </c>
      <c r="E963" t="s">
        <v>6854</v>
      </c>
      <c r="F963" t="s">
        <v>6855</v>
      </c>
      <c r="G963">
        <v>209</v>
      </c>
      <c r="H963">
        <v>500</v>
      </c>
      <c r="I963" s="5" t="s">
        <v>6856</v>
      </c>
      <c r="J963" s="5" t="s">
        <v>6857</v>
      </c>
      <c r="K963" s="5" t="str">
        <f t="shared" si="28"/>
        <v>https://www.google.com/maps?q=-11.180364, -42.019550</v>
      </c>
      <c r="L963" s="5" t="str">
        <f t="shared" si="29"/>
        <v>Abrir no Maps</v>
      </c>
      <c r="M963" t="s">
        <v>6858</v>
      </c>
      <c r="N963" s="5"/>
      <c r="O963" t="str">
        <f>VLOOKUP(G963,'[1]CONFIG.'!$B:$C,2,0)</f>
        <v>IGOR</v>
      </c>
      <c r="P963" t="str">
        <f>VLOOKUP(O963,'[1]CONFIG.'!$C:$D,2,0)</f>
        <v>74 99590346</v>
      </c>
    </row>
    <row r="964" spans="1:16" x14ac:dyDescent="0.3">
      <c r="A964" t="s">
        <v>6859</v>
      </c>
      <c r="B964" t="s">
        <v>6860</v>
      </c>
      <c r="C964" t="s">
        <v>6861</v>
      </c>
      <c r="D964" t="s">
        <v>688</v>
      </c>
      <c r="E964" t="s">
        <v>6862</v>
      </c>
      <c r="F964" t="s">
        <v>137</v>
      </c>
      <c r="G964">
        <v>209</v>
      </c>
      <c r="H964">
        <v>500</v>
      </c>
      <c r="I964" s="5" t="s">
        <v>6863</v>
      </c>
      <c r="J964" s="5" t="s">
        <v>6864</v>
      </c>
      <c r="K964" s="5" t="str">
        <f t="shared" ref="K964:K1027" si="30">"https://www.google.com/maps?q="&amp;""&amp;LEFT(I964,3)&amp;"."&amp;RIGHT(I964,6)&amp;", "&amp;LEFT(J964,3)&amp;"."&amp;RIGHT(J964,6)</f>
        <v>https://www.google.com/maps?q=-11.134269, -42.103749</v>
      </c>
      <c r="L964" s="5" t="str">
        <f t="shared" ref="L964:L1027" si="31">HYPERLINK(K964,"Abrir no Maps")</f>
        <v>Abrir no Maps</v>
      </c>
      <c r="M964" t="s">
        <v>6865</v>
      </c>
      <c r="N964" s="5"/>
      <c r="O964" t="str">
        <f>VLOOKUP(G964,'[1]CONFIG.'!$B:$C,2,0)</f>
        <v>IGOR</v>
      </c>
      <c r="P964" t="str">
        <f>VLOOKUP(O964,'[1]CONFIG.'!$C:$D,2,0)</f>
        <v>74 99590346</v>
      </c>
    </row>
    <row r="965" spans="1:16" x14ac:dyDescent="0.3">
      <c r="A965" t="s">
        <v>6866</v>
      </c>
      <c r="B965" t="s">
        <v>6867</v>
      </c>
      <c r="C965" t="s">
        <v>6868</v>
      </c>
      <c r="D965" t="s">
        <v>688</v>
      </c>
      <c r="E965" t="s">
        <v>6869</v>
      </c>
      <c r="F965" t="s">
        <v>688</v>
      </c>
      <c r="G965">
        <v>209</v>
      </c>
      <c r="H965">
        <v>500</v>
      </c>
      <c r="I965" s="5" t="s">
        <v>6870</v>
      </c>
      <c r="J965" s="5" t="s">
        <v>6871</v>
      </c>
      <c r="K965" s="5" t="str">
        <f t="shared" si="30"/>
        <v>https://www.google.com/maps?q=-11.133498, -42.109763</v>
      </c>
      <c r="L965" s="5" t="str">
        <f t="shared" si="31"/>
        <v>Abrir no Maps</v>
      </c>
      <c r="M965" t="s">
        <v>6872</v>
      </c>
      <c r="N965" s="5"/>
      <c r="O965" t="str">
        <f>VLOOKUP(G965,'[1]CONFIG.'!$B:$C,2,0)</f>
        <v>IGOR</v>
      </c>
      <c r="P965" t="str">
        <f>VLOOKUP(O965,'[1]CONFIG.'!$C:$D,2,0)</f>
        <v>74 99590346</v>
      </c>
    </row>
    <row r="966" spans="1:16" x14ac:dyDescent="0.3">
      <c r="A966" t="s">
        <v>6873</v>
      </c>
      <c r="B966" t="s">
        <v>6874</v>
      </c>
      <c r="C966" t="s">
        <v>6875</v>
      </c>
      <c r="D966" t="s">
        <v>6876</v>
      </c>
      <c r="E966" t="s">
        <v>6877</v>
      </c>
      <c r="F966" t="s">
        <v>137</v>
      </c>
      <c r="G966">
        <v>208</v>
      </c>
      <c r="H966">
        <v>200</v>
      </c>
      <c r="I966" s="5" t="s">
        <v>6878</v>
      </c>
      <c r="J966" s="5" t="s">
        <v>6879</v>
      </c>
      <c r="K966" s="5" t="str">
        <f t="shared" si="30"/>
        <v>https://www.google.com/maps?q=-11.430083, -42.505604</v>
      </c>
      <c r="L966" s="5" t="str">
        <f t="shared" si="31"/>
        <v>Abrir no Maps</v>
      </c>
      <c r="M966" t="s">
        <v>6880</v>
      </c>
      <c r="N966" s="5"/>
      <c r="O966" t="str">
        <f>VLOOKUP(G966,'[1]CONFIG.'!$B:$C,2,0)</f>
        <v>NEILTON</v>
      </c>
      <c r="P966" t="str">
        <f>VLOOKUP(O966,'[1]CONFIG.'!$C:$D,2,0)</f>
        <v>74 99857115</v>
      </c>
    </row>
    <row r="967" spans="1:16" x14ac:dyDescent="0.3">
      <c r="A967" t="s">
        <v>6881</v>
      </c>
      <c r="B967" t="s">
        <v>6882</v>
      </c>
      <c r="C967" t="s">
        <v>6883</v>
      </c>
      <c r="D967" t="s">
        <v>6876</v>
      </c>
      <c r="E967" t="s">
        <v>6884</v>
      </c>
      <c r="F967" t="s">
        <v>137</v>
      </c>
      <c r="G967">
        <v>208</v>
      </c>
      <c r="H967">
        <v>200</v>
      </c>
      <c r="I967" s="5" t="s">
        <v>6885</v>
      </c>
      <c r="J967" s="5" t="s">
        <v>6886</v>
      </c>
      <c r="K967" s="5" t="str">
        <f t="shared" si="30"/>
        <v>https://www.google.com/maps?q=-11.435068, -42.507423</v>
      </c>
      <c r="L967" s="5" t="str">
        <f t="shared" si="31"/>
        <v>Abrir no Maps</v>
      </c>
      <c r="M967" t="s">
        <v>6887</v>
      </c>
      <c r="N967" s="5"/>
      <c r="O967" t="str">
        <f>VLOOKUP(G967,'[1]CONFIG.'!$B:$C,2,0)</f>
        <v>NEILTON</v>
      </c>
      <c r="P967" t="str">
        <f>VLOOKUP(O967,'[1]CONFIG.'!$C:$D,2,0)</f>
        <v>74 99857115</v>
      </c>
    </row>
    <row r="968" spans="1:16" x14ac:dyDescent="0.3">
      <c r="A968" t="s">
        <v>6888</v>
      </c>
      <c r="B968" t="s">
        <v>6889</v>
      </c>
      <c r="C968" t="s">
        <v>6890</v>
      </c>
      <c r="D968" t="s">
        <v>6876</v>
      </c>
      <c r="E968" t="s">
        <v>6891</v>
      </c>
      <c r="F968" t="s">
        <v>137</v>
      </c>
      <c r="G968">
        <v>208</v>
      </c>
      <c r="H968">
        <v>200</v>
      </c>
      <c r="I968" s="5" t="s">
        <v>6892</v>
      </c>
      <c r="J968" s="5" t="s">
        <v>6893</v>
      </c>
      <c r="K968" s="5" t="str">
        <f t="shared" si="30"/>
        <v>https://www.google.com/maps?q=-11.428926, -42.506645</v>
      </c>
      <c r="L968" s="5" t="str">
        <f t="shared" si="31"/>
        <v>Abrir no Maps</v>
      </c>
      <c r="M968" t="s">
        <v>6894</v>
      </c>
      <c r="N968" s="5"/>
      <c r="O968" t="str">
        <f>VLOOKUP(G968,'[1]CONFIG.'!$B:$C,2,0)</f>
        <v>NEILTON</v>
      </c>
      <c r="P968" t="str">
        <f>VLOOKUP(O968,'[1]CONFIG.'!$C:$D,2,0)</f>
        <v>74 99857115</v>
      </c>
    </row>
    <row r="969" spans="1:16" x14ac:dyDescent="0.3">
      <c r="A969" t="s">
        <v>6895</v>
      </c>
      <c r="B969" t="s">
        <v>6896</v>
      </c>
      <c r="C969" t="s">
        <v>6897</v>
      </c>
      <c r="D969" t="s">
        <v>6876</v>
      </c>
      <c r="E969" t="s">
        <v>6898</v>
      </c>
      <c r="F969" t="s">
        <v>6899</v>
      </c>
      <c r="G969">
        <v>208</v>
      </c>
      <c r="H969">
        <v>200</v>
      </c>
      <c r="I969" s="5" t="s">
        <v>6900</v>
      </c>
      <c r="J969" s="5" t="s">
        <v>6901</v>
      </c>
      <c r="K969" s="5" t="str">
        <f t="shared" si="30"/>
        <v>https://www.google.com/maps?q=-11.111986, -42.721760</v>
      </c>
      <c r="L969" s="5" t="str">
        <f t="shared" si="31"/>
        <v>Abrir no Maps</v>
      </c>
      <c r="M969" t="s">
        <v>6902</v>
      </c>
      <c r="N969" s="5"/>
      <c r="O969" t="str">
        <f>VLOOKUP(G969,'[1]CONFIG.'!$B:$C,2,0)</f>
        <v>NEILTON</v>
      </c>
      <c r="P969" t="str">
        <f>VLOOKUP(O969,'[1]CONFIG.'!$C:$D,2,0)</f>
        <v>74 99857115</v>
      </c>
    </row>
    <row r="970" spans="1:16" x14ac:dyDescent="0.3">
      <c r="A970" t="s">
        <v>6903</v>
      </c>
      <c r="B970" t="s">
        <v>6904</v>
      </c>
      <c r="C970" t="s">
        <v>6905</v>
      </c>
      <c r="D970" t="s">
        <v>6876</v>
      </c>
      <c r="E970" t="s">
        <v>6906</v>
      </c>
      <c r="F970" t="s">
        <v>137</v>
      </c>
      <c r="G970">
        <v>208</v>
      </c>
      <c r="H970">
        <v>200</v>
      </c>
      <c r="I970" s="5" t="s">
        <v>6907</v>
      </c>
      <c r="J970" s="5" t="s">
        <v>6908</v>
      </c>
      <c r="K970" s="5" t="str">
        <f t="shared" si="30"/>
        <v>https://www.google.com/maps?q=-11.430761, -42.506027</v>
      </c>
      <c r="L970" s="5" t="str">
        <f t="shared" si="31"/>
        <v>Abrir no Maps</v>
      </c>
      <c r="M970" t="s">
        <v>6909</v>
      </c>
      <c r="N970" s="5"/>
      <c r="O970" t="str">
        <f>VLOOKUP(G970,'[1]CONFIG.'!$B:$C,2,0)</f>
        <v>NEILTON</v>
      </c>
      <c r="P970" t="str">
        <f>VLOOKUP(O970,'[1]CONFIG.'!$C:$D,2,0)</f>
        <v>74 99857115</v>
      </c>
    </row>
    <row r="971" spans="1:16" x14ac:dyDescent="0.3">
      <c r="A971" t="s">
        <v>6910</v>
      </c>
      <c r="B971" t="s">
        <v>6911</v>
      </c>
      <c r="C971" t="s">
        <v>6912</v>
      </c>
      <c r="D971" t="s">
        <v>6876</v>
      </c>
      <c r="E971" t="s">
        <v>6913</v>
      </c>
      <c r="F971" t="s">
        <v>6914</v>
      </c>
      <c r="G971">
        <v>208</v>
      </c>
      <c r="H971">
        <v>200</v>
      </c>
      <c r="I971" s="5" t="s">
        <v>6915</v>
      </c>
      <c r="J971" s="5" t="s">
        <v>6916</v>
      </c>
      <c r="K971" s="5" t="str">
        <f t="shared" si="30"/>
        <v>https://www.google.com/maps?q=-11.429500, -42.504880</v>
      </c>
      <c r="L971" s="5" t="str">
        <f t="shared" si="31"/>
        <v>Abrir no Maps</v>
      </c>
      <c r="M971" t="s">
        <v>6917</v>
      </c>
      <c r="N971" s="5"/>
      <c r="O971" t="str">
        <f>VLOOKUP(G971,'[1]CONFIG.'!$B:$C,2,0)</f>
        <v>NEILTON</v>
      </c>
      <c r="P971" t="str">
        <f>VLOOKUP(O971,'[1]CONFIG.'!$C:$D,2,0)</f>
        <v>74 99857115</v>
      </c>
    </row>
    <row r="972" spans="1:16" x14ac:dyDescent="0.3">
      <c r="A972" t="s">
        <v>6918</v>
      </c>
      <c r="B972" t="s">
        <v>6919</v>
      </c>
      <c r="C972" t="s">
        <v>6920</v>
      </c>
      <c r="D972" t="s">
        <v>6876</v>
      </c>
      <c r="E972" t="s">
        <v>6921</v>
      </c>
      <c r="F972" t="s">
        <v>6922</v>
      </c>
      <c r="G972">
        <v>208</v>
      </c>
      <c r="H972">
        <v>200</v>
      </c>
      <c r="I972" s="5" t="s">
        <v>6923</v>
      </c>
      <c r="J972" s="5" t="s">
        <v>6924</v>
      </c>
      <c r="K972" s="5" t="str">
        <f t="shared" si="30"/>
        <v>https://www.google.com/maps?q=-11.400833, -42.664722</v>
      </c>
      <c r="L972" s="5" t="str">
        <f t="shared" si="31"/>
        <v>Abrir no Maps</v>
      </c>
      <c r="M972" t="s">
        <v>6925</v>
      </c>
      <c r="N972" s="5"/>
      <c r="O972" t="str">
        <f>VLOOKUP(G972,'[1]CONFIG.'!$B:$C,2,0)</f>
        <v>NEILTON</v>
      </c>
      <c r="P972" t="str">
        <f>VLOOKUP(O972,'[1]CONFIG.'!$C:$D,2,0)</f>
        <v>74 99857115</v>
      </c>
    </row>
    <row r="973" spans="1:16" x14ac:dyDescent="0.3">
      <c r="A973" t="s">
        <v>6926</v>
      </c>
      <c r="B973" t="s">
        <v>6927</v>
      </c>
      <c r="C973" t="s">
        <v>6928</v>
      </c>
      <c r="D973" t="s">
        <v>6876</v>
      </c>
      <c r="E973" t="s">
        <v>6929</v>
      </c>
      <c r="F973" t="s">
        <v>137</v>
      </c>
      <c r="G973">
        <v>208</v>
      </c>
      <c r="H973">
        <v>200</v>
      </c>
      <c r="I973" s="5" t="s">
        <v>6930</v>
      </c>
      <c r="J973" s="5" t="s">
        <v>6931</v>
      </c>
      <c r="K973" s="5" t="str">
        <f t="shared" si="30"/>
        <v>https://www.google.com/maps?q=-11.429444, -42.505280</v>
      </c>
      <c r="L973" s="5" t="str">
        <f t="shared" si="31"/>
        <v>Abrir no Maps</v>
      </c>
      <c r="M973" t="s">
        <v>6932</v>
      </c>
      <c r="N973" s="5"/>
      <c r="O973" t="str">
        <f>VLOOKUP(G973,'[1]CONFIG.'!$B:$C,2,0)</f>
        <v>NEILTON</v>
      </c>
      <c r="P973" t="str">
        <f>VLOOKUP(O973,'[1]CONFIG.'!$C:$D,2,0)</f>
        <v>74 99857115</v>
      </c>
    </row>
    <row r="974" spans="1:16" x14ac:dyDescent="0.3">
      <c r="A974" t="s">
        <v>6933</v>
      </c>
      <c r="B974" t="s">
        <v>6934</v>
      </c>
      <c r="C974" t="s">
        <v>6935</v>
      </c>
      <c r="D974" t="s">
        <v>6876</v>
      </c>
      <c r="E974" t="s">
        <v>6936</v>
      </c>
      <c r="F974" t="s">
        <v>137</v>
      </c>
      <c r="G974">
        <v>208</v>
      </c>
      <c r="H974">
        <v>200</v>
      </c>
      <c r="I974" s="5" t="s">
        <v>6937</v>
      </c>
      <c r="J974" s="5" t="s">
        <v>6938</v>
      </c>
      <c r="K974" s="5" t="str">
        <f t="shared" si="30"/>
        <v>https://www.google.com/maps?q=-11.430762, -42.508050</v>
      </c>
      <c r="L974" s="5" t="str">
        <f t="shared" si="31"/>
        <v>Abrir no Maps</v>
      </c>
      <c r="M974" t="s">
        <v>6939</v>
      </c>
      <c r="N974" s="5"/>
      <c r="O974" t="str">
        <f>VLOOKUP(G974,'[1]CONFIG.'!$B:$C,2,0)</f>
        <v>NEILTON</v>
      </c>
      <c r="P974" t="str">
        <f>VLOOKUP(O974,'[1]CONFIG.'!$C:$D,2,0)</f>
        <v>74 99857115</v>
      </c>
    </row>
    <row r="975" spans="1:16" x14ac:dyDescent="0.3">
      <c r="A975" t="s">
        <v>6940</v>
      </c>
      <c r="B975" t="s">
        <v>6941</v>
      </c>
      <c r="C975" t="s">
        <v>6942</v>
      </c>
      <c r="D975" t="s">
        <v>6876</v>
      </c>
      <c r="E975" t="s">
        <v>6943</v>
      </c>
      <c r="F975" t="s">
        <v>137</v>
      </c>
      <c r="G975">
        <v>208</v>
      </c>
      <c r="H975">
        <v>200</v>
      </c>
      <c r="I975" s="5" t="s">
        <v>6944</v>
      </c>
      <c r="J975" s="5" t="s">
        <v>6945</v>
      </c>
      <c r="K975" s="5" t="str">
        <f t="shared" si="30"/>
        <v>https://www.google.com/maps?q=-11.432404, -42.506153</v>
      </c>
      <c r="L975" s="5" t="str">
        <f t="shared" si="31"/>
        <v>Abrir no Maps</v>
      </c>
      <c r="M975" t="s">
        <v>6946</v>
      </c>
      <c r="N975" s="5"/>
      <c r="O975" t="str">
        <f>VLOOKUP(G975,'[1]CONFIG.'!$B:$C,2,0)</f>
        <v>NEILTON</v>
      </c>
      <c r="P975" t="str">
        <f>VLOOKUP(O975,'[1]CONFIG.'!$C:$D,2,0)</f>
        <v>74 99857115</v>
      </c>
    </row>
    <row r="976" spans="1:16" x14ac:dyDescent="0.3">
      <c r="A976" t="s">
        <v>6947</v>
      </c>
      <c r="B976" t="s">
        <v>6948</v>
      </c>
      <c r="C976" t="s">
        <v>6949</v>
      </c>
      <c r="D976" t="s">
        <v>6876</v>
      </c>
      <c r="E976" t="s">
        <v>6950</v>
      </c>
      <c r="F976" t="s">
        <v>137</v>
      </c>
      <c r="G976">
        <v>208</v>
      </c>
      <c r="H976">
        <v>200</v>
      </c>
      <c r="I976" s="5" t="s">
        <v>6951</v>
      </c>
      <c r="J976" s="5" t="s">
        <v>6952</v>
      </c>
      <c r="K976" s="5" t="str">
        <f t="shared" si="30"/>
        <v>https://www.google.com/maps?q=-11.429618, -42.504800</v>
      </c>
      <c r="L976" s="5" t="str">
        <f t="shared" si="31"/>
        <v>Abrir no Maps</v>
      </c>
      <c r="M976" t="s">
        <v>6953</v>
      </c>
      <c r="N976" s="5"/>
      <c r="O976" t="str">
        <f>VLOOKUP(G976,'[1]CONFIG.'!$B:$C,2,0)</f>
        <v>NEILTON</v>
      </c>
      <c r="P976" t="str">
        <f>VLOOKUP(O976,'[1]CONFIG.'!$C:$D,2,0)</f>
        <v>74 99857115</v>
      </c>
    </row>
    <row r="977" spans="1:16" x14ac:dyDescent="0.3">
      <c r="A977" t="s">
        <v>6954</v>
      </c>
      <c r="B977" t="s">
        <v>6955</v>
      </c>
      <c r="C977" t="s">
        <v>6956</v>
      </c>
      <c r="D977" t="s">
        <v>6876</v>
      </c>
      <c r="E977" t="s">
        <v>6957</v>
      </c>
      <c r="F977" t="s">
        <v>6958</v>
      </c>
      <c r="G977">
        <v>208</v>
      </c>
      <c r="H977">
        <v>200</v>
      </c>
      <c r="I977" s="5" t="s">
        <v>6959</v>
      </c>
      <c r="J977" s="5" t="s">
        <v>6960</v>
      </c>
      <c r="K977" s="5" t="str">
        <f t="shared" si="30"/>
        <v>https://www.google.com/maps?q=-11.045498, -42.734942</v>
      </c>
      <c r="L977" s="5" t="str">
        <f t="shared" si="31"/>
        <v>Abrir no Maps</v>
      </c>
      <c r="M977" t="s">
        <v>6961</v>
      </c>
      <c r="N977" s="5"/>
      <c r="O977" t="str">
        <f>VLOOKUP(G977,'[1]CONFIG.'!$B:$C,2,0)</f>
        <v>NEILTON</v>
      </c>
      <c r="P977" t="str">
        <f>VLOOKUP(O977,'[1]CONFIG.'!$C:$D,2,0)</f>
        <v>74 99857115</v>
      </c>
    </row>
    <row r="978" spans="1:16" x14ac:dyDescent="0.3">
      <c r="A978" t="s">
        <v>6962</v>
      </c>
      <c r="B978" t="s">
        <v>6963</v>
      </c>
      <c r="C978" t="s">
        <v>6964</v>
      </c>
      <c r="D978" t="s">
        <v>6876</v>
      </c>
      <c r="E978" t="s">
        <v>6965</v>
      </c>
      <c r="F978" t="s">
        <v>137</v>
      </c>
      <c r="G978">
        <v>208</v>
      </c>
      <c r="H978">
        <v>200</v>
      </c>
      <c r="I978" s="5" t="s">
        <v>6966</v>
      </c>
      <c r="J978" s="5" t="s">
        <v>6967</v>
      </c>
      <c r="K978" s="5" t="str">
        <f t="shared" si="30"/>
        <v>https://www.google.com/maps?q=-11.431726, -42.505406</v>
      </c>
      <c r="L978" s="5" t="str">
        <f t="shared" si="31"/>
        <v>Abrir no Maps</v>
      </c>
      <c r="M978" t="s">
        <v>6968</v>
      </c>
      <c r="N978" s="5"/>
      <c r="O978" t="str">
        <f>VLOOKUP(G978,'[1]CONFIG.'!$B:$C,2,0)</f>
        <v>NEILTON</v>
      </c>
      <c r="P978" t="str">
        <f>VLOOKUP(O978,'[1]CONFIG.'!$C:$D,2,0)</f>
        <v>74 99857115</v>
      </c>
    </row>
    <row r="979" spans="1:16" x14ac:dyDescent="0.3">
      <c r="A979" t="s">
        <v>6969</v>
      </c>
      <c r="B979" t="s">
        <v>6970</v>
      </c>
      <c r="C979" t="s">
        <v>6971</v>
      </c>
      <c r="D979" t="s">
        <v>6876</v>
      </c>
      <c r="E979" t="s">
        <v>6972</v>
      </c>
      <c r="F979" t="s">
        <v>6922</v>
      </c>
      <c r="G979">
        <v>208</v>
      </c>
      <c r="H979">
        <v>200</v>
      </c>
      <c r="I979" s="5" t="s">
        <v>6973</v>
      </c>
      <c r="J979" s="5" t="s">
        <v>6974</v>
      </c>
      <c r="K979" s="5" t="str">
        <f t="shared" si="30"/>
        <v>https://www.google.com/maps?q=-11.401423, -42.663974</v>
      </c>
      <c r="L979" s="5" t="str">
        <f t="shared" si="31"/>
        <v>Abrir no Maps</v>
      </c>
      <c r="M979" t="s">
        <v>6975</v>
      </c>
      <c r="N979" s="5"/>
      <c r="O979" t="str">
        <f>VLOOKUP(G979,'[1]CONFIG.'!$B:$C,2,0)</f>
        <v>NEILTON</v>
      </c>
      <c r="P979" t="str">
        <f>VLOOKUP(O979,'[1]CONFIG.'!$C:$D,2,0)</f>
        <v>74 99857115</v>
      </c>
    </row>
    <row r="980" spans="1:16" x14ac:dyDescent="0.3">
      <c r="A980" t="s">
        <v>6976</v>
      </c>
      <c r="B980" t="s">
        <v>6977</v>
      </c>
      <c r="C980" t="s">
        <v>6978</v>
      </c>
      <c r="D980" t="s">
        <v>260</v>
      </c>
      <c r="E980" t="s">
        <v>6979</v>
      </c>
      <c r="F980" t="s">
        <v>6980</v>
      </c>
      <c r="G980">
        <v>204</v>
      </c>
      <c r="H980">
        <v>500</v>
      </c>
      <c r="I980" s="5" t="s">
        <v>6981</v>
      </c>
      <c r="J980" s="5" t="s">
        <v>6982</v>
      </c>
      <c r="K980" s="5" t="str">
        <f t="shared" si="30"/>
        <v>https://www.google.com/maps?q=-11.498484, -42.007526</v>
      </c>
      <c r="L980" s="5" t="str">
        <f t="shared" si="31"/>
        <v>Abrir no Maps</v>
      </c>
      <c r="M980" t="s">
        <v>6983</v>
      </c>
      <c r="N980" s="5"/>
      <c r="O980" t="str">
        <f>VLOOKUP(G980,'[1]CONFIG.'!$B:$C,2,0)</f>
        <v>EVA</v>
      </c>
      <c r="P980" t="str">
        <f>VLOOKUP(O980,'[1]CONFIG.'!$C:$D,2,0)</f>
        <v>74 98046078</v>
      </c>
    </row>
    <row r="981" spans="1:16" x14ac:dyDescent="0.3">
      <c r="A981" t="s">
        <v>6984</v>
      </c>
      <c r="B981" t="s">
        <v>6985</v>
      </c>
      <c r="C981" t="s">
        <v>6986</v>
      </c>
      <c r="D981" t="s">
        <v>260</v>
      </c>
      <c r="E981" t="s">
        <v>6987</v>
      </c>
      <c r="F981" t="s">
        <v>137</v>
      </c>
      <c r="G981">
        <v>204</v>
      </c>
      <c r="H981">
        <v>500</v>
      </c>
      <c r="I981" s="5" t="s">
        <v>6988</v>
      </c>
      <c r="J981" s="5" t="s">
        <v>6989</v>
      </c>
      <c r="K981" s="5" t="str">
        <f t="shared" si="30"/>
        <v>https://www.google.com/maps?q=-11.547568, -41.980070</v>
      </c>
      <c r="L981" s="5" t="str">
        <f t="shared" si="31"/>
        <v>Abrir no Maps</v>
      </c>
      <c r="M981" t="s">
        <v>6990</v>
      </c>
      <c r="N981" s="5"/>
      <c r="O981" t="str">
        <f>VLOOKUP(G981,'[1]CONFIG.'!$B:$C,2,0)</f>
        <v>EVA</v>
      </c>
      <c r="P981" t="str">
        <f>VLOOKUP(O981,'[1]CONFIG.'!$C:$D,2,0)</f>
        <v>74 98046078</v>
      </c>
    </row>
    <row r="982" spans="1:16" x14ac:dyDescent="0.3">
      <c r="A982" t="s">
        <v>6991</v>
      </c>
      <c r="B982" t="s">
        <v>6992</v>
      </c>
      <c r="C982" t="s">
        <v>6993</v>
      </c>
      <c r="D982" t="s">
        <v>260</v>
      </c>
      <c r="E982" t="s">
        <v>6994</v>
      </c>
      <c r="F982" t="s">
        <v>137</v>
      </c>
      <c r="G982">
        <v>204</v>
      </c>
      <c r="H982">
        <v>500</v>
      </c>
      <c r="I982" s="5" t="s">
        <v>6995</v>
      </c>
      <c r="J982" s="5" t="s">
        <v>6996</v>
      </c>
      <c r="K982" s="5" t="str">
        <f t="shared" si="30"/>
        <v>https://www.google.com/maps?q=-11.546942, -41.978817</v>
      </c>
      <c r="L982" s="5" t="str">
        <f t="shared" si="31"/>
        <v>Abrir no Maps</v>
      </c>
      <c r="M982" t="s">
        <v>6997</v>
      </c>
      <c r="N982" s="5"/>
      <c r="O982" t="str">
        <f>VLOOKUP(G982,'[1]CONFIG.'!$B:$C,2,0)</f>
        <v>EVA</v>
      </c>
      <c r="P982" t="str">
        <f>VLOOKUP(O982,'[1]CONFIG.'!$C:$D,2,0)</f>
        <v>74 98046078</v>
      </c>
    </row>
    <row r="983" spans="1:16" x14ac:dyDescent="0.3">
      <c r="A983" t="s">
        <v>6998</v>
      </c>
      <c r="B983" t="s">
        <v>6999</v>
      </c>
      <c r="C983" t="s">
        <v>7000</v>
      </c>
      <c r="D983" t="s">
        <v>260</v>
      </c>
      <c r="E983" t="s">
        <v>7001</v>
      </c>
      <c r="F983" t="s">
        <v>7002</v>
      </c>
      <c r="G983">
        <v>204</v>
      </c>
      <c r="H983">
        <v>500</v>
      </c>
      <c r="I983" s="5" t="s">
        <v>7003</v>
      </c>
      <c r="J983" s="5" t="s">
        <v>7004</v>
      </c>
      <c r="K983" s="5" t="str">
        <f t="shared" si="30"/>
        <v>https://www.google.com/maps?q=-11.546425, -41.983337</v>
      </c>
      <c r="L983" s="5" t="str">
        <f t="shared" si="31"/>
        <v>Abrir no Maps</v>
      </c>
      <c r="M983" t="s">
        <v>7005</v>
      </c>
      <c r="N983" s="5"/>
      <c r="O983" t="str">
        <f>VLOOKUP(G983,'[1]CONFIG.'!$B:$C,2,0)</f>
        <v>EVA</v>
      </c>
      <c r="P983" t="str">
        <f>VLOOKUP(O983,'[1]CONFIG.'!$C:$D,2,0)</f>
        <v>74 98046078</v>
      </c>
    </row>
    <row r="984" spans="1:16" x14ac:dyDescent="0.3">
      <c r="A984" t="s">
        <v>7006</v>
      </c>
      <c r="B984" t="s">
        <v>7007</v>
      </c>
      <c r="C984" t="s">
        <v>7008</v>
      </c>
      <c r="D984" t="s">
        <v>260</v>
      </c>
      <c r="E984" t="s">
        <v>7009</v>
      </c>
      <c r="F984" t="s">
        <v>137</v>
      </c>
      <c r="G984">
        <v>204</v>
      </c>
      <c r="H984">
        <v>500</v>
      </c>
      <c r="I984" s="5" t="s">
        <v>7010</v>
      </c>
      <c r="J984" s="5" t="s">
        <v>7011</v>
      </c>
      <c r="K984" s="5" t="str">
        <f t="shared" si="30"/>
        <v>https://www.google.com/maps?q=-11.546467, -41.978880</v>
      </c>
      <c r="L984" s="5" t="str">
        <f t="shared" si="31"/>
        <v>Abrir no Maps</v>
      </c>
      <c r="M984" t="s">
        <v>7012</v>
      </c>
      <c r="N984" s="5"/>
      <c r="O984" t="str">
        <f>VLOOKUP(G984,'[1]CONFIG.'!$B:$C,2,0)</f>
        <v>EVA</v>
      </c>
      <c r="P984" t="str">
        <f>VLOOKUP(O984,'[1]CONFIG.'!$C:$D,2,0)</f>
        <v>74 98046078</v>
      </c>
    </row>
    <row r="985" spans="1:16" x14ac:dyDescent="0.3">
      <c r="A985" t="s">
        <v>7013</v>
      </c>
      <c r="B985" t="s">
        <v>7014</v>
      </c>
      <c r="C985" t="s">
        <v>7015</v>
      </c>
      <c r="D985" t="s">
        <v>260</v>
      </c>
      <c r="E985" t="s">
        <v>7016</v>
      </c>
      <c r="F985" t="s">
        <v>137</v>
      </c>
      <c r="G985">
        <v>204</v>
      </c>
      <c r="H985">
        <v>500</v>
      </c>
      <c r="I985" s="5" t="s">
        <v>7017</v>
      </c>
      <c r="J985" s="5" t="s">
        <v>7018</v>
      </c>
      <c r="K985" s="5" t="str">
        <f t="shared" si="30"/>
        <v>https://www.google.com/maps?q=-11.544363, -41.971462</v>
      </c>
      <c r="L985" s="5" t="str">
        <f t="shared" si="31"/>
        <v>Abrir no Maps</v>
      </c>
      <c r="M985" t="s">
        <v>7019</v>
      </c>
      <c r="N985" s="5"/>
      <c r="O985" t="str">
        <f>VLOOKUP(G985,'[1]CONFIG.'!$B:$C,2,0)</f>
        <v>EVA</v>
      </c>
      <c r="P985" t="str">
        <f>VLOOKUP(O985,'[1]CONFIG.'!$C:$D,2,0)</f>
        <v>74 98046078</v>
      </c>
    </row>
    <row r="986" spans="1:16" x14ac:dyDescent="0.3">
      <c r="A986" t="s">
        <v>7020</v>
      </c>
      <c r="B986" t="s">
        <v>7021</v>
      </c>
      <c r="C986" t="s">
        <v>7022</v>
      </c>
      <c r="D986" t="s">
        <v>260</v>
      </c>
      <c r="E986" t="s">
        <v>7023</v>
      </c>
      <c r="F986" t="s">
        <v>137</v>
      </c>
      <c r="G986">
        <v>204</v>
      </c>
      <c r="H986">
        <v>500</v>
      </c>
      <c r="I986" s="5" t="s">
        <v>7024</v>
      </c>
      <c r="J986" s="5" t="s">
        <v>7025</v>
      </c>
      <c r="K986" s="5" t="str">
        <f t="shared" si="30"/>
        <v>https://www.google.com/maps?q=-11.543418, -41.981251</v>
      </c>
      <c r="L986" s="5" t="str">
        <f t="shared" si="31"/>
        <v>Abrir no Maps</v>
      </c>
      <c r="M986" t="s">
        <v>7026</v>
      </c>
      <c r="N986" s="5"/>
      <c r="O986" t="str">
        <f>VLOOKUP(G986,'[1]CONFIG.'!$B:$C,2,0)</f>
        <v>EVA</v>
      </c>
      <c r="P986" t="str">
        <f>VLOOKUP(O986,'[1]CONFIG.'!$C:$D,2,0)</f>
        <v>74 98046078</v>
      </c>
    </row>
    <row r="987" spans="1:16" x14ac:dyDescent="0.3">
      <c r="A987" t="s">
        <v>7027</v>
      </c>
      <c r="B987" t="s">
        <v>7028</v>
      </c>
      <c r="C987" t="s">
        <v>7029</v>
      </c>
      <c r="D987" t="s">
        <v>260</v>
      </c>
      <c r="E987" t="s">
        <v>7030</v>
      </c>
      <c r="F987" t="s">
        <v>137</v>
      </c>
      <c r="G987">
        <v>204</v>
      </c>
      <c r="H987">
        <v>500</v>
      </c>
      <c r="I987" s="5" t="s">
        <v>7031</v>
      </c>
      <c r="J987" s="5" t="s">
        <v>7032</v>
      </c>
      <c r="K987" s="5" t="str">
        <f t="shared" si="30"/>
        <v>https://www.google.com/maps?q=-11.545005, -41.979290</v>
      </c>
      <c r="L987" s="5" t="str">
        <f t="shared" si="31"/>
        <v>Abrir no Maps</v>
      </c>
      <c r="M987" t="s">
        <v>7033</v>
      </c>
      <c r="N987" s="5"/>
      <c r="O987" t="str">
        <f>VLOOKUP(G987,'[1]CONFIG.'!$B:$C,2,0)</f>
        <v>EVA</v>
      </c>
      <c r="P987" t="str">
        <f>VLOOKUP(O987,'[1]CONFIG.'!$C:$D,2,0)</f>
        <v>74 98046078</v>
      </c>
    </row>
    <row r="988" spans="1:16" x14ac:dyDescent="0.3">
      <c r="A988" t="s">
        <v>7034</v>
      </c>
      <c r="B988" t="s">
        <v>7035</v>
      </c>
      <c r="C988" t="s">
        <v>7036</v>
      </c>
      <c r="D988" t="s">
        <v>260</v>
      </c>
      <c r="E988" t="s">
        <v>7037</v>
      </c>
      <c r="F988" t="s">
        <v>7002</v>
      </c>
      <c r="G988">
        <v>204</v>
      </c>
      <c r="H988">
        <v>500</v>
      </c>
      <c r="I988" s="5" t="s">
        <v>7038</v>
      </c>
      <c r="J988" s="5" t="s">
        <v>7039</v>
      </c>
      <c r="K988" s="5" t="str">
        <f t="shared" si="30"/>
        <v>https://www.google.com/maps?q=-11.546413, -41.983353</v>
      </c>
      <c r="L988" s="5" t="str">
        <f t="shared" si="31"/>
        <v>Abrir no Maps</v>
      </c>
      <c r="M988" t="s">
        <v>7040</v>
      </c>
      <c r="N988" s="5"/>
      <c r="O988" t="str">
        <f>VLOOKUP(G988,'[1]CONFIG.'!$B:$C,2,0)</f>
        <v>EVA</v>
      </c>
      <c r="P988" t="str">
        <f>VLOOKUP(O988,'[1]CONFIG.'!$C:$D,2,0)</f>
        <v>74 98046078</v>
      </c>
    </row>
    <row r="989" spans="1:16" x14ac:dyDescent="0.3">
      <c r="A989" t="s">
        <v>7041</v>
      </c>
      <c r="B989" t="s">
        <v>7042</v>
      </c>
      <c r="C989" t="s">
        <v>7043</v>
      </c>
      <c r="D989" t="s">
        <v>260</v>
      </c>
      <c r="E989" t="s">
        <v>7044</v>
      </c>
      <c r="F989" t="s">
        <v>137</v>
      </c>
      <c r="G989">
        <v>204</v>
      </c>
      <c r="H989">
        <v>500</v>
      </c>
      <c r="I989" s="5" t="s">
        <v>7045</v>
      </c>
      <c r="J989" s="5" t="s">
        <v>7046</v>
      </c>
      <c r="K989" s="5" t="str">
        <f t="shared" si="30"/>
        <v>https://www.google.com/maps?q=-11.546383, -41.977913</v>
      </c>
      <c r="L989" s="5" t="str">
        <f t="shared" si="31"/>
        <v>Abrir no Maps</v>
      </c>
      <c r="M989" t="s">
        <v>7047</v>
      </c>
      <c r="N989" s="5"/>
      <c r="O989" t="str">
        <f>VLOOKUP(G989,'[1]CONFIG.'!$B:$C,2,0)</f>
        <v>EVA</v>
      </c>
      <c r="P989" t="str">
        <f>VLOOKUP(O989,'[1]CONFIG.'!$C:$D,2,0)</f>
        <v>74 98046078</v>
      </c>
    </row>
    <row r="990" spans="1:16" x14ac:dyDescent="0.3">
      <c r="A990" t="s">
        <v>7048</v>
      </c>
      <c r="B990" t="s">
        <v>7049</v>
      </c>
      <c r="C990" t="s">
        <v>7050</v>
      </c>
      <c r="D990" t="s">
        <v>260</v>
      </c>
      <c r="E990" t="s">
        <v>7051</v>
      </c>
      <c r="F990" t="s">
        <v>137</v>
      </c>
      <c r="G990">
        <v>204</v>
      </c>
      <c r="H990">
        <v>500</v>
      </c>
      <c r="I990" s="5" t="s">
        <v>7052</v>
      </c>
      <c r="J990" s="5" t="s">
        <v>7053</v>
      </c>
      <c r="K990" s="5" t="str">
        <f t="shared" si="30"/>
        <v>https://www.google.com/maps?q=-11.545423, -41.975510</v>
      </c>
      <c r="L990" s="5" t="str">
        <f t="shared" si="31"/>
        <v>Abrir no Maps</v>
      </c>
      <c r="M990" t="s">
        <v>7054</v>
      </c>
      <c r="N990" s="5"/>
      <c r="O990" t="str">
        <f>VLOOKUP(G990,'[1]CONFIG.'!$B:$C,2,0)</f>
        <v>EVA</v>
      </c>
      <c r="P990" t="str">
        <f>VLOOKUP(O990,'[1]CONFIG.'!$C:$D,2,0)</f>
        <v>74 98046078</v>
      </c>
    </row>
    <row r="991" spans="1:16" x14ac:dyDescent="0.3">
      <c r="A991" t="s">
        <v>7055</v>
      </c>
      <c r="B991" t="s">
        <v>7056</v>
      </c>
      <c r="C991" t="s">
        <v>7057</v>
      </c>
      <c r="D991" t="s">
        <v>260</v>
      </c>
      <c r="E991" t="s">
        <v>7058</v>
      </c>
      <c r="F991" t="s">
        <v>137</v>
      </c>
      <c r="G991">
        <v>204</v>
      </c>
      <c r="H991">
        <v>500</v>
      </c>
      <c r="I991" s="5" t="s">
        <v>7059</v>
      </c>
      <c r="J991" s="5" t="s">
        <v>7060</v>
      </c>
      <c r="K991" s="5" t="str">
        <f t="shared" si="30"/>
        <v>https://www.google.com/maps?q=-11.545690, -41.985184</v>
      </c>
      <c r="L991" s="5" t="str">
        <f t="shared" si="31"/>
        <v>Abrir no Maps</v>
      </c>
      <c r="M991" t="s">
        <v>7061</v>
      </c>
      <c r="N991" s="5"/>
      <c r="O991" t="str">
        <f>VLOOKUP(G991,'[1]CONFIG.'!$B:$C,2,0)</f>
        <v>EVA</v>
      </c>
      <c r="P991" t="str">
        <f>VLOOKUP(O991,'[1]CONFIG.'!$C:$D,2,0)</f>
        <v>74 98046078</v>
      </c>
    </row>
    <row r="992" spans="1:16" x14ac:dyDescent="0.3">
      <c r="A992" t="s">
        <v>7062</v>
      </c>
      <c r="B992" t="s">
        <v>7063</v>
      </c>
      <c r="C992" t="s">
        <v>7064</v>
      </c>
      <c r="D992" t="s">
        <v>260</v>
      </c>
      <c r="E992" t="s">
        <v>7065</v>
      </c>
      <c r="F992" t="s">
        <v>6980</v>
      </c>
      <c r="G992">
        <v>204</v>
      </c>
      <c r="H992">
        <v>500</v>
      </c>
      <c r="I992" s="5" t="s">
        <v>7066</v>
      </c>
      <c r="J992" s="5" t="s">
        <v>7067</v>
      </c>
      <c r="K992" s="5" t="str">
        <f t="shared" si="30"/>
        <v>https://www.google.com/maps?q=-11.492283, -42.009182</v>
      </c>
      <c r="L992" s="5" t="str">
        <f t="shared" si="31"/>
        <v>Abrir no Maps</v>
      </c>
      <c r="M992" t="s">
        <v>7068</v>
      </c>
      <c r="N992" s="5"/>
      <c r="O992" t="str">
        <f>VLOOKUP(G992,'[1]CONFIG.'!$B:$C,2,0)</f>
        <v>EVA</v>
      </c>
      <c r="P992" t="str">
        <f>VLOOKUP(O992,'[1]CONFIG.'!$C:$D,2,0)</f>
        <v>74 98046078</v>
      </c>
    </row>
    <row r="993" spans="1:16" x14ac:dyDescent="0.3">
      <c r="A993" t="s">
        <v>7069</v>
      </c>
      <c r="B993" t="s">
        <v>7070</v>
      </c>
      <c r="C993" t="s">
        <v>7071</v>
      </c>
      <c r="D993" t="s">
        <v>260</v>
      </c>
      <c r="E993" t="s">
        <v>7072</v>
      </c>
      <c r="F993" t="s">
        <v>137</v>
      </c>
      <c r="G993">
        <v>204</v>
      </c>
      <c r="H993">
        <v>500</v>
      </c>
      <c r="I993" s="5" t="s">
        <v>7073</v>
      </c>
      <c r="J993" s="5" t="s">
        <v>7074</v>
      </c>
      <c r="K993" s="5" t="str">
        <f t="shared" si="30"/>
        <v>https://www.google.com/maps?q=-11.547718, -41.982050</v>
      </c>
      <c r="L993" s="5" t="str">
        <f t="shared" si="31"/>
        <v>Abrir no Maps</v>
      </c>
      <c r="M993" t="s">
        <v>7075</v>
      </c>
      <c r="N993" s="5"/>
      <c r="O993" t="str">
        <f>VLOOKUP(G993,'[1]CONFIG.'!$B:$C,2,0)</f>
        <v>EVA</v>
      </c>
      <c r="P993" t="str">
        <f>VLOOKUP(O993,'[1]CONFIG.'!$C:$D,2,0)</f>
        <v>74 98046078</v>
      </c>
    </row>
    <row r="994" spans="1:16" x14ac:dyDescent="0.3">
      <c r="A994" t="s">
        <v>7076</v>
      </c>
      <c r="B994" t="s">
        <v>7077</v>
      </c>
      <c r="C994" t="s">
        <v>7078</v>
      </c>
      <c r="D994" t="s">
        <v>260</v>
      </c>
      <c r="E994" t="s">
        <v>7079</v>
      </c>
      <c r="F994" t="s">
        <v>7002</v>
      </c>
      <c r="G994">
        <v>204</v>
      </c>
      <c r="H994">
        <v>500</v>
      </c>
      <c r="I994" s="5" t="s">
        <v>7080</v>
      </c>
      <c r="J994" s="5" t="s">
        <v>7081</v>
      </c>
      <c r="K994" s="5" t="str">
        <f t="shared" si="30"/>
        <v>https://www.google.com/maps?q=-11.542950, -41.981491</v>
      </c>
      <c r="L994" s="5" t="str">
        <f t="shared" si="31"/>
        <v>Abrir no Maps</v>
      </c>
      <c r="M994" t="s">
        <v>7082</v>
      </c>
      <c r="N994" s="5"/>
      <c r="O994" t="str">
        <f>VLOOKUP(G994,'[1]CONFIG.'!$B:$C,2,0)</f>
        <v>EVA</v>
      </c>
      <c r="P994" t="str">
        <f>VLOOKUP(O994,'[1]CONFIG.'!$C:$D,2,0)</f>
        <v>74 98046078</v>
      </c>
    </row>
    <row r="995" spans="1:16" x14ac:dyDescent="0.3">
      <c r="A995" t="s">
        <v>7083</v>
      </c>
      <c r="B995" t="s">
        <v>7084</v>
      </c>
      <c r="C995" t="s">
        <v>7085</v>
      </c>
      <c r="D995" t="s">
        <v>260</v>
      </c>
      <c r="E995" t="s">
        <v>7086</v>
      </c>
      <c r="F995" t="s">
        <v>137</v>
      </c>
      <c r="G995">
        <v>204</v>
      </c>
      <c r="H995">
        <v>500</v>
      </c>
      <c r="I995" s="5" t="s">
        <v>7087</v>
      </c>
      <c r="J995" s="5" t="s">
        <v>7088</v>
      </c>
      <c r="K995" s="5" t="str">
        <f t="shared" si="30"/>
        <v>https://www.google.com/maps?q=-11.547593, -41.978350</v>
      </c>
      <c r="L995" s="5" t="str">
        <f t="shared" si="31"/>
        <v>Abrir no Maps</v>
      </c>
      <c r="M995" t="s">
        <v>7089</v>
      </c>
      <c r="N995" s="5"/>
      <c r="O995" t="str">
        <f>VLOOKUP(G995,'[1]CONFIG.'!$B:$C,2,0)</f>
        <v>EVA</v>
      </c>
      <c r="P995" t="str">
        <f>VLOOKUP(O995,'[1]CONFIG.'!$C:$D,2,0)</f>
        <v>74 98046078</v>
      </c>
    </row>
    <row r="996" spans="1:16" x14ac:dyDescent="0.3">
      <c r="A996" t="s">
        <v>7090</v>
      </c>
      <c r="B996" t="s">
        <v>7091</v>
      </c>
      <c r="C996" t="s">
        <v>7092</v>
      </c>
      <c r="D996" t="s">
        <v>260</v>
      </c>
      <c r="E996" t="s">
        <v>7093</v>
      </c>
      <c r="F996" t="s">
        <v>137</v>
      </c>
      <c r="G996">
        <v>204</v>
      </c>
      <c r="H996">
        <v>500</v>
      </c>
      <c r="I996" s="5" t="s">
        <v>7094</v>
      </c>
      <c r="J996" s="5" t="s">
        <v>7095</v>
      </c>
      <c r="K996" s="5" t="str">
        <f t="shared" si="30"/>
        <v>https://www.google.com/maps?q=-11.543719, -41.978146</v>
      </c>
      <c r="L996" s="5" t="str">
        <f t="shared" si="31"/>
        <v>Abrir no Maps</v>
      </c>
      <c r="M996" t="s">
        <v>7096</v>
      </c>
      <c r="N996" s="5"/>
      <c r="O996" t="str">
        <f>VLOOKUP(G996,'[1]CONFIG.'!$B:$C,2,0)</f>
        <v>EVA</v>
      </c>
      <c r="P996" t="str">
        <f>VLOOKUP(O996,'[1]CONFIG.'!$C:$D,2,0)</f>
        <v>74 98046078</v>
      </c>
    </row>
    <row r="997" spans="1:16" x14ac:dyDescent="0.3">
      <c r="A997" t="s">
        <v>7097</v>
      </c>
      <c r="B997" t="s">
        <v>7098</v>
      </c>
      <c r="C997" t="s">
        <v>7099</v>
      </c>
      <c r="D997" t="s">
        <v>260</v>
      </c>
      <c r="E997" t="s">
        <v>7100</v>
      </c>
      <c r="F997" t="s">
        <v>137</v>
      </c>
      <c r="G997">
        <v>204</v>
      </c>
      <c r="H997">
        <v>500</v>
      </c>
      <c r="I997" s="5" t="s">
        <v>7101</v>
      </c>
      <c r="J997" s="5" t="s">
        <v>7102</v>
      </c>
      <c r="K997" s="5" t="str">
        <f t="shared" si="30"/>
        <v>https://www.google.com/maps?q=-11.547050, -41.979088</v>
      </c>
      <c r="L997" s="5" t="str">
        <f t="shared" si="31"/>
        <v>Abrir no Maps</v>
      </c>
      <c r="M997" t="s">
        <v>7103</v>
      </c>
      <c r="N997" s="5"/>
      <c r="O997" t="str">
        <f>VLOOKUP(G997,'[1]CONFIG.'!$B:$C,2,0)</f>
        <v>EVA</v>
      </c>
      <c r="P997" t="str">
        <f>VLOOKUP(O997,'[1]CONFIG.'!$C:$D,2,0)</f>
        <v>74 98046078</v>
      </c>
    </row>
    <row r="998" spans="1:16" x14ac:dyDescent="0.3">
      <c r="A998" t="s">
        <v>7104</v>
      </c>
      <c r="B998" t="s">
        <v>7105</v>
      </c>
      <c r="C998" t="s">
        <v>7106</v>
      </c>
      <c r="D998" t="s">
        <v>260</v>
      </c>
      <c r="E998" t="s">
        <v>7107</v>
      </c>
      <c r="F998" t="s">
        <v>137</v>
      </c>
      <c r="G998">
        <v>204</v>
      </c>
      <c r="H998">
        <v>500</v>
      </c>
      <c r="I998" s="5" t="s">
        <v>7108</v>
      </c>
      <c r="J998" s="5" t="s">
        <v>7109</v>
      </c>
      <c r="K998" s="5" t="str">
        <f t="shared" si="30"/>
        <v>https://www.google.com/maps?q=-11.546806, -41.976570</v>
      </c>
      <c r="L998" s="5" t="str">
        <f t="shared" si="31"/>
        <v>Abrir no Maps</v>
      </c>
      <c r="M998" t="s">
        <v>7110</v>
      </c>
      <c r="N998" s="5"/>
      <c r="O998" t="str">
        <f>VLOOKUP(G998,'[1]CONFIG.'!$B:$C,2,0)</f>
        <v>EVA</v>
      </c>
      <c r="P998" t="str">
        <f>VLOOKUP(O998,'[1]CONFIG.'!$C:$D,2,0)</f>
        <v>74 98046078</v>
      </c>
    </row>
    <row r="999" spans="1:16" x14ac:dyDescent="0.3">
      <c r="A999" t="s">
        <v>7111</v>
      </c>
      <c r="B999" t="s">
        <v>7112</v>
      </c>
      <c r="C999" t="s">
        <v>7113</v>
      </c>
      <c r="D999" t="s">
        <v>260</v>
      </c>
      <c r="E999" t="s">
        <v>7114</v>
      </c>
      <c r="F999" t="s">
        <v>137</v>
      </c>
      <c r="G999">
        <v>204</v>
      </c>
      <c r="H999">
        <v>500</v>
      </c>
      <c r="I999" s="5" t="s">
        <v>7115</v>
      </c>
      <c r="J999" s="5" t="s">
        <v>7116</v>
      </c>
      <c r="K999" s="5" t="str">
        <f t="shared" si="30"/>
        <v>https://www.google.com/maps?q=-11.547004, -41.979340</v>
      </c>
      <c r="L999" s="5" t="str">
        <f t="shared" si="31"/>
        <v>Abrir no Maps</v>
      </c>
      <c r="M999" t="s">
        <v>7117</v>
      </c>
      <c r="N999" s="5"/>
      <c r="O999" t="str">
        <f>VLOOKUP(G999,'[1]CONFIG.'!$B:$C,2,0)</f>
        <v>EVA</v>
      </c>
      <c r="P999" t="str">
        <f>VLOOKUP(O999,'[1]CONFIG.'!$C:$D,2,0)</f>
        <v>74 98046078</v>
      </c>
    </row>
    <row r="1000" spans="1:16" x14ac:dyDescent="0.3">
      <c r="A1000" t="s">
        <v>7118</v>
      </c>
      <c r="B1000" t="s">
        <v>7119</v>
      </c>
      <c r="C1000" t="s">
        <v>7120</v>
      </c>
      <c r="D1000" t="s">
        <v>260</v>
      </c>
      <c r="E1000" t="s">
        <v>7121</v>
      </c>
      <c r="F1000" t="s">
        <v>137</v>
      </c>
      <c r="G1000">
        <v>204</v>
      </c>
      <c r="H1000">
        <v>500</v>
      </c>
      <c r="I1000" s="5" t="s">
        <v>7122</v>
      </c>
      <c r="J1000" s="5" t="s">
        <v>7123</v>
      </c>
      <c r="K1000" s="5" t="str">
        <f t="shared" si="30"/>
        <v>https://www.google.com/maps?q=-11.546536, -41.977220</v>
      </c>
      <c r="L1000" s="5" t="str">
        <f t="shared" si="31"/>
        <v>Abrir no Maps</v>
      </c>
      <c r="M1000" t="s">
        <v>7124</v>
      </c>
      <c r="N1000" s="5"/>
      <c r="O1000" t="str">
        <f>VLOOKUP(G1000,'[1]CONFIG.'!$B:$C,2,0)</f>
        <v>EVA</v>
      </c>
      <c r="P1000" t="str">
        <f>VLOOKUP(O1000,'[1]CONFIG.'!$C:$D,2,0)</f>
        <v>74 98046078</v>
      </c>
    </row>
    <row r="1001" spans="1:16" x14ac:dyDescent="0.3">
      <c r="A1001" t="s">
        <v>7125</v>
      </c>
      <c r="B1001" t="s">
        <v>7126</v>
      </c>
      <c r="C1001" t="s">
        <v>7127</v>
      </c>
      <c r="D1001" t="s">
        <v>260</v>
      </c>
      <c r="E1001" t="s">
        <v>7128</v>
      </c>
      <c r="F1001" t="s">
        <v>137</v>
      </c>
      <c r="G1001">
        <v>204</v>
      </c>
      <c r="H1001">
        <v>500</v>
      </c>
      <c r="I1001" s="5" t="s">
        <v>7129</v>
      </c>
      <c r="J1001" s="5" t="s">
        <v>7130</v>
      </c>
      <c r="K1001" s="5" t="str">
        <f t="shared" si="30"/>
        <v>https://www.google.com/maps?q=-11.547378, -41.976400</v>
      </c>
      <c r="L1001" s="5" t="str">
        <f t="shared" si="31"/>
        <v>Abrir no Maps</v>
      </c>
      <c r="M1001" t="s">
        <v>7131</v>
      </c>
      <c r="N1001" s="5"/>
      <c r="O1001" t="str">
        <f>VLOOKUP(G1001,'[1]CONFIG.'!$B:$C,2,0)</f>
        <v>EVA</v>
      </c>
      <c r="P1001" t="str">
        <f>VLOOKUP(O1001,'[1]CONFIG.'!$C:$D,2,0)</f>
        <v>74 98046078</v>
      </c>
    </row>
    <row r="1002" spans="1:16" x14ac:dyDescent="0.3">
      <c r="A1002" t="s">
        <v>7132</v>
      </c>
      <c r="B1002" t="s">
        <v>7133</v>
      </c>
      <c r="C1002" t="s">
        <v>7134</v>
      </c>
      <c r="D1002" t="s">
        <v>260</v>
      </c>
      <c r="E1002" t="s">
        <v>7135</v>
      </c>
      <c r="F1002" t="s">
        <v>137</v>
      </c>
      <c r="G1002">
        <v>204</v>
      </c>
      <c r="H1002">
        <v>500</v>
      </c>
      <c r="I1002" s="5" t="s">
        <v>7136</v>
      </c>
      <c r="J1002" s="5" t="s">
        <v>7137</v>
      </c>
      <c r="K1002" s="5" t="str">
        <f t="shared" si="30"/>
        <v>https://www.google.com/maps?q=-11.542348, -41.980434</v>
      </c>
      <c r="L1002" s="5" t="str">
        <f t="shared" si="31"/>
        <v>Abrir no Maps</v>
      </c>
      <c r="M1002" t="s">
        <v>7138</v>
      </c>
      <c r="N1002" s="5"/>
      <c r="O1002" t="str">
        <f>VLOOKUP(G1002,'[1]CONFIG.'!$B:$C,2,0)</f>
        <v>EVA</v>
      </c>
      <c r="P1002" t="str">
        <f>VLOOKUP(O1002,'[1]CONFIG.'!$C:$D,2,0)</f>
        <v>74 98046078</v>
      </c>
    </row>
    <row r="1003" spans="1:16" x14ac:dyDescent="0.3">
      <c r="A1003" t="s">
        <v>7139</v>
      </c>
      <c r="B1003" t="s">
        <v>7140</v>
      </c>
      <c r="C1003" t="s">
        <v>7141</v>
      </c>
      <c r="D1003" t="s">
        <v>260</v>
      </c>
      <c r="E1003" t="s">
        <v>7142</v>
      </c>
      <c r="F1003" t="s">
        <v>6980</v>
      </c>
      <c r="G1003">
        <v>204</v>
      </c>
      <c r="H1003">
        <v>500</v>
      </c>
      <c r="I1003" s="5" t="s">
        <v>7143</v>
      </c>
      <c r="J1003" s="5" t="s">
        <v>7144</v>
      </c>
      <c r="K1003" s="5" t="str">
        <f t="shared" si="30"/>
        <v>https://www.google.com/maps?q=-11.499064, -42.007256</v>
      </c>
      <c r="L1003" s="5" t="str">
        <f t="shared" si="31"/>
        <v>Abrir no Maps</v>
      </c>
      <c r="M1003" t="s">
        <v>7145</v>
      </c>
      <c r="N1003" s="5"/>
      <c r="O1003" t="str">
        <f>VLOOKUP(G1003,'[1]CONFIG.'!$B:$C,2,0)</f>
        <v>EVA</v>
      </c>
      <c r="P1003" t="str">
        <f>VLOOKUP(O1003,'[1]CONFIG.'!$C:$D,2,0)</f>
        <v>74 98046078</v>
      </c>
    </row>
    <row r="1004" spans="1:16" x14ac:dyDescent="0.3">
      <c r="A1004" t="s">
        <v>7146</v>
      </c>
      <c r="B1004" t="s">
        <v>7147</v>
      </c>
      <c r="C1004" t="s">
        <v>7148</v>
      </c>
      <c r="D1004" t="s">
        <v>260</v>
      </c>
      <c r="E1004" t="s">
        <v>7149</v>
      </c>
      <c r="F1004" t="s">
        <v>137</v>
      </c>
      <c r="G1004">
        <v>204</v>
      </c>
      <c r="H1004">
        <v>500</v>
      </c>
      <c r="I1004" s="5" t="s">
        <v>7150</v>
      </c>
      <c r="J1004" s="5" t="s">
        <v>7151</v>
      </c>
      <c r="K1004" s="5" t="str">
        <f t="shared" si="30"/>
        <v>https://www.google.com/maps?q=-11.546411, -41.978973</v>
      </c>
      <c r="L1004" s="5" t="str">
        <f t="shared" si="31"/>
        <v>Abrir no Maps</v>
      </c>
      <c r="M1004" t="s">
        <v>7152</v>
      </c>
      <c r="N1004" s="5"/>
      <c r="O1004" t="str">
        <f>VLOOKUP(G1004,'[1]CONFIG.'!$B:$C,2,0)</f>
        <v>EVA</v>
      </c>
      <c r="P1004" t="str">
        <f>VLOOKUP(O1004,'[1]CONFIG.'!$C:$D,2,0)</f>
        <v>74 98046078</v>
      </c>
    </row>
    <row r="1005" spans="1:16" x14ac:dyDescent="0.3">
      <c r="A1005" t="s">
        <v>7153</v>
      </c>
      <c r="B1005" t="s">
        <v>7154</v>
      </c>
      <c r="C1005" t="s">
        <v>7155</v>
      </c>
      <c r="D1005" t="s">
        <v>260</v>
      </c>
      <c r="E1005" t="s">
        <v>7156</v>
      </c>
      <c r="F1005" t="s">
        <v>137</v>
      </c>
      <c r="G1005">
        <v>204</v>
      </c>
      <c r="H1005">
        <v>500</v>
      </c>
      <c r="I1005" s="5" t="s">
        <v>7010</v>
      </c>
      <c r="J1005" s="5" t="s">
        <v>7157</v>
      </c>
      <c r="K1005" s="5" t="str">
        <f t="shared" si="30"/>
        <v>https://www.google.com/maps?q=-11.546467, -41.978920</v>
      </c>
      <c r="L1005" s="5" t="str">
        <f t="shared" si="31"/>
        <v>Abrir no Maps</v>
      </c>
      <c r="M1005" t="s">
        <v>6997</v>
      </c>
      <c r="N1005" s="5"/>
      <c r="O1005" t="str">
        <f>VLOOKUP(G1005,'[1]CONFIG.'!$B:$C,2,0)</f>
        <v>EVA</v>
      </c>
      <c r="P1005" t="str">
        <f>VLOOKUP(O1005,'[1]CONFIG.'!$C:$D,2,0)</f>
        <v>74 98046078</v>
      </c>
    </row>
    <row r="1006" spans="1:16" x14ac:dyDescent="0.3">
      <c r="A1006" t="s">
        <v>7158</v>
      </c>
      <c r="B1006" t="s">
        <v>7159</v>
      </c>
      <c r="C1006" t="s">
        <v>7160</v>
      </c>
      <c r="D1006" t="s">
        <v>260</v>
      </c>
      <c r="E1006" t="s">
        <v>7161</v>
      </c>
      <c r="F1006" t="s">
        <v>137</v>
      </c>
      <c r="G1006">
        <v>204</v>
      </c>
      <c r="H1006">
        <v>500</v>
      </c>
      <c r="I1006" s="5" t="s">
        <v>7162</v>
      </c>
      <c r="J1006" s="5" t="s">
        <v>7163</v>
      </c>
      <c r="K1006" s="5" t="str">
        <f t="shared" si="30"/>
        <v>https://www.google.com/maps?q=-11.547281, -41.977690</v>
      </c>
      <c r="L1006" s="5" t="str">
        <f t="shared" si="31"/>
        <v>Abrir no Maps</v>
      </c>
      <c r="M1006" t="s">
        <v>6997</v>
      </c>
      <c r="N1006" s="5"/>
      <c r="O1006" t="str">
        <f>VLOOKUP(G1006,'[1]CONFIG.'!$B:$C,2,0)</f>
        <v>EVA</v>
      </c>
      <c r="P1006" t="str">
        <f>VLOOKUP(O1006,'[1]CONFIG.'!$C:$D,2,0)</f>
        <v>74 98046078</v>
      </c>
    </row>
    <row r="1007" spans="1:16" x14ac:dyDescent="0.3">
      <c r="A1007" t="s">
        <v>7164</v>
      </c>
      <c r="B1007" t="s">
        <v>7165</v>
      </c>
      <c r="C1007" t="s">
        <v>7166</v>
      </c>
      <c r="D1007" t="s">
        <v>260</v>
      </c>
      <c r="E1007" t="s">
        <v>7167</v>
      </c>
      <c r="F1007" t="s">
        <v>7168</v>
      </c>
      <c r="G1007">
        <v>204</v>
      </c>
      <c r="H1007">
        <v>500</v>
      </c>
      <c r="I1007" s="5" t="s">
        <v>7169</v>
      </c>
      <c r="J1007" s="5" t="s">
        <v>7170</v>
      </c>
      <c r="K1007" s="5" t="str">
        <f t="shared" si="30"/>
        <v>https://www.google.com/maps?q=-11.534328, -41.977380</v>
      </c>
      <c r="L1007" s="5" t="str">
        <f t="shared" si="31"/>
        <v>Abrir no Maps</v>
      </c>
      <c r="M1007" t="s">
        <v>7171</v>
      </c>
      <c r="N1007" s="5"/>
      <c r="O1007" t="str">
        <f>VLOOKUP(G1007,'[1]CONFIG.'!$B:$C,2,0)</f>
        <v>EVA</v>
      </c>
      <c r="P1007" t="str">
        <f>VLOOKUP(O1007,'[1]CONFIG.'!$C:$D,2,0)</f>
        <v>74 98046078</v>
      </c>
    </row>
    <row r="1008" spans="1:16" x14ac:dyDescent="0.3">
      <c r="A1008" t="s">
        <v>7172</v>
      </c>
      <c r="B1008" t="s">
        <v>7173</v>
      </c>
      <c r="C1008" t="s">
        <v>7174</v>
      </c>
      <c r="D1008" t="s">
        <v>260</v>
      </c>
      <c r="E1008" t="s">
        <v>7175</v>
      </c>
      <c r="F1008" t="s">
        <v>137</v>
      </c>
      <c r="G1008">
        <v>204</v>
      </c>
      <c r="H1008">
        <v>500</v>
      </c>
      <c r="I1008" s="5" t="s">
        <v>7176</v>
      </c>
      <c r="J1008" s="5" t="s">
        <v>7177</v>
      </c>
      <c r="K1008" s="5" t="str">
        <f t="shared" si="30"/>
        <v>https://www.google.com/maps?q=-11.546485, -41.973324</v>
      </c>
      <c r="L1008" s="5" t="str">
        <f t="shared" si="31"/>
        <v>Abrir no Maps</v>
      </c>
      <c r="M1008" t="s">
        <v>7178</v>
      </c>
      <c r="N1008" s="5"/>
      <c r="O1008" t="str">
        <f>VLOOKUP(G1008,'[1]CONFIG.'!$B:$C,2,0)</f>
        <v>EVA</v>
      </c>
      <c r="P1008" t="str">
        <f>VLOOKUP(O1008,'[1]CONFIG.'!$C:$D,2,0)</f>
        <v>74 98046078</v>
      </c>
    </row>
    <row r="1009" spans="1:16" x14ac:dyDescent="0.3">
      <c r="A1009" t="s">
        <v>7179</v>
      </c>
      <c r="B1009" t="s">
        <v>7180</v>
      </c>
      <c r="C1009" t="s">
        <v>7181</v>
      </c>
      <c r="D1009" t="s">
        <v>260</v>
      </c>
      <c r="E1009" t="s">
        <v>7182</v>
      </c>
      <c r="F1009" t="s">
        <v>137</v>
      </c>
      <c r="G1009">
        <v>204</v>
      </c>
      <c r="H1009">
        <v>500</v>
      </c>
      <c r="I1009" s="5" t="s">
        <v>7183</v>
      </c>
      <c r="J1009" s="5" t="s">
        <v>7184</v>
      </c>
      <c r="K1009" s="5" t="str">
        <f t="shared" si="30"/>
        <v>https://www.google.com/maps?q=-11.547265, -41.976180</v>
      </c>
      <c r="L1009" s="5" t="str">
        <f t="shared" si="31"/>
        <v>Abrir no Maps</v>
      </c>
      <c r="M1009" t="s">
        <v>7185</v>
      </c>
      <c r="N1009" s="5"/>
      <c r="O1009" t="str">
        <f>VLOOKUP(G1009,'[1]CONFIG.'!$B:$C,2,0)</f>
        <v>EVA</v>
      </c>
      <c r="P1009" t="str">
        <f>VLOOKUP(O1009,'[1]CONFIG.'!$C:$D,2,0)</f>
        <v>74 98046078</v>
      </c>
    </row>
    <row r="1010" spans="1:16" x14ac:dyDescent="0.3">
      <c r="A1010" t="s">
        <v>7186</v>
      </c>
      <c r="B1010" t="s">
        <v>7187</v>
      </c>
      <c r="C1010" t="s">
        <v>7188</v>
      </c>
      <c r="D1010" t="s">
        <v>260</v>
      </c>
      <c r="E1010" t="s">
        <v>7189</v>
      </c>
      <c r="F1010" t="s">
        <v>6980</v>
      </c>
      <c r="G1010">
        <v>204</v>
      </c>
      <c r="H1010">
        <v>500</v>
      </c>
      <c r="I1010" s="5" t="s">
        <v>7190</v>
      </c>
      <c r="J1010" s="5" t="s">
        <v>7191</v>
      </c>
      <c r="K1010" s="5" t="str">
        <f t="shared" si="30"/>
        <v>https://www.google.com/maps?q=-11.492610, -42.009705</v>
      </c>
      <c r="L1010" s="5" t="str">
        <f t="shared" si="31"/>
        <v>Abrir no Maps</v>
      </c>
      <c r="M1010" t="s">
        <v>7192</v>
      </c>
      <c r="N1010" s="5"/>
      <c r="O1010" t="str">
        <f>VLOOKUP(G1010,'[1]CONFIG.'!$B:$C,2,0)</f>
        <v>EVA</v>
      </c>
      <c r="P1010" t="str">
        <f>VLOOKUP(O1010,'[1]CONFIG.'!$C:$D,2,0)</f>
        <v>74 98046078</v>
      </c>
    </row>
    <row r="1011" spans="1:16" x14ac:dyDescent="0.3">
      <c r="A1011" t="s">
        <v>7193</v>
      </c>
      <c r="B1011" t="s">
        <v>7194</v>
      </c>
      <c r="C1011" t="s">
        <v>7195</v>
      </c>
      <c r="D1011" t="s">
        <v>260</v>
      </c>
      <c r="E1011" t="s">
        <v>7196</v>
      </c>
      <c r="F1011" t="s">
        <v>137</v>
      </c>
      <c r="G1011">
        <v>204</v>
      </c>
      <c r="H1011">
        <v>500</v>
      </c>
      <c r="I1011" s="5" t="s">
        <v>7197</v>
      </c>
      <c r="J1011" s="5" t="s">
        <v>7198</v>
      </c>
      <c r="K1011" s="5" t="str">
        <f t="shared" si="30"/>
        <v>https://www.google.com/maps?q=-11.546591, -41.977215</v>
      </c>
      <c r="L1011" s="5" t="str">
        <f t="shared" si="31"/>
        <v>Abrir no Maps</v>
      </c>
      <c r="M1011" t="s">
        <v>7199</v>
      </c>
      <c r="N1011" s="5"/>
      <c r="O1011" t="str">
        <f>VLOOKUP(G1011,'[1]CONFIG.'!$B:$C,2,0)</f>
        <v>EVA</v>
      </c>
      <c r="P1011" t="str">
        <f>VLOOKUP(O1011,'[1]CONFIG.'!$C:$D,2,0)</f>
        <v>74 98046078</v>
      </c>
    </row>
    <row r="1012" spans="1:16" x14ac:dyDescent="0.3">
      <c r="A1012" t="s">
        <v>7200</v>
      </c>
      <c r="B1012" t="s">
        <v>7201</v>
      </c>
      <c r="C1012" t="s">
        <v>7202</v>
      </c>
      <c r="D1012" t="s">
        <v>260</v>
      </c>
      <c r="E1012" t="s">
        <v>7203</v>
      </c>
      <c r="F1012" t="s">
        <v>137</v>
      </c>
      <c r="G1012">
        <v>204</v>
      </c>
      <c r="H1012">
        <v>500</v>
      </c>
      <c r="I1012" s="5" t="s">
        <v>7204</v>
      </c>
      <c r="J1012" s="5" t="s">
        <v>7205</v>
      </c>
      <c r="K1012" s="5" t="str">
        <f t="shared" si="30"/>
        <v>https://www.google.com/maps?q=-11.546639, -41.977273</v>
      </c>
      <c r="L1012" s="5" t="str">
        <f t="shared" si="31"/>
        <v>Abrir no Maps</v>
      </c>
      <c r="M1012" t="s">
        <v>7206</v>
      </c>
      <c r="N1012" s="5"/>
      <c r="O1012" t="str">
        <f>VLOOKUP(G1012,'[1]CONFIG.'!$B:$C,2,0)</f>
        <v>EVA</v>
      </c>
      <c r="P1012" t="str">
        <f>VLOOKUP(O1012,'[1]CONFIG.'!$C:$D,2,0)</f>
        <v>74 98046078</v>
      </c>
    </row>
    <row r="1013" spans="1:16" x14ac:dyDescent="0.3">
      <c r="A1013" t="s">
        <v>7207</v>
      </c>
      <c r="B1013" t="s">
        <v>7208</v>
      </c>
      <c r="C1013" t="s">
        <v>7209</v>
      </c>
      <c r="D1013" t="s">
        <v>260</v>
      </c>
      <c r="E1013" t="s">
        <v>7210</v>
      </c>
      <c r="F1013" t="s">
        <v>137</v>
      </c>
      <c r="G1013">
        <v>204</v>
      </c>
      <c r="H1013">
        <v>500</v>
      </c>
      <c r="I1013" s="5" t="s">
        <v>7211</v>
      </c>
      <c r="J1013" s="5" t="s">
        <v>7212</v>
      </c>
      <c r="K1013" s="5" t="str">
        <f t="shared" si="30"/>
        <v>https://www.google.com/maps?q=-11.546875, -41.976973</v>
      </c>
      <c r="L1013" s="5" t="str">
        <f t="shared" si="31"/>
        <v>Abrir no Maps</v>
      </c>
      <c r="M1013" t="s">
        <v>7213</v>
      </c>
      <c r="N1013" s="5"/>
      <c r="O1013" t="str">
        <f>VLOOKUP(G1013,'[1]CONFIG.'!$B:$C,2,0)</f>
        <v>EVA</v>
      </c>
      <c r="P1013" t="str">
        <f>VLOOKUP(O1013,'[1]CONFIG.'!$C:$D,2,0)</f>
        <v>74 98046078</v>
      </c>
    </row>
    <row r="1014" spans="1:16" x14ac:dyDescent="0.3">
      <c r="A1014" t="s">
        <v>7214</v>
      </c>
      <c r="B1014" t="s">
        <v>7215</v>
      </c>
      <c r="C1014" t="s">
        <v>7216</v>
      </c>
      <c r="D1014" t="s">
        <v>260</v>
      </c>
      <c r="E1014" t="s">
        <v>7217</v>
      </c>
      <c r="F1014" t="s">
        <v>137</v>
      </c>
      <c r="G1014">
        <v>204</v>
      </c>
      <c r="H1014">
        <v>500</v>
      </c>
      <c r="I1014" s="5" t="s">
        <v>7218</v>
      </c>
      <c r="J1014" s="5" t="s">
        <v>7219</v>
      </c>
      <c r="K1014" s="5" t="str">
        <f t="shared" si="30"/>
        <v>https://www.google.com/maps?q=-11.546878, -41.972079</v>
      </c>
      <c r="L1014" s="5" t="str">
        <f t="shared" si="31"/>
        <v>Abrir no Maps</v>
      </c>
      <c r="M1014" t="s">
        <v>7220</v>
      </c>
      <c r="N1014" s="5"/>
      <c r="O1014" t="str">
        <f>VLOOKUP(G1014,'[1]CONFIG.'!$B:$C,2,0)</f>
        <v>EVA</v>
      </c>
      <c r="P1014" t="str">
        <f>VLOOKUP(O1014,'[1]CONFIG.'!$C:$D,2,0)</f>
        <v>74 98046078</v>
      </c>
    </row>
    <row r="1015" spans="1:16" x14ac:dyDescent="0.3">
      <c r="A1015" t="s">
        <v>7221</v>
      </c>
      <c r="B1015" t="s">
        <v>7222</v>
      </c>
      <c r="C1015" t="s">
        <v>7223</v>
      </c>
      <c r="D1015" t="s">
        <v>260</v>
      </c>
      <c r="E1015" t="s">
        <v>7224</v>
      </c>
      <c r="F1015" t="s">
        <v>137</v>
      </c>
      <c r="G1015">
        <v>204</v>
      </c>
      <c r="H1015">
        <v>500</v>
      </c>
      <c r="I1015" s="5" t="s">
        <v>7225</v>
      </c>
      <c r="J1015" s="5" t="s">
        <v>7226</v>
      </c>
      <c r="K1015" s="5" t="str">
        <f t="shared" si="30"/>
        <v>https://www.google.com/maps?q=-11.545075, -41.972152</v>
      </c>
      <c r="L1015" s="5" t="str">
        <f t="shared" si="31"/>
        <v>Abrir no Maps</v>
      </c>
      <c r="M1015" t="s">
        <v>7227</v>
      </c>
      <c r="N1015" s="5"/>
      <c r="O1015" t="str">
        <f>VLOOKUP(G1015,'[1]CONFIG.'!$B:$C,2,0)</f>
        <v>EVA</v>
      </c>
      <c r="P1015" t="str">
        <f>VLOOKUP(O1015,'[1]CONFIG.'!$C:$D,2,0)</f>
        <v>74 98046078</v>
      </c>
    </row>
    <row r="1016" spans="1:16" x14ac:dyDescent="0.3">
      <c r="A1016" t="s">
        <v>7228</v>
      </c>
      <c r="B1016" t="s">
        <v>7229</v>
      </c>
      <c r="C1016" t="s">
        <v>7230</v>
      </c>
      <c r="D1016" t="s">
        <v>260</v>
      </c>
      <c r="E1016" t="s">
        <v>7231</v>
      </c>
      <c r="F1016" t="s">
        <v>137</v>
      </c>
      <c r="G1016">
        <v>204</v>
      </c>
      <c r="H1016">
        <v>500</v>
      </c>
      <c r="I1016" s="5" t="s">
        <v>7232</v>
      </c>
      <c r="J1016" s="5" t="s">
        <v>7233</v>
      </c>
      <c r="K1016" s="5" t="str">
        <f t="shared" si="30"/>
        <v>https://www.google.com/maps?q=-11.548577, -41.975932</v>
      </c>
      <c r="L1016" s="5" t="str">
        <f t="shared" si="31"/>
        <v>Abrir no Maps</v>
      </c>
      <c r="M1016" t="s">
        <v>7234</v>
      </c>
      <c r="N1016" s="5"/>
      <c r="O1016" t="str">
        <f>VLOOKUP(G1016,'[1]CONFIG.'!$B:$C,2,0)</f>
        <v>EVA</v>
      </c>
      <c r="P1016" t="str">
        <f>VLOOKUP(O1016,'[1]CONFIG.'!$C:$D,2,0)</f>
        <v>74 98046078</v>
      </c>
    </row>
    <row r="1017" spans="1:16" x14ac:dyDescent="0.3">
      <c r="A1017" t="s">
        <v>7235</v>
      </c>
      <c r="B1017" t="s">
        <v>7236</v>
      </c>
      <c r="C1017" t="s">
        <v>7237</v>
      </c>
      <c r="D1017" t="s">
        <v>260</v>
      </c>
      <c r="E1017" t="s">
        <v>7238</v>
      </c>
      <c r="F1017" t="s">
        <v>137</v>
      </c>
      <c r="G1017">
        <v>204</v>
      </c>
      <c r="H1017">
        <v>500</v>
      </c>
      <c r="I1017" s="5" t="s">
        <v>7239</v>
      </c>
      <c r="J1017" s="5" t="s">
        <v>7240</v>
      </c>
      <c r="K1017" s="5" t="str">
        <f t="shared" si="30"/>
        <v>https://www.google.com/maps?q=-11.546921, -41.979687</v>
      </c>
      <c r="L1017" s="5" t="str">
        <f t="shared" si="31"/>
        <v>Abrir no Maps</v>
      </c>
      <c r="M1017" t="s">
        <v>7241</v>
      </c>
      <c r="N1017" s="5"/>
      <c r="O1017" t="str">
        <f>VLOOKUP(G1017,'[1]CONFIG.'!$B:$C,2,0)</f>
        <v>EVA</v>
      </c>
      <c r="P1017" t="str">
        <f>VLOOKUP(O1017,'[1]CONFIG.'!$C:$D,2,0)</f>
        <v>74 98046078</v>
      </c>
    </row>
    <row r="1018" spans="1:16" x14ac:dyDescent="0.3">
      <c r="A1018" t="s">
        <v>7242</v>
      </c>
      <c r="B1018" t="s">
        <v>7243</v>
      </c>
      <c r="C1018" t="s">
        <v>7244</v>
      </c>
      <c r="D1018" t="s">
        <v>260</v>
      </c>
      <c r="E1018" t="s">
        <v>7245</v>
      </c>
      <c r="F1018" t="s">
        <v>137</v>
      </c>
      <c r="G1018">
        <v>204</v>
      </c>
      <c r="H1018">
        <v>500</v>
      </c>
      <c r="I1018" s="5" t="s">
        <v>7246</v>
      </c>
      <c r="J1018" s="5" t="s">
        <v>7247</v>
      </c>
      <c r="K1018" s="5" t="str">
        <f t="shared" si="30"/>
        <v>https://www.google.com/maps?q=-11.545730, -41.985398</v>
      </c>
      <c r="L1018" s="5" t="str">
        <f t="shared" si="31"/>
        <v>Abrir no Maps</v>
      </c>
      <c r="M1018" t="s">
        <v>7248</v>
      </c>
      <c r="N1018" s="5"/>
      <c r="O1018" t="str">
        <f>VLOOKUP(G1018,'[1]CONFIG.'!$B:$C,2,0)</f>
        <v>EVA</v>
      </c>
      <c r="P1018" t="str">
        <f>VLOOKUP(O1018,'[1]CONFIG.'!$C:$D,2,0)</f>
        <v>74 98046078</v>
      </c>
    </row>
    <row r="1019" spans="1:16" x14ac:dyDescent="0.3">
      <c r="A1019" t="s">
        <v>7249</v>
      </c>
      <c r="B1019" t="s">
        <v>7250</v>
      </c>
      <c r="C1019" t="s">
        <v>7251</v>
      </c>
      <c r="D1019" t="s">
        <v>260</v>
      </c>
      <c r="E1019" t="s">
        <v>7252</v>
      </c>
      <c r="F1019" t="s">
        <v>7253</v>
      </c>
      <c r="G1019">
        <v>204</v>
      </c>
      <c r="H1019">
        <v>500</v>
      </c>
      <c r="I1019" s="5" t="s">
        <v>7254</v>
      </c>
      <c r="J1019" s="5" t="s">
        <v>7255</v>
      </c>
      <c r="K1019" s="5" t="str">
        <f t="shared" si="30"/>
        <v>https://www.google.com/maps?q=-11.547734, -41.978765</v>
      </c>
      <c r="L1019" s="5" t="str">
        <f t="shared" si="31"/>
        <v>Abrir no Maps</v>
      </c>
      <c r="M1019" t="s">
        <v>7256</v>
      </c>
      <c r="N1019" s="5"/>
      <c r="O1019" t="str">
        <f>VLOOKUP(G1019,'[1]CONFIG.'!$B:$C,2,0)</f>
        <v>EVA</v>
      </c>
      <c r="P1019" t="str">
        <f>VLOOKUP(O1019,'[1]CONFIG.'!$C:$D,2,0)</f>
        <v>74 98046078</v>
      </c>
    </row>
    <row r="1020" spans="1:16" x14ac:dyDescent="0.3">
      <c r="A1020" t="s">
        <v>7257</v>
      </c>
      <c r="B1020" t="s">
        <v>7258</v>
      </c>
      <c r="C1020" t="s">
        <v>7259</v>
      </c>
      <c r="D1020" t="s">
        <v>260</v>
      </c>
      <c r="E1020" t="s">
        <v>7260</v>
      </c>
      <c r="F1020" t="s">
        <v>7261</v>
      </c>
      <c r="G1020">
        <v>204</v>
      </c>
      <c r="H1020">
        <v>500</v>
      </c>
      <c r="I1020" s="5" t="s">
        <v>7262</v>
      </c>
      <c r="J1020" s="5" t="s">
        <v>7263</v>
      </c>
      <c r="K1020" s="5" t="str">
        <f t="shared" si="30"/>
        <v>https://www.google.com/maps?q=-11.545435, -41.985706</v>
      </c>
      <c r="L1020" s="5" t="str">
        <f t="shared" si="31"/>
        <v>Abrir no Maps</v>
      </c>
      <c r="M1020" t="s">
        <v>7264</v>
      </c>
      <c r="N1020" s="5"/>
      <c r="O1020" t="str">
        <f>VLOOKUP(G1020,'[1]CONFIG.'!$B:$C,2,0)</f>
        <v>EVA</v>
      </c>
      <c r="P1020" t="str">
        <f>VLOOKUP(O1020,'[1]CONFIG.'!$C:$D,2,0)</f>
        <v>74 98046078</v>
      </c>
    </row>
    <row r="1021" spans="1:16" x14ac:dyDescent="0.3">
      <c r="A1021" t="s">
        <v>7265</v>
      </c>
      <c r="B1021" t="s">
        <v>7266</v>
      </c>
      <c r="C1021" t="s">
        <v>7267</v>
      </c>
      <c r="D1021" t="s">
        <v>36</v>
      </c>
      <c r="E1021" t="s">
        <v>7268</v>
      </c>
      <c r="F1021" t="s">
        <v>7269</v>
      </c>
      <c r="G1021">
        <v>204</v>
      </c>
      <c r="H1021">
        <v>500</v>
      </c>
      <c r="I1021" s="5" t="s">
        <v>7270</v>
      </c>
      <c r="J1021" s="5" t="s">
        <v>7271</v>
      </c>
      <c r="K1021" s="5" t="str">
        <f t="shared" si="30"/>
        <v>https://www.google.com/maps?q=-11.346562, -41.892449</v>
      </c>
      <c r="L1021" s="5" t="str">
        <f t="shared" si="31"/>
        <v>Abrir no Maps</v>
      </c>
      <c r="M1021" t="s">
        <v>7272</v>
      </c>
      <c r="N1021" s="5"/>
      <c r="O1021" t="str">
        <f>VLOOKUP(G1021,'[1]CONFIG.'!$B:$C,2,0)</f>
        <v>EVA</v>
      </c>
      <c r="P1021" t="str">
        <f>VLOOKUP(O1021,'[1]CONFIG.'!$C:$D,2,0)</f>
        <v>74 98046078</v>
      </c>
    </row>
    <row r="1022" spans="1:16" x14ac:dyDescent="0.3">
      <c r="A1022" t="s">
        <v>7273</v>
      </c>
      <c r="B1022" t="s">
        <v>7274</v>
      </c>
      <c r="C1022" t="s">
        <v>7275</v>
      </c>
      <c r="D1022" t="s">
        <v>260</v>
      </c>
      <c r="E1022" t="s">
        <v>7276</v>
      </c>
      <c r="F1022" t="s">
        <v>7261</v>
      </c>
      <c r="G1022">
        <v>204</v>
      </c>
      <c r="H1022">
        <v>500</v>
      </c>
      <c r="I1022" s="5" t="s">
        <v>7277</v>
      </c>
      <c r="J1022" s="5" t="s">
        <v>7278</v>
      </c>
      <c r="K1022" s="5" t="str">
        <f t="shared" si="30"/>
        <v>https://www.google.com/maps?q=-11.542033, -41.981133</v>
      </c>
      <c r="L1022" s="5" t="str">
        <f t="shared" si="31"/>
        <v>Abrir no Maps</v>
      </c>
      <c r="M1022" t="s">
        <v>7279</v>
      </c>
      <c r="N1022" s="5"/>
      <c r="O1022" t="str">
        <f>VLOOKUP(G1022,'[1]CONFIG.'!$B:$C,2,0)</f>
        <v>EVA</v>
      </c>
      <c r="P1022" t="str">
        <f>VLOOKUP(O1022,'[1]CONFIG.'!$C:$D,2,0)</f>
        <v>74 98046078</v>
      </c>
    </row>
    <row r="1023" spans="1:16" x14ac:dyDescent="0.3">
      <c r="A1023" t="s">
        <v>7280</v>
      </c>
      <c r="B1023" t="s">
        <v>7281</v>
      </c>
      <c r="C1023" t="s">
        <v>7282</v>
      </c>
      <c r="D1023" t="s">
        <v>260</v>
      </c>
      <c r="E1023" t="s">
        <v>7283</v>
      </c>
      <c r="F1023" t="s">
        <v>260</v>
      </c>
      <c r="G1023">
        <v>204</v>
      </c>
      <c r="H1023">
        <v>500</v>
      </c>
      <c r="I1023" s="5" t="s">
        <v>7284</v>
      </c>
      <c r="J1023" s="5" t="s">
        <v>7285</v>
      </c>
      <c r="K1023" s="5" t="str">
        <f t="shared" si="30"/>
        <v>https://www.google.com/maps?q=-11.547018, -41.978681</v>
      </c>
      <c r="L1023" s="5" t="str">
        <f t="shared" si="31"/>
        <v>Abrir no Maps</v>
      </c>
      <c r="M1023" t="s">
        <v>7286</v>
      </c>
      <c r="N1023" s="5"/>
      <c r="O1023" t="str">
        <f>VLOOKUP(G1023,'[1]CONFIG.'!$B:$C,2,0)</f>
        <v>EVA</v>
      </c>
      <c r="P1023" t="str">
        <f>VLOOKUP(O1023,'[1]CONFIG.'!$C:$D,2,0)</f>
        <v>74 98046078</v>
      </c>
    </row>
    <row r="1024" spans="1:16" x14ac:dyDescent="0.3">
      <c r="A1024" t="s">
        <v>7287</v>
      </c>
      <c r="B1024" t="s">
        <v>7042</v>
      </c>
      <c r="C1024" t="s">
        <v>7288</v>
      </c>
      <c r="D1024" t="s">
        <v>260</v>
      </c>
      <c r="E1024" t="s">
        <v>7289</v>
      </c>
      <c r="F1024" t="s">
        <v>137</v>
      </c>
      <c r="G1024">
        <v>204</v>
      </c>
      <c r="H1024">
        <v>500</v>
      </c>
      <c r="I1024" s="5" t="s">
        <v>7290</v>
      </c>
      <c r="J1024" s="5" t="s">
        <v>7291</v>
      </c>
      <c r="K1024" s="5" t="str">
        <f t="shared" si="30"/>
        <v>https://www.google.com/maps?q=-11.546480, -41.977854</v>
      </c>
      <c r="L1024" s="5" t="str">
        <f t="shared" si="31"/>
        <v>Abrir no Maps</v>
      </c>
      <c r="M1024" t="s">
        <v>7047</v>
      </c>
      <c r="N1024" s="5"/>
      <c r="O1024" t="str">
        <f>VLOOKUP(G1024,'[1]CONFIG.'!$B:$C,2,0)</f>
        <v>EVA</v>
      </c>
      <c r="P1024" t="str">
        <f>VLOOKUP(O1024,'[1]CONFIG.'!$C:$D,2,0)</f>
        <v>74 98046078</v>
      </c>
    </row>
    <row r="1025" spans="1:16" x14ac:dyDescent="0.3">
      <c r="A1025" t="s">
        <v>7292</v>
      </c>
      <c r="B1025" t="s">
        <v>7293</v>
      </c>
      <c r="C1025" t="s">
        <v>7294</v>
      </c>
      <c r="D1025" t="s">
        <v>488</v>
      </c>
      <c r="E1025" t="s">
        <v>7295</v>
      </c>
      <c r="F1025" t="s">
        <v>7296</v>
      </c>
      <c r="G1025">
        <v>202</v>
      </c>
      <c r="H1025">
        <v>500</v>
      </c>
      <c r="I1025" s="5" t="s">
        <v>7297</v>
      </c>
      <c r="J1025" s="5" t="s">
        <v>7298</v>
      </c>
      <c r="K1025" s="5" t="str">
        <f t="shared" si="30"/>
        <v>https://www.google.com/maps?q=-12.247628, -41.619442</v>
      </c>
      <c r="L1025" s="5" t="str">
        <f t="shared" si="31"/>
        <v>Abrir no Maps</v>
      </c>
      <c r="M1025" t="s">
        <v>7299</v>
      </c>
      <c r="N1025" s="5"/>
      <c r="O1025" t="str">
        <f>VLOOKUP(G1025,'[1]CONFIG.'!$B:$C,2,0)</f>
        <v>ARISTON</v>
      </c>
      <c r="P1025" t="str">
        <f>VLOOKUP(O1025,'[1]CONFIG.'!$C:$D,2,0)</f>
        <v>74 99384078</v>
      </c>
    </row>
    <row r="1026" spans="1:16" x14ac:dyDescent="0.3">
      <c r="A1026" t="s">
        <v>7300</v>
      </c>
      <c r="B1026" t="s">
        <v>7301</v>
      </c>
      <c r="C1026" t="s">
        <v>7302</v>
      </c>
      <c r="D1026" t="s">
        <v>488</v>
      </c>
      <c r="E1026" t="s">
        <v>7303</v>
      </c>
      <c r="F1026" t="s">
        <v>7304</v>
      </c>
      <c r="G1026">
        <v>202</v>
      </c>
      <c r="H1026">
        <v>500</v>
      </c>
      <c r="I1026" s="5" t="s">
        <v>7305</v>
      </c>
      <c r="J1026" s="5" t="s">
        <v>7306</v>
      </c>
      <c r="K1026" s="5" t="str">
        <f t="shared" si="30"/>
        <v>https://www.google.com/maps?q=-12.245012, -41.618416</v>
      </c>
      <c r="L1026" s="5" t="str">
        <f t="shared" si="31"/>
        <v>Abrir no Maps</v>
      </c>
      <c r="M1026" t="s">
        <v>7307</v>
      </c>
      <c r="N1026" s="5"/>
      <c r="O1026" t="str">
        <f>VLOOKUP(G1026,'[1]CONFIG.'!$B:$C,2,0)</f>
        <v>ARISTON</v>
      </c>
      <c r="P1026" t="str">
        <f>VLOOKUP(O1026,'[1]CONFIG.'!$C:$D,2,0)</f>
        <v>74 99384078</v>
      </c>
    </row>
    <row r="1027" spans="1:16" x14ac:dyDescent="0.3">
      <c r="A1027" t="s">
        <v>7308</v>
      </c>
      <c r="B1027" t="s">
        <v>7309</v>
      </c>
      <c r="C1027" t="s">
        <v>7310</v>
      </c>
      <c r="D1027" t="s">
        <v>488</v>
      </c>
      <c r="E1027" t="s">
        <v>7311</v>
      </c>
      <c r="F1027" t="s">
        <v>7304</v>
      </c>
      <c r="G1027">
        <v>202</v>
      </c>
      <c r="H1027">
        <v>500</v>
      </c>
      <c r="I1027" s="5" t="s">
        <v>7312</v>
      </c>
      <c r="J1027" s="5" t="s">
        <v>7313</v>
      </c>
      <c r="K1027" s="5" t="str">
        <f t="shared" si="30"/>
        <v>https://www.google.com/maps?q=-12.247543, -41.617830</v>
      </c>
      <c r="L1027" s="5" t="str">
        <f t="shared" si="31"/>
        <v>Abrir no Maps</v>
      </c>
      <c r="M1027" t="s">
        <v>7314</v>
      </c>
      <c r="N1027" s="5"/>
      <c r="O1027" t="str">
        <f>VLOOKUP(G1027,'[1]CONFIG.'!$B:$C,2,0)</f>
        <v>ARISTON</v>
      </c>
      <c r="P1027" t="str">
        <f>VLOOKUP(O1027,'[1]CONFIG.'!$C:$D,2,0)</f>
        <v>74 99384078</v>
      </c>
    </row>
    <row r="1028" spans="1:16" x14ac:dyDescent="0.3">
      <c r="A1028" t="s">
        <v>7315</v>
      </c>
      <c r="B1028" t="s">
        <v>7316</v>
      </c>
      <c r="C1028" t="s">
        <v>7317</v>
      </c>
      <c r="D1028" t="s">
        <v>488</v>
      </c>
      <c r="E1028" t="s">
        <v>7318</v>
      </c>
      <c r="F1028" t="s">
        <v>7304</v>
      </c>
      <c r="G1028">
        <v>202</v>
      </c>
      <c r="H1028">
        <v>500</v>
      </c>
      <c r="I1028" s="5" t="s">
        <v>7319</v>
      </c>
      <c r="J1028" s="5" t="s">
        <v>7320</v>
      </c>
      <c r="K1028" s="5" t="str">
        <f t="shared" ref="K1028:K1091" si="32">"https://www.google.com/maps?q="&amp;""&amp;LEFT(I1028,3)&amp;"."&amp;RIGHT(I1028,6)&amp;", "&amp;LEFT(J1028,3)&amp;"."&amp;RIGHT(J1028,6)</f>
        <v>https://www.google.com/maps?q=-12.247537, -41.617523</v>
      </c>
      <c r="L1028" s="5" t="str">
        <f t="shared" ref="L1028:L1091" si="33">HYPERLINK(K1028,"Abrir no Maps")</f>
        <v>Abrir no Maps</v>
      </c>
      <c r="M1028" t="s">
        <v>7321</v>
      </c>
      <c r="N1028" s="5"/>
      <c r="O1028" t="str">
        <f>VLOOKUP(G1028,'[1]CONFIG.'!$B:$C,2,0)</f>
        <v>ARISTON</v>
      </c>
      <c r="P1028" t="str">
        <f>VLOOKUP(O1028,'[1]CONFIG.'!$C:$D,2,0)</f>
        <v>74 99384078</v>
      </c>
    </row>
    <row r="1029" spans="1:16" x14ac:dyDescent="0.3">
      <c r="A1029" t="s">
        <v>7322</v>
      </c>
      <c r="B1029" t="s">
        <v>7323</v>
      </c>
      <c r="C1029" t="s">
        <v>7324</v>
      </c>
      <c r="D1029" t="s">
        <v>488</v>
      </c>
      <c r="E1029" t="s">
        <v>7325</v>
      </c>
      <c r="F1029" t="s">
        <v>7296</v>
      </c>
      <c r="G1029">
        <v>202</v>
      </c>
      <c r="H1029">
        <v>500</v>
      </c>
      <c r="I1029" s="5" t="s">
        <v>7326</v>
      </c>
      <c r="J1029" s="5" t="s">
        <v>7327</v>
      </c>
      <c r="K1029" s="5" t="str">
        <f t="shared" si="32"/>
        <v>https://www.google.com/maps?q=-12.245967, -41.617413</v>
      </c>
      <c r="L1029" s="5" t="str">
        <f t="shared" si="33"/>
        <v>Abrir no Maps</v>
      </c>
      <c r="M1029" t="s">
        <v>7328</v>
      </c>
      <c r="N1029" s="5"/>
      <c r="O1029" t="str">
        <f>VLOOKUP(G1029,'[1]CONFIG.'!$B:$C,2,0)</f>
        <v>ARISTON</v>
      </c>
      <c r="P1029" t="str">
        <f>VLOOKUP(O1029,'[1]CONFIG.'!$C:$D,2,0)</f>
        <v>74 99384078</v>
      </c>
    </row>
    <row r="1030" spans="1:16" x14ac:dyDescent="0.3">
      <c r="A1030" t="s">
        <v>7329</v>
      </c>
      <c r="B1030" t="s">
        <v>7330</v>
      </c>
      <c r="C1030" t="s">
        <v>7331</v>
      </c>
      <c r="D1030" t="s">
        <v>488</v>
      </c>
      <c r="E1030" t="s">
        <v>7332</v>
      </c>
      <c r="F1030" t="s">
        <v>7296</v>
      </c>
      <c r="G1030">
        <v>202</v>
      </c>
      <c r="H1030">
        <v>500</v>
      </c>
      <c r="I1030" s="5" t="s">
        <v>7333</v>
      </c>
      <c r="J1030" s="5" t="s">
        <v>7334</v>
      </c>
      <c r="K1030" s="5" t="str">
        <f t="shared" si="32"/>
        <v>https://www.google.com/maps?q=-12.247005, -41.617134</v>
      </c>
      <c r="L1030" s="5" t="str">
        <f t="shared" si="33"/>
        <v>Abrir no Maps</v>
      </c>
      <c r="M1030" t="s">
        <v>7335</v>
      </c>
      <c r="N1030" s="5"/>
      <c r="O1030" t="str">
        <f>VLOOKUP(G1030,'[1]CONFIG.'!$B:$C,2,0)</f>
        <v>ARISTON</v>
      </c>
      <c r="P1030" t="str">
        <f>VLOOKUP(O1030,'[1]CONFIG.'!$C:$D,2,0)</f>
        <v>74 99384078</v>
      </c>
    </row>
    <row r="1031" spans="1:16" x14ac:dyDescent="0.3">
      <c r="A1031" t="s">
        <v>7336</v>
      </c>
      <c r="B1031" t="s">
        <v>7337</v>
      </c>
      <c r="C1031" t="s">
        <v>7338</v>
      </c>
      <c r="D1031" t="s">
        <v>488</v>
      </c>
      <c r="E1031" t="s">
        <v>7339</v>
      </c>
      <c r="F1031" t="s">
        <v>7296</v>
      </c>
      <c r="G1031">
        <v>202</v>
      </c>
      <c r="H1031">
        <v>500</v>
      </c>
      <c r="I1031" s="5" t="s">
        <v>7340</v>
      </c>
      <c r="J1031" s="5" t="s">
        <v>7341</v>
      </c>
      <c r="K1031" s="5" t="str">
        <f t="shared" si="32"/>
        <v>https://www.google.com/maps?q=-12.242376, -41.616898</v>
      </c>
      <c r="L1031" s="5" t="str">
        <f t="shared" si="33"/>
        <v>Abrir no Maps</v>
      </c>
      <c r="M1031" t="s">
        <v>7342</v>
      </c>
      <c r="N1031" s="5"/>
      <c r="O1031" t="str">
        <f>VLOOKUP(G1031,'[1]CONFIG.'!$B:$C,2,0)</f>
        <v>ARISTON</v>
      </c>
      <c r="P1031" t="str">
        <f>VLOOKUP(O1031,'[1]CONFIG.'!$C:$D,2,0)</f>
        <v>74 99384078</v>
      </c>
    </row>
    <row r="1032" spans="1:16" x14ac:dyDescent="0.3">
      <c r="A1032" t="s">
        <v>7343</v>
      </c>
      <c r="B1032" t="s">
        <v>7344</v>
      </c>
      <c r="C1032" t="s">
        <v>7345</v>
      </c>
      <c r="D1032" t="s">
        <v>5973</v>
      </c>
      <c r="E1032" t="s">
        <v>7346</v>
      </c>
      <c r="F1032" t="s">
        <v>137</v>
      </c>
      <c r="G1032">
        <v>202</v>
      </c>
      <c r="H1032">
        <v>500</v>
      </c>
      <c r="I1032" s="5" t="s">
        <v>7347</v>
      </c>
      <c r="J1032" s="5" t="s">
        <v>7348</v>
      </c>
      <c r="K1032" s="5" t="str">
        <f t="shared" si="32"/>
        <v>https://www.google.com/maps?q=-11.965601, -41.642220</v>
      </c>
      <c r="L1032" s="5" t="str">
        <f t="shared" si="33"/>
        <v>Abrir no Maps</v>
      </c>
      <c r="M1032" t="s">
        <v>7349</v>
      </c>
      <c r="N1032" s="5"/>
      <c r="O1032" t="str">
        <f>VLOOKUP(G1032,'[1]CONFIG.'!$B:$C,2,0)</f>
        <v>ARISTON</v>
      </c>
      <c r="P1032" t="str">
        <f>VLOOKUP(O1032,'[1]CONFIG.'!$C:$D,2,0)</f>
        <v>74 99384078</v>
      </c>
    </row>
    <row r="1033" spans="1:16" x14ac:dyDescent="0.3">
      <c r="A1033" t="s">
        <v>7350</v>
      </c>
      <c r="B1033" t="s">
        <v>7351</v>
      </c>
      <c r="C1033" t="s">
        <v>7352</v>
      </c>
      <c r="D1033" t="s">
        <v>488</v>
      </c>
      <c r="E1033" t="s">
        <v>7353</v>
      </c>
      <c r="F1033" t="s">
        <v>7296</v>
      </c>
      <c r="G1033">
        <v>202</v>
      </c>
      <c r="H1033">
        <v>500</v>
      </c>
      <c r="I1033" s="5" t="s">
        <v>7354</v>
      </c>
      <c r="J1033" s="5" t="s">
        <v>7355</v>
      </c>
      <c r="K1033" s="5" t="str">
        <f t="shared" si="32"/>
        <v>https://www.google.com/maps?q=-12.246778, -41.616703</v>
      </c>
      <c r="L1033" s="5" t="str">
        <f t="shared" si="33"/>
        <v>Abrir no Maps</v>
      </c>
      <c r="M1033" t="s">
        <v>7356</v>
      </c>
      <c r="N1033" s="5"/>
      <c r="O1033" t="str">
        <f>VLOOKUP(G1033,'[1]CONFIG.'!$B:$C,2,0)</f>
        <v>ARISTON</v>
      </c>
      <c r="P1033" t="str">
        <f>VLOOKUP(O1033,'[1]CONFIG.'!$C:$D,2,0)</f>
        <v>74 99384078</v>
      </c>
    </row>
    <row r="1034" spans="1:16" x14ac:dyDescent="0.3">
      <c r="A1034" t="s">
        <v>7357</v>
      </c>
      <c r="B1034" t="s">
        <v>7358</v>
      </c>
      <c r="C1034" t="s">
        <v>7359</v>
      </c>
      <c r="D1034" t="s">
        <v>488</v>
      </c>
      <c r="E1034" t="s">
        <v>7360</v>
      </c>
      <c r="F1034" t="s">
        <v>7361</v>
      </c>
      <c r="G1034">
        <v>202</v>
      </c>
      <c r="H1034">
        <v>500</v>
      </c>
      <c r="I1034" s="5" t="s">
        <v>7362</v>
      </c>
      <c r="J1034" s="5" t="s">
        <v>7363</v>
      </c>
      <c r="K1034" s="5" t="str">
        <f t="shared" si="32"/>
        <v>https://www.google.com/maps?q=-12.247182, -41.617245</v>
      </c>
      <c r="L1034" s="5" t="str">
        <f t="shared" si="33"/>
        <v>Abrir no Maps</v>
      </c>
      <c r="M1034" t="s">
        <v>7364</v>
      </c>
      <c r="N1034" s="5"/>
      <c r="O1034" t="str">
        <f>VLOOKUP(G1034,'[1]CONFIG.'!$B:$C,2,0)</f>
        <v>ARISTON</v>
      </c>
      <c r="P1034" t="str">
        <f>VLOOKUP(O1034,'[1]CONFIG.'!$C:$D,2,0)</f>
        <v>74 99384078</v>
      </c>
    </row>
    <row r="1035" spans="1:16" x14ac:dyDescent="0.3">
      <c r="A1035" t="s">
        <v>7365</v>
      </c>
      <c r="B1035" t="s">
        <v>7366</v>
      </c>
      <c r="C1035" t="s">
        <v>7367</v>
      </c>
      <c r="D1035" t="s">
        <v>488</v>
      </c>
      <c r="E1035" t="s">
        <v>7368</v>
      </c>
      <c r="F1035" t="s">
        <v>7296</v>
      </c>
      <c r="G1035">
        <v>202</v>
      </c>
      <c r="H1035">
        <v>500</v>
      </c>
      <c r="I1035" s="5" t="s">
        <v>7369</v>
      </c>
      <c r="J1035" s="5" t="s">
        <v>7370</v>
      </c>
      <c r="K1035" s="5" t="str">
        <f t="shared" si="32"/>
        <v>https://www.google.com/maps?q=-12.247048, -41.617080</v>
      </c>
      <c r="L1035" s="5" t="str">
        <f t="shared" si="33"/>
        <v>Abrir no Maps</v>
      </c>
      <c r="M1035" t="s">
        <v>7371</v>
      </c>
      <c r="N1035" s="5"/>
      <c r="O1035" t="str">
        <f>VLOOKUP(G1035,'[1]CONFIG.'!$B:$C,2,0)</f>
        <v>ARISTON</v>
      </c>
      <c r="P1035" t="str">
        <f>VLOOKUP(O1035,'[1]CONFIG.'!$C:$D,2,0)</f>
        <v>74 99384078</v>
      </c>
    </row>
    <row r="1036" spans="1:16" x14ac:dyDescent="0.3">
      <c r="A1036" t="s">
        <v>7372</v>
      </c>
      <c r="B1036" t="s">
        <v>7373</v>
      </c>
      <c r="C1036" t="s">
        <v>7374</v>
      </c>
      <c r="D1036" t="s">
        <v>488</v>
      </c>
      <c r="E1036" t="s">
        <v>7375</v>
      </c>
      <c r="F1036" t="s">
        <v>7296</v>
      </c>
      <c r="G1036">
        <v>202</v>
      </c>
      <c r="H1036">
        <v>500</v>
      </c>
      <c r="I1036" s="5" t="s">
        <v>7376</v>
      </c>
      <c r="J1036" s="5" t="s">
        <v>7377</v>
      </c>
      <c r="K1036" s="5" t="str">
        <f t="shared" si="32"/>
        <v>https://www.google.com/maps?q=-12.198665, -41.615280</v>
      </c>
      <c r="L1036" s="5" t="str">
        <f t="shared" si="33"/>
        <v>Abrir no Maps</v>
      </c>
      <c r="M1036" t="s">
        <v>7378</v>
      </c>
      <c r="N1036" s="5"/>
      <c r="O1036" t="str">
        <f>VLOOKUP(G1036,'[1]CONFIG.'!$B:$C,2,0)</f>
        <v>ARISTON</v>
      </c>
      <c r="P1036" t="str">
        <f>VLOOKUP(O1036,'[1]CONFIG.'!$C:$D,2,0)</f>
        <v>74 99384078</v>
      </c>
    </row>
    <row r="1037" spans="1:16" x14ac:dyDescent="0.3">
      <c r="A1037" t="s">
        <v>7379</v>
      </c>
      <c r="B1037" t="s">
        <v>7380</v>
      </c>
      <c r="C1037" t="s">
        <v>7381</v>
      </c>
      <c r="D1037" t="s">
        <v>488</v>
      </c>
      <c r="E1037" t="s">
        <v>7382</v>
      </c>
      <c r="F1037" t="s">
        <v>7296</v>
      </c>
      <c r="G1037">
        <v>202</v>
      </c>
      <c r="H1037">
        <v>500</v>
      </c>
      <c r="I1037" s="5" t="s">
        <v>7383</v>
      </c>
      <c r="J1037" s="5" t="s">
        <v>7384</v>
      </c>
      <c r="K1037" s="5" t="str">
        <f t="shared" si="32"/>
        <v>https://www.google.com/maps?q=-12.246013, -41.620636</v>
      </c>
      <c r="L1037" s="5" t="str">
        <f t="shared" si="33"/>
        <v>Abrir no Maps</v>
      </c>
      <c r="M1037" t="s">
        <v>7385</v>
      </c>
      <c r="N1037" s="5"/>
      <c r="O1037" t="str">
        <f>VLOOKUP(G1037,'[1]CONFIG.'!$B:$C,2,0)</f>
        <v>ARISTON</v>
      </c>
      <c r="P1037" t="str">
        <f>VLOOKUP(O1037,'[1]CONFIG.'!$C:$D,2,0)</f>
        <v>74 99384078</v>
      </c>
    </row>
    <row r="1038" spans="1:16" x14ac:dyDescent="0.3">
      <c r="A1038" t="s">
        <v>7386</v>
      </c>
      <c r="B1038" t="s">
        <v>7387</v>
      </c>
      <c r="C1038" t="s">
        <v>7388</v>
      </c>
      <c r="D1038" t="s">
        <v>488</v>
      </c>
      <c r="E1038" t="s">
        <v>7389</v>
      </c>
      <c r="F1038" t="s">
        <v>7390</v>
      </c>
      <c r="G1038">
        <v>202</v>
      </c>
      <c r="H1038">
        <v>500</v>
      </c>
      <c r="I1038" s="5" t="s">
        <v>7391</v>
      </c>
      <c r="J1038" s="5" t="s">
        <v>7392</v>
      </c>
      <c r="K1038" s="5" t="str">
        <f t="shared" si="32"/>
        <v>https://www.google.com/maps?q=-12.346612, -41.585506</v>
      </c>
      <c r="L1038" s="5" t="str">
        <f t="shared" si="33"/>
        <v>Abrir no Maps</v>
      </c>
      <c r="M1038" t="s">
        <v>7307</v>
      </c>
      <c r="N1038" s="5"/>
      <c r="O1038" t="str">
        <f>VLOOKUP(G1038,'[1]CONFIG.'!$B:$C,2,0)</f>
        <v>ARISTON</v>
      </c>
      <c r="P1038" t="str">
        <f>VLOOKUP(O1038,'[1]CONFIG.'!$C:$D,2,0)</f>
        <v>74 99384078</v>
      </c>
    </row>
    <row r="1039" spans="1:16" x14ac:dyDescent="0.3">
      <c r="A1039" t="s">
        <v>7393</v>
      </c>
      <c r="B1039" t="s">
        <v>7394</v>
      </c>
      <c r="C1039" t="s">
        <v>7395</v>
      </c>
      <c r="D1039" t="s">
        <v>488</v>
      </c>
      <c r="E1039" t="s">
        <v>7396</v>
      </c>
      <c r="F1039" t="s">
        <v>137</v>
      </c>
      <c r="G1039">
        <v>202</v>
      </c>
      <c r="H1039">
        <v>500</v>
      </c>
      <c r="I1039" s="5" t="s">
        <v>7397</v>
      </c>
      <c r="J1039" s="5" t="s">
        <v>7398</v>
      </c>
      <c r="K1039" s="5" t="str">
        <f t="shared" si="32"/>
        <v>https://www.google.com/maps?q=-12.243995, -41.615356</v>
      </c>
      <c r="L1039" s="5" t="str">
        <f t="shared" si="33"/>
        <v>Abrir no Maps</v>
      </c>
      <c r="M1039" t="s">
        <v>7399</v>
      </c>
      <c r="N1039" s="5"/>
      <c r="O1039" t="str">
        <f>VLOOKUP(G1039,'[1]CONFIG.'!$B:$C,2,0)</f>
        <v>ARISTON</v>
      </c>
      <c r="P1039" t="str">
        <f>VLOOKUP(O1039,'[1]CONFIG.'!$C:$D,2,0)</f>
        <v>74 99384078</v>
      </c>
    </row>
    <row r="1040" spans="1:16" x14ac:dyDescent="0.3">
      <c r="A1040" t="s">
        <v>7400</v>
      </c>
      <c r="B1040" t="s">
        <v>7401</v>
      </c>
      <c r="C1040" t="s">
        <v>7402</v>
      </c>
      <c r="D1040" t="s">
        <v>488</v>
      </c>
      <c r="E1040" t="s">
        <v>7403</v>
      </c>
      <c r="F1040" t="s">
        <v>7404</v>
      </c>
      <c r="G1040">
        <v>202</v>
      </c>
      <c r="H1040">
        <v>500</v>
      </c>
      <c r="I1040" s="5" t="s">
        <v>7405</v>
      </c>
      <c r="J1040" s="5" t="s">
        <v>7406</v>
      </c>
      <c r="K1040" s="5" t="str">
        <f t="shared" si="32"/>
        <v>https://www.google.com/maps?q=-12.238416, -41.618324</v>
      </c>
      <c r="L1040" s="5" t="str">
        <f t="shared" si="33"/>
        <v>Abrir no Maps</v>
      </c>
      <c r="M1040" t="s">
        <v>7407</v>
      </c>
      <c r="N1040" s="5"/>
      <c r="O1040" t="str">
        <f>VLOOKUP(G1040,'[1]CONFIG.'!$B:$C,2,0)</f>
        <v>ARISTON</v>
      </c>
      <c r="P1040" t="str">
        <f>VLOOKUP(O1040,'[1]CONFIG.'!$C:$D,2,0)</f>
        <v>74 99384078</v>
      </c>
    </row>
    <row r="1041" spans="1:16" x14ac:dyDescent="0.3">
      <c r="A1041" t="s">
        <v>7408</v>
      </c>
      <c r="B1041" t="s">
        <v>7409</v>
      </c>
      <c r="C1041" t="s">
        <v>7410</v>
      </c>
      <c r="D1041" t="s">
        <v>488</v>
      </c>
      <c r="E1041" t="s">
        <v>7411</v>
      </c>
      <c r="F1041" t="s">
        <v>7412</v>
      </c>
      <c r="G1041">
        <v>202</v>
      </c>
      <c r="H1041">
        <v>500</v>
      </c>
      <c r="I1041" s="5" t="s">
        <v>7413</v>
      </c>
      <c r="J1041" s="5" t="s">
        <v>7414</v>
      </c>
      <c r="K1041" s="5" t="str">
        <f t="shared" si="32"/>
        <v>https://www.google.com/maps?q=-12.346108, -41.585870</v>
      </c>
      <c r="L1041" s="5" t="str">
        <f t="shared" si="33"/>
        <v>Abrir no Maps</v>
      </c>
      <c r="M1041" t="s">
        <v>7415</v>
      </c>
      <c r="N1041" s="5"/>
      <c r="O1041" t="str">
        <f>VLOOKUP(G1041,'[1]CONFIG.'!$B:$C,2,0)</f>
        <v>ARISTON</v>
      </c>
      <c r="P1041" t="str">
        <f>VLOOKUP(O1041,'[1]CONFIG.'!$C:$D,2,0)</f>
        <v>74 99384078</v>
      </c>
    </row>
    <row r="1042" spans="1:16" x14ac:dyDescent="0.3">
      <c r="A1042" t="s">
        <v>7416</v>
      </c>
      <c r="B1042" t="s">
        <v>7417</v>
      </c>
      <c r="C1042" t="s">
        <v>7418</v>
      </c>
      <c r="D1042" t="s">
        <v>488</v>
      </c>
      <c r="E1042" t="s">
        <v>7419</v>
      </c>
      <c r="F1042" t="s">
        <v>7412</v>
      </c>
      <c r="G1042">
        <v>202</v>
      </c>
      <c r="H1042">
        <v>500</v>
      </c>
      <c r="I1042" s="5" t="s">
        <v>7420</v>
      </c>
      <c r="J1042" s="5" t="s">
        <v>7421</v>
      </c>
      <c r="K1042" s="5" t="str">
        <f t="shared" si="32"/>
        <v>https://www.google.com/maps?q=-12.346571, -41.584720</v>
      </c>
      <c r="L1042" s="5" t="str">
        <f t="shared" si="33"/>
        <v>Abrir no Maps</v>
      </c>
      <c r="M1042" t="s">
        <v>7422</v>
      </c>
      <c r="N1042" s="5"/>
      <c r="O1042" t="str">
        <f>VLOOKUP(G1042,'[1]CONFIG.'!$B:$C,2,0)</f>
        <v>ARISTON</v>
      </c>
      <c r="P1042" t="str">
        <f>VLOOKUP(O1042,'[1]CONFIG.'!$C:$D,2,0)</f>
        <v>74 99384078</v>
      </c>
    </row>
    <row r="1043" spans="1:16" x14ac:dyDescent="0.3">
      <c r="A1043" t="s">
        <v>7423</v>
      </c>
      <c r="B1043" t="s">
        <v>7424</v>
      </c>
      <c r="C1043" t="s">
        <v>7425</v>
      </c>
      <c r="D1043" t="s">
        <v>488</v>
      </c>
      <c r="E1043" t="s">
        <v>7426</v>
      </c>
      <c r="F1043" t="s">
        <v>7427</v>
      </c>
      <c r="G1043">
        <v>202</v>
      </c>
      <c r="H1043">
        <v>500</v>
      </c>
      <c r="I1043" s="5" t="s">
        <v>7428</v>
      </c>
      <c r="J1043" s="5" t="s">
        <v>7429</v>
      </c>
      <c r="K1043" s="5" t="str">
        <f t="shared" si="32"/>
        <v>https://www.google.com/maps?q=-12.342977, -41.661520</v>
      </c>
      <c r="L1043" s="5" t="str">
        <f t="shared" si="33"/>
        <v>Abrir no Maps</v>
      </c>
      <c r="M1043" t="s">
        <v>7430</v>
      </c>
      <c r="N1043" s="5"/>
      <c r="O1043" t="str">
        <f>VLOOKUP(G1043,'[1]CONFIG.'!$B:$C,2,0)</f>
        <v>ARISTON</v>
      </c>
      <c r="P1043" t="str">
        <f>VLOOKUP(O1043,'[1]CONFIG.'!$C:$D,2,0)</f>
        <v>74 99384078</v>
      </c>
    </row>
    <row r="1044" spans="1:16" x14ac:dyDescent="0.3">
      <c r="A1044" t="s">
        <v>7431</v>
      </c>
      <c r="B1044" t="s">
        <v>7432</v>
      </c>
      <c r="C1044" t="s">
        <v>7433</v>
      </c>
      <c r="D1044" t="s">
        <v>488</v>
      </c>
      <c r="E1044" t="s">
        <v>7434</v>
      </c>
      <c r="F1044" t="s">
        <v>137</v>
      </c>
      <c r="G1044">
        <v>202</v>
      </c>
      <c r="H1044">
        <v>500</v>
      </c>
      <c r="I1044" s="5" t="s">
        <v>7435</v>
      </c>
      <c r="J1044" s="5" t="s">
        <v>7436</v>
      </c>
      <c r="K1044" s="5" t="str">
        <f t="shared" si="32"/>
        <v>https://www.google.com/maps?q=-12.243627, -41.615910</v>
      </c>
      <c r="L1044" s="5" t="str">
        <f t="shared" si="33"/>
        <v>Abrir no Maps</v>
      </c>
      <c r="M1044" t="s">
        <v>7437</v>
      </c>
      <c r="N1044" s="5"/>
      <c r="O1044" t="str">
        <f>VLOOKUP(G1044,'[1]CONFIG.'!$B:$C,2,0)</f>
        <v>ARISTON</v>
      </c>
      <c r="P1044" t="str">
        <f>VLOOKUP(O1044,'[1]CONFIG.'!$C:$D,2,0)</f>
        <v>74 99384078</v>
      </c>
    </row>
    <row r="1045" spans="1:16" x14ac:dyDescent="0.3">
      <c r="A1045" t="s">
        <v>7438</v>
      </c>
      <c r="B1045" t="s">
        <v>7439</v>
      </c>
      <c r="C1045" t="s">
        <v>7440</v>
      </c>
      <c r="D1045" t="s">
        <v>488</v>
      </c>
      <c r="E1045" t="s">
        <v>7441</v>
      </c>
      <c r="F1045" t="s">
        <v>137</v>
      </c>
      <c r="G1045">
        <v>202</v>
      </c>
      <c r="H1045">
        <v>500</v>
      </c>
      <c r="I1045" s="5" t="s">
        <v>7442</v>
      </c>
      <c r="J1045" s="5" t="s">
        <v>7443</v>
      </c>
      <c r="K1045" s="5" t="str">
        <f t="shared" si="32"/>
        <v>https://www.google.com/maps?q=-12.248921, -41.619953</v>
      </c>
      <c r="L1045" s="5" t="str">
        <f t="shared" si="33"/>
        <v>Abrir no Maps</v>
      </c>
      <c r="M1045">
        <v>0</v>
      </c>
      <c r="N1045" s="5"/>
      <c r="O1045" t="str">
        <f>VLOOKUP(G1045,'[1]CONFIG.'!$B:$C,2,0)</f>
        <v>ARISTON</v>
      </c>
      <c r="P1045" t="str">
        <f>VLOOKUP(O1045,'[1]CONFIG.'!$C:$D,2,0)</f>
        <v>74 99384078</v>
      </c>
    </row>
    <row r="1046" spans="1:16" x14ac:dyDescent="0.3">
      <c r="A1046" t="s">
        <v>7444</v>
      </c>
      <c r="B1046" t="s">
        <v>7445</v>
      </c>
      <c r="C1046" t="s">
        <v>7446</v>
      </c>
      <c r="D1046" t="s">
        <v>488</v>
      </c>
      <c r="E1046" t="s">
        <v>7447</v>
      </c>
      <c r="F1046" t="s">
        <v>137</v>
      </c>
      <c r="G1046">
        <v>202</v>
      </c>
      <c r="H1046">
        <v>500</v>
      </c>
      <c r="I1046" s="5" t="s">
        <v>7448</v>
      </c>
      <c r="J1046" s="5" t="s">
        <v>7449</v>
      </c>
      <c r="K1046" s="5" t="str">
        <f t="shared" si="32"/>
        <v>https://www.google.com/maps?q=-12.244911, -41.618443</v>
      </c>
      <c r="L1046" s="5" t="str">
        <f t="shared" si="33"/>
        <v>Abrir no Maps</v>
      </c>
      <c r="M1046" t="s">
        <v>7450</v>
      </c>
      <c r="N1046" s="5"/>
      <c r="O1046" t="str">
        <f>VLOOKUP(G1046,'[1]CONFIG.'!$B:$C,2,0)</f>
        <v>ARISTON</v>
      </c>
      <c r="P1046" t="str">
        <f>VLOOKUP(O1046,'[1]CONFIG.'!$C:$D,2,0)</f>
        <v>74 99384078</v>
      </c>
    </row>
    <row r="1047" spans="1:16" x14ac:dyDescent="0.3">
      <c r="A1047" t="s">
        <v>7451</v>
      </c>
      <c r="B1047" t="s">
        <v>7452</v>
      </c>
      <c r="C1047" t="s">
        <v>7453</v>
      </c>
      <c r="D1047" t="s">
        <v>488</v>
      </c>
      <c r="E1047" t="s">
        <v>7454</v>
      </c>
      <c r="F1047" t="s">
        <v>7455</v>
      </c>
      <c r="G1047">
        <v>202</v>
      </c>
      <c r="H1047">
        <v>500</v>
      </c>
      <c r="I1047" s="5" t="s">
        <v>7456</v>
      </c>
      <c r="J1047" s="5" t="s">
        <v>7457</v>
      </c>
      <c r="K1047" s="5" t="str">
        <f t="shared" si="32"/>
        <v>https://www.google.com/maps?q=-12.320375, -41.682835</v>
      </c>
      <c r="L1047" s="5" t="str">
        <f t="shared" si="33"/>
        <v>Abrir no Maps</v>
      </c>
      <c r="M1047" t="s">
        <v>7458</v>
      </c>
      <c r="N1047" s="5"/>
      <c r="O1047" t="str">
        <f>VLOOKUP(G1047,'[1]CONFIG.'!$B:$C,2,0)</f>
        <v>ARISTON</v>
      </c>
      <c r="P1047" t="str">
        <f>VLOOKUP(O1047,'[1]CONFIG.'!$C:$D,2,0)</f>
        <v>74 99384078</v>
      </c>
    </row>
    <row r="1048" spans="1:16" x14ac:dyDescent="0.3">
      <c r="A1048" t="s">
        <v>7459</v>
      </c>
      <c r="B1048" t="s">
        <v>7460</v>
      </c>
      <c r="C1048" t="s">
        <v>7461</v>
      </c>
      <c r="D1048" t="s">
        <v>488</v>
      </c>
      <c r="E1048" t="s">
        <v>7462</v>
      </c>
      <c r="F1048" t="s">
        <v>7463</v>
      </c>
      <c r="G1048">
        <v>202</v>
      </c>
      <c r="H1048">
        <v>500</v>
      </c>
      <c r="I1048" s="5" t="s">
        <v>7464</v>
      </c>
      <c r="J1048" s="5" t="s">
        <v>7465</v>
      </c>
      <c r="K1048" s="5" t="str">
        <f t="shared" si="32"/>
        <v>https://www.google.com/maps?q=-12.236820, -41.617466</v>
      </c>
      <c r="L1048" s="5" t="str">
        <f t="shared" si="33"/>
        <v>Abrir no Maps</v>
      </c>
      <c r="M1048" t="s">
        <v>7466</v>
      </c>
      <c r="N1048" s="5"/>
      <c r="O1048" t="str">
        <f>VLOOKUP(G1048,'[1]CONFIG.'!$B:$C,2,0)</f>
        <v>ARISTON</v>
      </c>
      <c r="P1048" t="str">
        <f>VLOOKUP(O1048,'[1]CONFIG.'!$C:$D,2,0)</f>
        <v>74 99384078</v>
      </c>
    </row>
    <row r="1049" spans="1:16" x14ac:dyDescent="0.3">
      <c r="A1049" t="s">
        <v>7467</v>
      </c>
      <c r="B1049" t="s">
        <v>7468</v>
      </c>
      <c r="C1049" t="s">
        <v>7469</v>
      </c>
      <c r="D1049" t="s">
        <v>488</v>
      </c>
      <c r="E1049" t="s">
        <v>7470</v>
      </c>
      <c r="F1049" t="s">
        <v>137</v>
      </c>
      <c r="G1049">
        <v>202</v>
      </c>
      <c r="H1049">
        <v>500</v>
      </c>
      <c r="I1049" s="5" t="s">
        <v>7471</v>
      </c>
      <c r="J1049" s="5" t="s">
        <v>7472</v>
      </c>
      <c r="K1049" s="5" t="str">
        <f t="shared" si="32"/>
        <v>https://www.google.com/maps?q=-12.247410, -41.616375</v>
      </c>
      <c r="L1049" s="5" t="str">
        <f t="shared" si="33"/>
        <v>Abrir no Maps</v>
      </c>
      <c r="M1049" t="s">
        <v>7473</v>
      </c>
      <c r="N1049" s="5"/>
      <c r="O1049" t="str">
        <f>VLOOKUP(G1049,'[1]CONFIG.'!$B:$C,2,0)</f>
        <v>ARISTON</v>
      </c>
      <c r="P1049" t="str">
        <f>VLOOKUP(O1049,'[1]CONFIG.'!$C:$D,2,0)</f>
        <v>74 99384078</v>
      </c>
    </row>
    <row r="1050" spans="1:16" x14ac:dyDescent="0.3">
      <c r="A1050" t="s">
        <v>7474</v>
      </c>
      <c r="B1050" t="s">
        <v>7475</v>
      </c>
      <c r="C1050" t="s">
        <v>7476</v>
      </c>
      <c r="D1050" t="s">
        <v>488</v>
      </c>
      <c r="E1050" t="s">
        <v>7477</v>
      </c>
      <c r="F1050" t="s">
        <v>137</v>
      </c>
      <c r="G1050">
        <v>202</v>
      </c>
      <c r="H1050">
        <v>500</v>
      </c>
      <c r="I1050" s="5" t="s">
        <v>7478</v>
      </c>
      <c r="J1050" s="5" t="s">
        <v>7479</v>
      </c>
      <c r="K1050" s="5" t="str">
        <f t="shared" si="32"/>
        <v>https://www.google.com/maps?q=-12.247759, -41.618267</v>
      </c>
      <c r="L1050" s="5" t="str">
        <f t="shared" si="33"/>
        <v>Abrir no Maps</v>
      </c>
      <c r="M1050" t="s">
        <v>7480</v>
      </c>
      <c r="N1050" s="5"/>
      <c r="O1050" t="str">
        <f>VLOOKUP(G1050,'[1]CONFIG.'!$B:$C,2,0)</f>
        <v>ARISTON</v>
      </c>
      <c r="P1050" t="str">
        <f>VLOOKUP(O1050,'[1]CONFIG.'!$C:$D,2,0)</f>
        <v>74 99384078</v>
      </c>
    </row>
    <row r="1051" spans="1:16" x14ac:dyDescent="0.3">
      <c r="A1051" t="s">
        <v>7481</v>
      </c>
      <c r="B1051" t="s">
        <v>7482</v>
      </c>
      <c r="C1051" t="s">
        <v>7483</v>
      </c>
      <c r="D1051" t="s">
        <v>488</v>
      </c>
      <c r="E1051" t="s">
        <v>7484</v>
      </c>
      <c r="F1051" t="s">
        <v>137</v>
      </c>
      <c r="G1051">
        <v>202</v>
      </c>
      <c r="H1051">
        <v>500</v>
      </c>
      <c r="I1051" s="5" t="s">
        <v>7485</v>
      </c>
      <c r="J1051" s="5" t="s">
        <v>7486</v>
      </c>
      <c r="K1051" s="5" t="str">
        <f t="shared" si="32"/>
        <v>https://www.google.com/maps?q=-12.246032, -41.618070</v>
      </c>
      <c r="L1051" s="5" t="str">
        <f t="shared" si="33"/>
        <v>Abrir no Maps</v>
      </c>
      <c r="M1051" t="s">
        <v>7487</v>
      </c>
      <c r="N1051" s="5"/>
      <c r="O1051" t="str">
        <f>VLOOKUP(G1051,'[1]CONFIG.'!$B:$C,2,0)</f>
        <v>ARISTON</v>
      </c>
      <c r="P1051" t="str">
        <f>VLOOKUP(O1051,'[1]CONFIG.'!$C:$D,2,0)</f>
        <v>74 99384078</v>
      </c>
    </row>
    <row r="1052" spans="1:16" x14ac:dyDescent="0.3">
      <c r="A1052" t="s">
        <v>7488</v>
      </c>
      <c r="B1052" t="s">
        <v>7489</v>
      </c>
      <c r="C1052" t="s">
        <v>7490</v>
      </c>
      <c r="D1052" t="s">
        <v>488</v>
      </c>
      <c r="E1052" t="s">
        <v>7491</v>
      </c>
      <c r="F1052" t="s">
        <v>7492</v>
      </c>
      <c r="G1052">
        <v>202</v>
      </c>
      <c r="H1052">
        <v>500</v>
      </c>
      <c r="I1052" s="5" t="s">
        <v>7493</v>
      </c>
      <c r="J1052" s="5" t="s">
        <v>7494</v>
      </c>
      <c r="K1052" s="5" t="str">
        <f t="shared" si="32"/>
        <v>https://www.google.com/maps?q=-12.256407, -41.607350</v>
      </c>
      <c r="L1052" s="5" t="str">
        <f t="shared" si="33"/>
        <v>Abrir no Maps</v>
      </c>
      <c r="M1052" t="s">
        <v>7495</v>
      </c>
      <c r="N1052" s="5"/>
      <c r="O1052" t="str">
        <f>VLOOKUP(G1052,'[1]CONFIG.'!$B:$C,2,0)</f>
        <v>ARISTON</v>
      </c>
      <c r="P1052" t="str">
        <f>VLOOKUP(O1052,'[1]CONFIG.'!$C:$D,2,0)</f>
        <v>74 99384078</v>
      </c>
    </row>
    <row r="1053" spans="1:16" x14ac:dyDescent="0.3">
      <c r="A1053" t="s">
        <v>7496</v>
      </c>
      <c r="B1053" t="s">
        <v>7497</v>
      </c>
      <c r="C1053" t="s">
        <v>7498</v>
      </c>
      <c r="D1053" t="s">
        <v>488</v>
      </c>
      <c r="E1053" t="s">
        <v>7499</v>
      </c>
      <c r="F1053" t="s">
        <v>137</v>
      </c>
      <c r="G1053">
        <v>202</v>
      </c>
      <c r="H1053">
        <v>500</v>
      </c>
      <c r="I1053" s="5" t="s">
        <v>7500</v>
      </c>
      <c r="J1053" s="5" t="s">
        <v>7501</v>
      </c>
      <c r="K1053" s="5" t="str">
        <f t="shared" si="32"/>
        <v>https://www.google.com/maps?q=-12.247002, -41.618057</v>
      </c>
      <c r="L1053" s="5" t="str">
        <f t="shared" si="33"/>
        <v>Abrir no Maps</v>
      </c>
      <c r="M1053" t="s">
        <v>7502</v>
      </c>
      <c r="N1053" s="5"/>
      <c r="O1053" t="str">
        <f>VLOOKUP(G1053,'[1]CONFIG.'!$B:$C,2,0)</f>
        <v>ARISTON</v>
      </c>
      <c r="P1053" t="str">
        <f>VLOOKUP(O1053,'[1]CONFIG.'!$C:$D,2,0)</f>
        <v>74 99384078</v>
      </c>
    </row>
    <row r="1054" spans="1:16" x14ac:dyDescent="0.3">
      <c r="A1054" t="s">
        <v>7503</v>
      </c>
      <c r="B1054" t="s">
        <v>7504</v>
      </c>
      <c r="C1054" t="s">
        <v>7505</v>
      </c>
      <c r="D1054" t="s">
        <v>488</v>
      </c>
      <c r="E1054" t="s">
        <v>7506</v>
      </c>
      <c r="F1054" t="s">
        <v>137</v>
      </c>
      <c r="G1054">
        <v>202</v>
      </c>
      <c r="H1054">
        <v>500</v>
      </c>
      <c r="I1054" s="5" t="s">
        <v>7507</v>
      </c>
      <c r="J1054" s="5" t="s">
        <v>7508</v>
      </c>
      <c r="K1054" s="5" t="str">
        <f t="shared" si="32"/>
        <v>https://www.google.com/maps?q=-12.247445, -41.617737</v>
      </c>
      <c r="L1054" s="5" t="str">
        <f t="shared" si="33"/>
        <v>Abrir no Maps</v>
      </c>
      <c r="M1054" t="s">
        <v>7509</v>
      </c>
      <c r="N1054" s="5"/>
      <c r="O1054" t="str">
        <f>VLOOKUP(G1054,'[1]CONFIG.'!$B:$C,2,0)</f>
        <v>ARISTON</v>
      </c>
      <c r="P1054" t="str">
        <f>VLOOKUP(O1054,'[1]CONFIG.'!$C:$D,2,0)</f>
        <v>74 99384078</v>
      </c>
    </row>
    <row r="1055" spans="1:16" x14ac:dyDescent="0.3">
      <c r="A1055" t="s">
        <v>7510</v>
      </c>
      <c r="B1055" t="s">
        <v>7511</v>
      </c>
      <c r="C1055" t="s">
        <v>7512</v>
      </c>
      <c r="D1055" t="s">
        <v>488</v>
      </c>
      <c r="E1055" t="s">
        <v>7513</v>
      </c>
      <c r="F1055" t="s">
        <v>137</v>
      </c>
      <c r="G1055">
        <v>202</v>
      </c>
      <c r="H1055">
        <v>500</v>
      </c>
      <c r="I1055" s="5" t="s">
        <v>7514</v>
      </c>
      <c r="J1055" s="5" t="s">
        <v>7515</v>
      </c>
      <c r="K1055" s="5" t="str">
        <f t="shared" si="32"/>
        <v>https://www.google.com/maps?q=-12.246942, -41.616825</v>
      </c>
      <c r="L1055" s="5" t="str">
        <f t="shared" si="33"/>
        <v>Abrir no Maps</v>
      </c>
      <c r="M1055" t="s">
        <v>7516</v>
      </c>
      <c r="N1055" s="5"/>
      <c r="O1055" t="str">
        <f>VLOOKUP(G1055,'[1]CONFIG.'!$B:$C,2,0)</f>
        <v>ARISTON</v>
      </c>
      <c r="P1055" t="str">
        <f>VLOOKUP(O1055,'[1]CONFIG.'!$C:$D,2,0)</f>
        <v>74 99384078</v>
      </c>
    </row>
    <row r="1056" spans="1:16" x14ac:dyDescent="0.3">
      <c r="A1056" t="s">
        <v>7517</v>
      </c>
      <c r="B1056" t="s">
        <v>7518</v>
      </c>
      <c r="C1056" t="s">
        <v>7519</v>
      </c>
      <c r="D1056" t="s">
        <v>488</v>
      </c>
      <c r="E1056" t="s">
        <v>7520</v>
      </c>
      <c r="F1056" t="s">
        <v>137</v>
      </c>
      <c r="G1056">
        <v>202</v>
      </c>
      <c r="H1056">
        <v>500</v>
      </c>
      <c r="I1056" s="5" t="s">
        <v>7521</v>
      </c>
      <c r="J1056" s="5" t="s">
        <v>7522</v>
      </c>
      <c r="K1056" s="5" t="str">
        <f t="shared" si="32"/>
        <v>https://www.google.com/maps?q=-12.244852, -41.618797</v>
      </c>
      <c r="L1056" s="5" t="str">
        <f t="shared" si="33"/>
        <v>Abrir no Maps</v>
      </c>
      <c r="M1056" t="s">
        <v>7523</v>
      </c>
      <c r="N1056" s="5"/>
      <c r="O1056" t="str">
        <f>VLOOKUP(G1056,'[1]CONFIG.'!$B:$C,2,0)</f>
        <v>ARISTON</v>
      </c>
      <c r="P1056" t="str">
        <f>VLOOKUP(O1056,'[1]CONFIG.'!$C:$D,2,0)</f>
        <v>74 99384078</v>
      </c>
    </row>
    <row r="1057" spans="1:16" x14ac:dyDescent="0.3">
      <c r="A1057" t="s">
        <v>7524</v>
      </c>
      <c r="B1057" t="s">
        <v>7525</v>
      </c>
      <c r="C1057" t="s">
        <v>7526</v>
      </c>
      <c r="D1057" t="s">
        <v>488</v>
      </c>
      <c r="E1057" t="s">
        <v>7527</v>
      </c>
      <c r="F1057" t="s">
        <v>7492</v>
      </c>
      <c r="G1057">
        <v>202</v>
      </c>
      <c r="H1057">
        <v>500</v>
      </c>
      <c r="I1057" s="5" t="s">
        <v>7528</v>
      </c>
      <c r="J1057" s="5" t="s">
        <v>7494</v>
      </c>
      <c r="K1057" s="5" t="str">
        <f t="shared" si="32"/>
        <v>https://www.google.com/maps?q=-12.256543, -41.607350</v>
      </c>
      <c r="L1057" s="5" t="str">
        <f t="shared" si="33"/>
        <v>Abrir no Maps</v>
      </c>
      <c r="M1057" t="s">
        <v>7529</v>
      </c>
      <c r="N1057" s="5"/>
      <c r="O1057" t="str">
        <f>VLOOKUP(G1057,'[1]CONFIG.'!$B:$C,2,0)</f>
        <v>ARISTON</v>
      </c>
      <c r="P1057" t="str">
        <f>VLOOKUP(O1057,'[1]CONFIG.'!$C:$D,2,0)</f>
        <v>74 99384078</v>
      </c>
    </row>
    <row r="1058" spans="1:16" x14ac:dyDescent="0.3">
      <c r="A1058" t="s">
        <v>7530</v>
      </c>
      <c r="B1058" t="s">
        <v>7531</v>
      </c>
      <c r="C1058" t="s">
        <v>7532</v>
      </c>
      <c r="D1058" t="s">
        <v>488</v>
      </c>
      <c r="E1058" t="s">
        <v>7533</v>
      </c>
      <c r="F1058" t="s">
        <v>137</v>
      </c>
      <c r="G1058">
        <v>202</v>
      </c>
      <c r="H1058">
        <v>500</v>
      </c>
      <c r="I1058" s="5" t="s">
        <v>7534</v>
      </c>
      <c r="J1058" s="5" t="s">
        <v>7535</v>
      </c>
      <c r="K1058" s="5" t="str">
        <f t="shared" si="32"/>
        <v>https://www.google.com/maps?q=-12.246294, -41.617966</v>
      </c>
      <c r="L1058" s="5" t="str">
        <f t="shared" si="33"/>
        <v>Abrir no Maps</v>
      </c>
      <c r="M1058" t="s">
        <v>7536</v>
      </c>
      <c r="N1058" s="5"/>
      <c r="O1058" t="str">
        <f>VLOOKUP(G1058,'[1]CONFIG.'!$B:$C,2,0)</f>
        <v>ARISTON</v>
      </c>
      <c r="P1058" t="str">
        <f>VLOOKUP(O1058,'[1]CONFIG.'!$C:$D,2,0)</f>
        <v>74 99384078</v>
      </c>
    </row>
    <row r="1059" spans="1:16" x14ac:dyDescent="0.3">
      <c r="A1059" t="s">
        <v>7537</v>
      </c>
      <c r="B1059" t="s">
        <v>7538</v>
      </c>
      <c r="C1059" t="s">
        <v>7539</v>
      </c>
      <c r="D1059" t="s">
        <v>488</v>
      </c>
      <c r="E1059" t="s">
        <v>7540</v>
      </c>
      <c r="F1059" t="s">
        <v>137</v>
      </c>
      <c r="G1059">
        <v>202</v>
      </c>
      <c r="H1059">
        <v>500</v>
      </c>
      <c r="I1059" s="5" t="s">
        <v>7541</v>
      </c>
      <c r="J1059" s="5" t="s">
        <v>7542</v>
      </c>
      <c r="K1059" s="5" t="str">
        <f t="shared" si="32"/>
        <v>https://www.google.com/maps?q=-12.247622, -41.617839</v>
      </c>
      <c r="L1059" s="5" t="str">
        <f t="shared" si="33"/>
        <v>Abrir no Maps</v>
      </c>
      <c r="M1059" t="s">
        <v>7543</v>
      </c>
      <c r="N1059" s="5"/>
      <c r="O1059" t="str">
        <f>VLOOKUP(G1059,'[1]CONFIG.'!$B:$C,2,0)</f>
        <v>ARISTON</v>
      </c>
      <c r="P1059" t="str">
        <f>VLOOKUP(O1059,'[1]CONFIG.'!$C:$D,2,0)</f>
        <v>74 99384078</v>
      </c>
    </row>
    <row r="1060" spans="1:16" x14ac:dyDescent="0.3">
      <c r="A1060" t="s">
        <v>7544</v>
      </c>
      <c r="B1060" t="s">
        <v>7545</v>
      </c>
      <c r="C1060" t="s">
        <v>7546</v>
      </c>
      <c r="D1060" t="s">
        <v>488</v>
      </c>
      <c r="E1060" t="s">
        <v>7547</v>
      </c>
      <c r="F1060" t="s">
        <v>7548</v>
      </c>
      <c r="G1060">
        <v>202</v>
      </c>
      <c r="H1060">
        <v>500</v>
      </c>
      <c r="I1060" s="5" t="s">
        <v>7549</v>
      </c>
      <c r="J1060" s="5" t="s">
        <v>7550</v>
      </c>
      <c r="K1060" s="5" t="str">
        <f t="shared" si="32"/>
        <v>https://www.google.com/maps?q=-12.278512, -41.511818</v>
      </c>
      <c r="L1060" s="5" t="str">
        <f t="shared" si="33"/>
        <v>Abrir no Maps</v>
      </c>
      <c r="M1060" t="s">
        <v>7551</v>
      </c>
      <c r="N1060" s="5"/>
      <c r="O1060" t="str">
        <f>VLOOKUP(G1060,'[1]CONFIG.'!$B:$C,2,0)</f>
        <v>ARISTON</v>
      </c>
      <c r="P1060" t="str">
        <f>VLOOKUP(O1060,'[1]CONFIG.'!$C:$D,2,0)</f>
        <v>74 99384078</v>
      </c>
    </row>
    <row r="1061" spans="1:16" x14ac:dyDescent="0.3">
      <c r="A1061" t="s">
        <v>7552</v>
      </c>
      <c r="B1061" t="s">
        <v>7553</v>
      </c>
      <c r="C1061" t="s">
        <v>7554</v>
      </c>
      <c r="D1061" t="s">
        <v>488</v>
      </c>
      <c r="E1061" t="s">
        <v>7555</v>
      </c>
      <c r="F1061" t="s">
        <v>137</v>
      </c>
      <c r="G1061">
        <v>202</v>
      </c>
      <c r="H1061">
        <v>500</v>
      </c>
      <c r="I1061" s="5" t="s">
        <v>7556</v>
      </c>
      <c r="J1061" s="5" t="s">
        <v>7557</v>
      </c>
      <c r="K1061" s="5" t="str">
        <f t="shared" si="32"/>
        <v>https://www.google.com/maps?q=-12.246155, -41.615456</v>
      </c>
      <c r="L1061" s="5" t="str">
        <f t="shared" si="33"/>
        <v>Abrir no Maps</v>
      </c>
      <c r="M1061" t="s">
        <v>7558</v>
      </c>
      <c r="N1061" s="5"/>
      <c r="O1061" t="str">
        <f>VLOOKUP(G1061,'[1]CONFIG.'!$B:$C,2,0)</f>
        <v>ARISTON</v>
      </c>
      <c r="P1061" t="str">
        <f>VLOOKUP(O1061,'[1]CONFIG.'!$C:$D,2,0)</f>
        <v>74 99384078</v>
      </c>
    </row>
    <row r="1062" spans="1:16" x14ac:dyDescent="0.3">
      <c r="A1062" t="s">
        <v>7559</v>
      </c>
      <c r="B1062" t="s">
        <v>7560</v>
      </c>
      <c r="C1062" t="s">
        <v>7561</v>
      </c>
      <c r="D1062" t="s">
        <v>488</v>
      </c>
      <c r="E1062" t="s">
        <v>7562</v>
      </c>
      <c r="F1062" t="s">
        <v>137</v>
      </c>
      <c r="G1062">
        <v>202</v>
      </c>
      <c r="H1062">
        <v>500</v>
      </c>
      <c r="I1062" s="5" t="s">
        <v>7563</v>
      </c>
      <c r="J1062" s="5" t="s">
        <v>7564</v>
      </c>
      <c r="K1062" s="5" t="str">
        <f t="shared" si="32"/>
        <v>https://www.google.com/maps?q=-12.246880, -41.611620</v>
      </c>
      <c r="L1062" s="5" t="str">
        <f t="shared" si="33"/>
        <v>Abrir no Maps</v>
      </c>
      <c r="M1062" t="s">
        <v>7565</v>
      </c>
      <c r="N1062" s="5"/>
      <c r="O1062" t="str">
        <f>VLOOKUP(G1062,'[1]CONFIG.'!$B:$C,2,0)</f>
        <v>ARISTON</v>
      </c>
      <c r="P1062" t="str">
        <f>VLOOKUP(O1062,'[1]CONFIG.'!$C:$D,2,0)</f>
        <v>74 99384078</v>
      </c>
    </row>
    <row r="1063" spans="1:16" x14ac:dyDescent="0.3">
      <c r="A1063" t="s">
        <v>7566</v>
      </c>
      <c r="B1063" t="s">
        <v>7567</v>
      </c>
      <c r="C1063" t="s">
        <v>7568</v>
      </c>
      <c r="D1063" t="s">
        <v>488</v>
      </c>
      <c r="E1063" t="s">
        <v>7569</v>
      </c>
      <c r="F1063" t="s">
        <v>137</v>
      </c>
      <c r="G1063">
        <v>202</v>
      </c>
      <c r="H1063">
        <v>500</v>
      </c>
      <c r="I1063" s="5" t="s">
        <v>7570</v>
      </c>
      <c r="J1063" s="5" t="s">
        <v>7571</v>
      </c>
      <c r="K1063" s="5" t="str">
        <f t="shared" si="32"/>
        <v>https://www.google.com/maps?q=-12.246570, -41.616890</v>
      </c>
      <c r="L1063" s="5" t="str">
        <f t="shared" si="33"/>
        <v>Abrir no Maps</v>
      </c>
      <c r="M1063" t="s">
        <v>7572</v>
      </c>
      <c r="N1063" s="5"/>
      <c r="O1063" t="str">
        <f>VLOOKUP(G1063,'[1]CONFIG.'!$B:$C,2,0)</f>
        <v>ARISTON</v>
      </c>
      <c r="P1063" t="str">
        <f>VLOOKUP(O1063,'[1]CONFIG.'!$C:$D,2,0)</f>
        <v>74 99384078</v>
      </c>
    </row>
    <row r="1064" spans="1:16" x14ac:dyDescent="0.3">
      <c r="A1064" t="s">
        <v>7573</v>
      </c>
      <c r="B1064" t="s">
        <v>7574</v>
      </c>
      <c r="C1064" t="s">
        <v>7575</v>
      </c>
      <c r="D1064" t="s">
        <v>488</v>
      </c>
      <c r="E1064" t="s">
        <v>7576</v>
      </c>
      <c r="F1064" t="s">
        <v>137</v>
      </c>
      <c r="G1064">
        <v>202</v>
      </c>
      <c r="H1064">
        <v>500</v>
      </c>
      <c r="I1064" s="5" t="s">
        <v>7577</v>
      </c>
      <c r="J1064" s="5" t="s">
        <v>7578</v>
      </c>
      <c r="K1064" s="5" t="str">
        <f t="shared" si="32"/>
        <v>https://www.google.com/maps?q=-12.244504, -41.620384</v>
      </c>
      <c r="L1064" s="5" t="str">
        <f t="shared" si="33"/>
        <v>Abrir no Maps</v>
      </c>
      <c r="M1064" t="s">
        <v>7579</v>
      </c>
      <c r="N1064" s="5"/>
      <c r="O1064" t="str">
        <f>VLOOKUP(G1064,'[1]CONFIG.'!$B:$C,2,0)</f>
        <v>ARISTON</v>
      </c>
      <c r="P1064" t="str">
        <f>VLOOKUP(O1064,'[1]CONFIG.'!$C:$D,2,0)</f>
        <v>74 99384078</v>
      </c>
    </row>
    <row r="1065" spans="1:16" x14ac:dyDescent="0.3">
      <c r="A1065" t="s">
        <v>7580</v>
      </c>
      <c r="B1065" t="s">
        <v>7581</v>
      </c>
      <c r="C1065" t="s">
        <v>7582</v>
      </c>
      <c r="D1065" t="s">
        <v>488</v>
      </c>
      <c r="E1065" t="s">
        <v>7583</v>
      </c>
      <c r="F1065" t="s">
        <v>137</v>
      </c>
      <c r="G1065">
        <v>202</v>
      </c>
      <c r="H1065">
        <v>500</v>
      </c>
      <c r="I1065" s="5" t="s">
        <v>7584</v>
      </c>
      <c r="J1065" s="5" t="s">
        <v>7585</v>
      </c>
      <c r="K1065" s="5" t="str">
        <f t="shared" si="32"/>
        <v>https://www.google.com/maps?q=-12.245277, -41.616943</v>
      </c>
      <c r="L1065" s="5" t="str">
        <f t="shared" si="33"/>
        <v>Abrir no Maps</v>
      </c>
      <c r="M1065" t="s">
        <v>7586</v>
      </c>
      <c r="N1065" s="5"/>
      <c r="O1065" t="str">
        <f>VLOOKUP(G1065,'[1]CONFIG.'!$B:$C,2,0)</f>
        <v>ARISTON</v>
      </c>
      <c r="P1065" t="str">
        <f>VLOOKUP(O1065,'[1]CONFIG.'!$C:$D,2,0)</f>
        <v>74 99384078</v>
      </c>
    </row>
    <row r="1066" spans="1:16" x14ac:dyDescent="0.3">
      <c r="A1066" t="s">
        <v>7587</v>
      </c>
      <c r="B1066" t="s">
        <v>7588</v>
      </c>
      <c r="C1066" t="s">
        <v>7589</v>
      </c>
      <c r="D1066" t="s">
        <v>488</v>
      </c>
      <c r="E1066" t="s">
        <v>7590</v>
      </c>
      <c r="F1066" t="s">
        <v>7591</v>
      </c>
      <c r="G1066">
        <v>202</v>
      </c>
      <c r="H1066">
        <v>500</v>
      </c>
      <c r="I1066" s="5" t="s">
        <v>7592</v>
      </c>
      <c r="J1066" s="5" t="s">
        <v>7593</v>
      </c>
      <c r="K1066" s="5" t="str">
        <f t="shared" si="32"/>
        <v>https://www.google.com/maps?q=-12.278334, -41.512222</v>
      </c>
      <c r="L1066" s="5" t="str">
        <f t="shared" si="33"/>
        <v>Abrir no Maps</v>
      </c>
      <c r="M1066" t="s">
        <v>7594</v>
      </c>
      <c r="N1066" s="5"/>
      <c r="O1066" t="str">
        <f>VLOOKUP(G1066,'[1]CONFIG.'!$B:$C,2,0)</f>
        <v>ARISTON</v>
      </c>
      <c r="P1066" t="str">
        <f>VLOOKUP(O1066,'[1]CONFIG.'!$C:$D,2,0)</f>
        <v>74 99384078</v>
      </c>
    </row>
    <row r="1067" spans="1:16" x14ac:dyDescent="0.3">
      <c r="A1067" t="s">
        <v>7595</v>
      </c>
      <c r="B1067" t="s">
        <v>7596</v>
      </c>
      <c r="C1067" t="s">
        <v>7597</v>
      </c>
      <c r="D1067" t="s">
        <v>488</v>
      </c>
      <c r="E1067" t="s">
        <v>7598</v>
      </c>
      <c r="F1067" t="s">
        <v>137</v>
      </c>
      <c r="G1067">
        <v>202</v>
      </c>
      <c r="H1067">
        <v>500</v>
      </c>
      <c r="I1067" s="5" t="s">
        <v>7599</v>
      </c>
      <c r="J1067" s="5" t="s">
        <v>7600</v>
      </c>
      <c r="K1067" s="5" t="str">
        <f t="shared" si="32"/>
        <v>https://www.google.com/maps?q=-12.247778, -41.615276</v>
      </c>
      <c r="L1067" s="5" t="str">
        <f t="shared" si="33"/>
        <v>Abrir no Maps</v>
      </c>
      <c r="M1067" t="s">
        <v>7601</v>
      </c>
      <c r="N1067" s="5"/>
      <c r="O1067" t="str">
        <f>VLOOKUP(G1067,'[1]CONFIG.'!$B:$C,2,0)</f>
        <v>ARISTON</v>
      </c>
      <c r="P1067" t="str">
        <f>VLOOKUP(O1067,'[1]CONFIG.'!$C:$D,2,0)</f>
        <v>74 99384078</v>
      </c>
    </row>
    <row r="1068" spans="1:16" x14ac:dyDescent="0.3">
      <c r="A1068" t="s">
        <v>7602</v>
      </c>
      <c r="B1068" t="s">
        <v>7603</v>
      </c>
      <c r="C1068" t="s">
        <v>7604</v>
      </c>
      <c r="D1068" t="s">
        <v>488</v>
      </c>
      <c r="E1068" t="s">
        <v>7605</v>
      </c>
      <c r="F1068" t="s">
        <v>137</v>
      </c>
      <c r="G1068">
        <v>202</v>
      </c>
      <c r="H1068">
        <v>500</v>
      </c>
      <c r="I1068" s="5" t="s">
        <v>7606</v>
      </c>
      <c r="J1068" s="5" t="s">
        <v>7607</v>
      </c>
      <c r="K1068" s="5" t="str">
        <f t="shared" si="32"/>
        <v>https://www.google.com/maps?q=-12.248571, -41.613773</v>
      </c>
      <c r="L1068" s="5" t="str">
        <f t="shared" si="33"/>
        <v>Abrir no Maps</v>
      </c>
      <c r="M1068" t="s">
        <v>7608</v>
      </c>
      <c r="N1068" s="5"/>
      <c r="O1068" t="str">
        <f>VLOOKUP(G1068,'[1]CONFIG.'!$B:$C,2,0)</f>
        <v>ARISTON</v>
      </c>
      <c r="P1068" t="str">
        <f>VLOOKUP(O1068,'[1]CONFIG.'!$C:$D,2,0)</f>
        <v>74 99384078</v>
      </c>
    </row>
    <row r="1069" spans="1:16" x14ac:dyDescent="0.3">
      <c r="A1069" t="s">
        <v>7609</v>
      </c>
      <c r="B1069" t="s">
        <v>7610</v>
      </c>
      <c r="C1069" t="s">
        <v>7611</v>
      </c>
      <c r="D1069" t="s">
        <v>488</v>
      </c>
      <c r="E1069" t="s">
        <v>7612</v>
      </c>
      <c r="F1069" t="s">
        <v>137</v>
      </c>
      <c r="G1069">
        <v>202</v>
      </c>
      <c r="H1069">
        <v>500</v>
      </c>
      <c r="I1069" s="5" t="s">
        <v>7613</v>
      </c>
      <c r="J1069" s="5" t="s">
        <v>7614</v>
      </c>
      <c r="K1069" s="5" t="str">
        <f t="shared" si="32"/>
        <v>https://www.google.com/maps?q=-12.242918, -41.619920</v>
      </c>
      <c r="L1069" s="5" t="str">
        <f t="shared" si="33"/>
        <v>Abrir no Maps</v>
      </c>
      <c r="M1069" t="s">
        <v>7615</v>
      </c>
      <c r="N1069" s="5"/>
      <c r="O1069" t="str">
        <f>VLOOKUP(G1069,'[1]CONFIG.'!$B:$C,2,0)</f>
        <v>ARISTON</v>
      </c>
      <c r="P1069" t="str">
        <f>VLOOKUP(O1069,'[1]CONFIG.'!$C:$D,2,0)</f>
        <v>74 99384078</v>
      </c>
    </row>
    <row r="1070" spans="1:16" x14ac:dyDescent="0.3">
      <c r="A1070" t="s">
        <v>7616</v>
      </c>
      <c r="B1070" t="s">
        <v>7617</v>
      </c>
      <c r="C1070" t="s">
        <v>7618</v>
      </c>
      <c r="D1070" t="s">
        <v>488</v>
      </c>
      <c r="E1070" t="s">
        <v>7619</v>
      </c>
      <c r="F1070" t="s">
        <v>137</v>
      </c>
      <c r="G1070">
        <v>202</v>
      </c>
      <c r="H1070">
        <v>500</v>
      </c>
      <c r="I1070" s="5" t="s">
        <v>7620</v>
      </c>
      <c r="J1070" s="5" t="s">
        <v>7621</v>
      </c>
      <c r="K1070" s="5" t="str">
        <f t="shared" si="32"/>
        <v>https://www.google.com/maps?q=-12.246438, -41.613030</v>
      </c>
      <c r="L1070" s="5" t="str">
        <f t="shared" si="33"/>
        <v>Abrir no Maps</v>
      </c>
      <c r="M1070" t="s">
        <v>7622</v>
      </c>
      <c r="N1070" s="5"/>
      <c r="O1070" t="str">
        <f>VLOOKUP(G1070,'[1]CONFIG.'!$B:$C,2,0)</f>
        <v>ARISTON</v>
      </c>
      <c r="P1070" t="str">
        <f>VLOOKUP(O1070,'[1]CONFIG.'!$C:$D,2,0)</f>
        <v>74 99384078</v>
      </c>
    </row>
    <row r="1071" spans="1:16" x14ac:dyDescent="0.3">
      <c r="A1071" t="s">
        <v>7623</v>
      </c>
      <c r="B1071" t="s">
        <v>7624</v>
      </c>
      <c r="C1071" t="s">
        <v>7625</v>
      </c>
      <c r="D1071" t="s">
        <v>488</v>
      </c>
      <c r="E1071" t="s">
        <v>7626</v>
      </c>
      <c r="F1071" t="s">
        <v>137</v>
      </c>
      <c r="G1071">
        <v>202</v>
      </c>
      <c r="H1071">
        <v>500</v>
      </c>
      <c r="I1071" s="5" t="s">
        <v>7627</v>
      </c>
      <c r="J1071" s="5" t="s">
        <v>7628</v>
      </c>
      <c r="K1071" s="5" t="str">
        <f t="shared" si="32"/>
        <v>https://www.google.com/maps?q=-12.246066, -41.613300</v>
      </c>
      <c r="L1071" s="5" t="str">
        <f t="shared" si="33"/>
        <v>Abrir no Maps</v>
      </c>
      <c r="M1071" t="s">
        <v>7629</v>
      </c>
      <c r="N1071" s="5"/>
      <c r="O1071" t="str">
        <f>VLOOKUP(G1071,'[1]CONFIG.'!$B:$C,2,0)</f>
        <v>ARISTON</v>
      </c>
      <c r="P1071" t="str">
        <f>VLOOKUP(O1071,'[1]CONFIG.'!$C:$D,2,0)</f>
        <v>74 99384078</v>
      </c>
    </row>
    <row r="1072" spans="1:16" x14ac:dyDescent="0.3">
      <c r="A1072" t="s">
        <v>7630</v>
      </c>
      <c r="B1072" t="s">
        <v>7631</v>
      </c>
      <c r="C1072" t="s">
        <v>7632</v>
      </c>
      <c r="D1072" t="s">
        <v>488</v>
      </c>
      <c r="E1072" t="s">
        <v>7633</v>
      </c>
      <c r="F1072" t="s">
        <v>1912</v>
      </c>
      <c r="G1072">
        <v>202</v>
      </c>
      <c r="H1072">
        <v>500</v>
      </c>
      <c r="I1072" s="5" t="s">
        <v>7634</v>
      </c>
      <c r="J1072" s="5" t="s">
        <v>7635</v>
      </c>
      <c r="K1072" s="5" t="str">
        <f t="shared" si="32"/>
        <v>https://www.google.com/maps?q=-12.199312, -41.615326</v>
      </c>
      <c r="L1072" s="5" t="str">
        <f t="shared" si="33"/>
        <v>Abrir no Maps</v>
      </c>
      <c r="M1072" t="s">
        <v>7636</v>
      </c>
      <c r="N1072" s="5"/>
      <c r="O1072" t="str">
        <f>VLOOKUP(G1072,'[1]CONFIG.'!$B:$C,2,0)</f>
        <v>ARISTON</v>
      </c>
      <c r="P1072" t="str">
        <f>VLOOKUP(O1072,'[1]CONFIG.'!$C:$D,2,0)</f>
        <v>74 99384078</v>
      </c>
    </row>
    <row r="1073" spans="1:16" x14ac:dyDescent="0.3">
      <c r="A1073" t="s">
        <v>7637</v>
      </c>
      <c r="B1073" t="s">
        <v>7638</v>
      </c>
      <c r="C1073" t="s">
        <v>7639</v>
      </c>
      <c r="D1073" t="s">
        <v>488</v>
      </c>
      <c r="E1073" t="s">
        <v>7640</v>
      </c>
      <c r="F1073" t="s">
        <v>7390</v>
      </c>
      <c r="G1073">
        <v>202</v>
      </c>
      <c r="H1073">
        <v>500</v>
      </c>
      <c r="I1073" s="5" t="s">
        <v>7641</v>
      </c>
      <c r="J1073" s="5" t="s">
        <v>7642</v>
      </c>
      <c r="K1073" s="5" t="str">
        <f t="shared" si="32"/>
        <v>https://www.google.com/maps?q=-12.345637, -41.584415</v>
      </c>
      <c r="L1073" s="5" t="str">
        <f t="shared" si="33"/>
        <v>Abrir no Maps</v>
      </c>
      <c r="M1073" t="s">
        <v>7643</v>
      </c>
      <c r="N1073" s="5"/>
      <c r="O1073" t="str">
        <f>VLOOKUP(G1073,'[1]CONFIG.'!$B:$C,2,0)</f>
        <v>ARISTON</v>
      </c>
      <c r="P1073" t="str">
        <f>VLOOKUP(O1073,'[1]CONFIG.'!$C:$D,2,0)</f>
        <v>74 99384078</v>
      </c>
    </row>
    <row r="1074" spans="1:16" x14ac:dyDescent="0.3">
      <c r="A1074" t="s">
        <v>7644</v>
      </c>
      <c r="B1074" t="s">
        <v>7645</v>
      </c>
      <c r="C1074" t="s">
        <v>7646</v>
      </c>
      <c r="D1074" t="s">
        <v>488</v>
      </c>
      <c r="E1074" t="s">
        <v>7647</v>
      </c>
      <c r="F1074" t="s">
        <v>137</v>
      </c>
      <c r="G1074">
        <v>202</v>
      </c>
      <c r="H1074">
        <v>500</v>
      </c>
      <c r="I1074" s="5" t="s">
        <v>7648</v>
      </c>
      <c r="J1074" s="5" t="s">
        <v>7649</v>
      </c>
      <c r="K1074" s="5" t="str">
        <f t="shared" si="32"/>
        <v>https://www.google.com/maps?q=-12.256107, -41.606930</v>
      </c>
      <c r="L1074" s="5" t="str">
        <f t="shared" si="33"/>
        <v>Abrir no Maps</v>
      </c>
      <c r="M1074" t="s">
        <v>7650</v>
      </c>
      <c r="N1074" s="5"/>
      <c r="O1074" t="str">
        <f>VLOOKUP(G1074,'[1]CONFIG.'!$B:$C,2,0)</f>
        <v>ARISTON</v>
      </c>
      <c r="P1074" t="str">
        <f>VLOOKUP(O1074,'[1]CONFIG.'!$C:$D,2,0)</f>
        <v>74 99384078</v>
      </c>
    </row>
    <row r="1075" spans="1:16" x14ac:dyDescent="0.3">
      <c r="A1075" t="s">
        <v>7651</v>
      </c>
      <c r="B1075" t="s">
        <v>7652</v>
      </c>
      <c r="C1075" t="s">
        <v>7653</v>
      </c>
      <c r="D1075" t="s">
        <v>488</v>
      </c>
      <c r="E1075" t="s">
        <v>7654</v>
      </c>
      <c r="F1075" t="s">
        <v>137</v>
      </c>
      <c r="G1075">
        <v>202</v>
      </c>
      <c r="H1075">
        <v>500</v>
      </c>
      <c r="I1075" s="5" t="s">
        <v>7655</v>
      </c>
      <c r="J1075" s="5" t="s">
        <v>7656</v>
      </c>
      <c r="K1075" s="5" t="str">
        <f t="shared" si="32"/>
        <v>https://www.google.com/maps?q=-12.246252, -41.615590</v>
      </c>
      <c r="L1075" s="5" t="str">
        <f t="shared" si="33"/>
        <v>Abrir no Maps</v>
      </c>
      <c r="M1075" t="s">
        <v>7657</v>
      </c>
      <c r="N1075" s="5"/>
      <c r="O1075" t="str">
        <f>VLOOKUP(G1075,'[1]CONFIG.'!$B:$C,2,0)</f>
        <v>ARISTON</v>
      </c>
      <c r="P1075" t="str">
        <f>VLOOKUP(O1075,'[1]CONFIG.'!$C:$D,2,0)</f>
        <v>74 99384078</v>
      </c>
    </row>
    <row r="1076" spans="1:16" x14ac:dyDescent="0.3">
      <c r="A1076" t="s">
        <v>7658</v>
      </c>
      <c r="B1076" t="s">
        <v>7659</v>
      </c>
      <c r="C1076" t="s">
        <v>7660</v>
      </c>
      <c r="D1076" t="s">
        <v>488</v>
      </c>
      <c r="E1076" t="s">
        <v>7661</v>
      </c>
      <c r="F1076" t="s">
        <v>7662</v>
      </c>
      <c r="G1076">
        <v>202</v>
      </c>
      <c r="H1076">
        <v>500</v>
      </c>
      <c r="I1076" s="5" t="s">
        <v>7663</v>
      </c>
      <c r="J1076" s="5" t="s">
        <v>7664</v>
      </c>
      <c r="K1076" s="5" t="str">
        <f t="shared" si="32"/>
        <v>https://www.google.com/maps?q=-12.346614, -41.615555</v>
      </c>
      <c r="L1076" s="5" t="str">
        <f t="shared" si="33"/>
        <v>Abrir no Maps</v>
      </c>
      <c r="M1076" t="s">
        <v>7665</v>
      </c>
      <c r="N1076" s="5"/>
      <c r="O1076" t="str">
        <f>VLOOKUP(G1076,'[1]CONFIG.'!$B:$C,2,0)</f>
        <v>ARISTON</v>
      </c>
      <c r="P1076" t="str">
        <f>VLOOKUP(O1076,'[1]CONFIG.'!$C:$D,2,0)</f>
        <v>74 99384078</v>
      </c>
    </row>
    <row r="1077" spans="1:16" x14ac:dyDescent="0.3">
      <c r="A1077" t="s">
        <v>7666</v>
      </c>
      <c r="B1077" t="s">
        <v>7667</v>
      </c>
      <c r="C1077" t="s">
        <v>7668</v>
      </c>
      <c r="D1077" t="s">
        <v>488</v>
      </c>
      <c r="E1077" t="s">
        <v>7669</v>
      </c>
      <c r="F1077" t="s">
        <v>137</v>
      </c>
      <c r="G1077">
        <v>202</v>
      </c>
      <c r="H1077">
        <v>500</v>
      </c>
      <c r="I1077" s="5" t="s">
        <v>7670</v>
      </c>
      <c r="J1077" s="5" t="s">
        <v>7671</v>
      </c>
      <c r="K1077" s="5" t="str">
        <f t="shared" si="32"/>
        <v>https://www.google.com/maps?q=-12.245094, -41.618200</v>
      </c>
      <c r="L1077" s="5" t="str">
        <f t="shared" si="33"/>
        <v>Abrir no Maps</v>
      </c>
      <c r="M1077" t="s">
        <v>7672</v>
      </c>
      <c r="N1077" s="5"/>
      <c r="O1077" t="str">
        <f>VLOOKUP(G1077,'[1]CONFIG.'!$B:$C,2,0)</f>
        <v>ARISTON</v>
      </c>
      <c r="P1077" t="str">
        <f>VLOOKUP(O1077,'[1]CONFIG.'!$C:$D,2,0)</f>
        <v>74 99384078</v>
      </c>
    </row>
    <row r="1078" spans="1:16" x14ac:dyDescent="0.3">
      <c r="A1078" t="s">
        <v>7673</v>
      </c>
      <c r="B1078" t="s">
        <v>7674</v>
      </c>
      <c r="C1078" t="s">
        <v>7675</v>
      </c>
      <c r="D1078" t="s">
        <v>36</v>
      </c>
      <c r="E1078" t="s">
        <v>7676</v>
      </c>
      <c r="F1078" t="s">
        <v>853</v>
      </c>
      <c r="G1078">
        <v>209</v>
      </c>
      <c r="H1078">
        <v>500</v>
      </c>
      <c r="I1078" s="5" t="s">
        <v>7677</v>
      </c>
      <c r="J1078" s="5" t="s">
        <v>7678</v>
      </c>
      <c r="K1078" s="5" t="str">
        <f t="shared" si="32"/>
        <v>https://www.google.com/maps?q=-11.312502, -41.851850</v>
      </c>
      <c r="L1078" s="5" t="str">
        <f t="shared" si="33"/>
        <v>Abrir no Maps</v>
      </c>
      <c r="M1078" t="s">
        <v>7679</v>
      </c>
      <c r="N1078" s="5"/>
      <c r="O1078" t="str">
        <f>VLOOKUP(G1078,'[1]CONFIG.'!$B:$C,2,0)</f>
        <v>IGOR</v>
      </c>
      <c r="P1078" t="str">
        <f>VLOOKUP(O1078,'[1]CONFIG.'!$C:$D,2,0)</f>
        <v>74 99590346</v>
      </c>
    </row>
    <row r="1079" spans="1:16" x14ac:dyDescent="0.3">
      <c r="A1079" t="s">
        <v>7680</v>
      </c>
      <c r="B1079" t="s">
        <v>7681</v>
      </c>
      <c r="C1079" t="s">
        <v>7682</v>
      </c>
      <c r="D1079" t="s">
        <v>488</v>
      </c>
      <c r="E1079" t="s">
        <v>7683</v>
      </c>
      <c r="F1079" t="s">
        <v>7684</v>
      </c>
      <c r="G1079">
        <v>202</v>
      </c>
      <c r="H1079">
        <v>500</v>
      </c>
      <c r="I1079" s="5" t="s">
        <v>7685</v>
      </c>
      <c r="J1079" s="5" t="s">
        <v>7686</v>
      </c>
      <c r="K1079" s="5" t="str">
        <f t="shared" si="32"/>
        <v>https://www.google.com/maps?q=-12.342908, -41.661533</v>
      </c>
      <c r="L1079" s="5" t="str">
        <f t="shared" si="33"/>
        <v>Abrir no Maps</v>
      </c>
      <c r="M1079" t="s">
        <v>7687</v>
      </c>
      <c r="N1079" s="5"/>
      <c r="O1079" t="str">
        <f>VLOOKUP(G1079,'[1]CONFIG.'!$B:$C,2,0)</f>
        <v>ARISTON</v>
      </c>
      <c r="P1079" t="str">
        <f>VLOOKUP(O1079,'[1]CONFIG.'!$C:$D,2,0)</f>
        <v>74 99384078</v>
      </c>
    </row>
    <row r="1080" spans="1:16" x14ac:dyDescent="0.3">
      <c r="A1080" t="s">
        <v>7688</v>
      </c>
      <c r="B1080" t="s">
        <v>7689</v>
      </c>
      <c r="C1080" t="s">
        <v>7690</v>
      </c>
      <c r="D1080" t="s">
        <v>488</v>
      </c>
      <c r="E1080" t="s">
        <v>7691</v>
      </c>
      <c r="F1080" t="s">
        <v>137</v>
      </c>
      <c r="G1080">
        <v>202</v>
      </c>
      <c r="H1080">
        <v>500</v>
      </c>
      <c r="I1080" s="5" t="s">
        <v>7692</v>
      </c>
      <c r="J1080" s="5" t="s">
        <v>7693</v>
      </c>
      <c r="K1080" s="5" t="str">
        <f t="shared" si="32"/>
        <v>https://www.google.com/maps?q=-12.245914, -41.617510</v>
      </c>
      <c r="L1080" s="5" t="str">
        <f t="shared" si="33"/>
        <v>Abrir no Maps</v>
      </c>
      <c r="M1080" t="s">
        <v>7694</v>
      </c>
      <c r="N1080" s="5"/>
      <c r="O1080" t="str">
        <f>VLOOKUP(G1080,'[1]CONFIG.'!$B:$C,2,0)</f>
        <v>ARISTON</v>
      </c>
      <c r="P1080" t="str">
        <f>VLOOKUP(O1080,'[1]CONFIG.'!$C:$D,2,0)</f>
        <v>74 99384078</v>
      </c>
    </row>
    <row r="1081" spans="1:16" x14ac:dyDescent="0.3">
      <c r="A1081" t="s">
        <v>7695</v>
      </c>
      <c r="B1081" t="s">
        <v>7696</v>
      </c>
      <c r="C1081" t="s">
        <v>7697</v>
      </c>
      <c r="D1081" t="s">
        <v>488</v>
      </c>
      <c r="E1081" t="s">
        <v>7698</v>
      </c>
      <c r="F1081" t="s">
        <v>7699</v>
      </c>
      <c r="G1081">
        <v>202</v>
      </c>
      <c r="H1081">
        <v>500</v>
      </c>
      <c r="I1081" s="5" t="s">
        <v>7700</v>
      </c>
      <c r="J1081" s="5" t="s">
        <v>7701</v>
      </c>
      <c r="K1081" s="5" t="str">
        <f t="shared" si="32"/>
        <v>https://www.google.com/maps?q=-12.293213, -41.598267</v>
      </c>
      <c r="L1081" s="5" t="str">
        <f t="shared" si="33"/>
        <v>Abrir no Maps</v>
      </c>
      <c r="M1081" t="s">
        <v>7702</v>
      </c>
      <c r="N1081" s="5"/>
      <c r="O1081" t="str">
        <f>VLOOKUP(G1081,'[1]CONFIG.'!$B:$C,2,0)</f>
        <v>ARISTON</v>
      </c>
      <c r="P1081" t="str">
        <f>VLOOKUP(O1081,'[1]CONFIG.'!$C:$D,2,0)</f>
        <v>74 99384078</v>
      </c>
    </row>
    <row r="1082" spans="1:16" x14ac:dyDescent="0.3">
      <c r="A1082" t="s">
        <v>7703</v>
      </c>
      <c r="B1082" t="s">
        <v>7704</v>
      </c>
      <c r="C1082" t="s">
        <v>7705</v>
      </c>
      <c r="D1082" t="s">
        <v>488</v>
      </c>
      <c r="E1082" t="s">
        <v>7706</v>
      </c>
      <c r="F1082" t="s">
        <v>7707</v>
      </c>
      <c r="G1082">
        <v>202</v>
      </c>
      <c r="H1082">
        <v>500</v>
      </c>
      <c r="I1082" s="5" t="s">
        <v>7708</v>
      </c>
      <c r="J1082" s="5" t="s">
        <v>7709</v>
      </c>
      <c r="K1082" s="5" t="str">
        <f t="shared" si="32"/>
        <v>https://www.google.com/maps?q=-12.238325, -41.618923</v>
      </c>
      <c r="L1082" s="5" t="str">
        <f t="shared" si="33"/>
        <v>Abrir no Maps</v>
      </c>
      <c r="M1082" t="s">
        <v>7710</v>
      </c>
      <c r="N1082" s="5"/>
      <c r="O1082" t="str">
        <f>VLOOKUP(G1082,'[1]CONFIG.'!$B:$C,2,0)</f>
        <v>ARISTON</v>
      </c>
      <c r="P1082" t="str">
        <f>VLOOKUP(O1082,'[1]CONFIG.'!$C:$D,2,0)</f>
        <v>74 99384078</v>
      </c>
    </row>
    <row r="1083" spans="1:16" x14ac:dyDescent="0.3">
      <c r="A1083" t="s">
        <v>7711</v>
      </c>
      <c r="B1083" t="s">
        <v>7712</v>
      </c>
      <c r="C1083" t="s">
        <v>7713</v>
      </c>
      <c r="D1083" t="s">
        <v>488</v>
      </c>
      <c r="E1083" t="s">
        <v>7714</v>
      </c>
      <c r="F1083" t="s">
        <v>137</v>
      </c>
      <c r="G1083">
        <v>202</v>
      </c>
      <c r="H1083">
        <v>500</v>
      </c>
      <c r="I1083" s="5" t="s">
        <v>7715</v>
      </c>
      <c r="J1083" s="5" t="s">
        <v>7716</v>
      </c>
      <c r="K1083" s="5" t="str">
        <f t="shared" si="32"/>
        <v>https://www.google.com/maps?q=-12.248382, -41.617443</v>
      </c>
      <c r="L1083" s="5" t="str">
        <f t="shared" si="33"/>
        <v>Abrir no Maps</v>
      </c>
      <c r="M1083" t="s">
        <v>7536</v>
      </c>
      <c r="N1083" s="5"/>
      <c r="O1083" t="str">
        <f>VLOOKUP(G1083,'[1]CONFIG.'!$B:$C,2,0)</f>
        <v>ARISTON</v>
      </c>
      <c r="P1083" t="str">
        <f>VLOOKUP(O1083,'[1]CONFIG.'!$C:$D,2,0)</f>
        <v>74 99384078</v>
      </c>
    </row>
    <row r="1084" spans="1:16" x14ac:dyDescent="0.3">
      <c r="A1084" t="s">
        <v>7717</v>
      </c>
      <c r="B1084" t="s">
        <v>7718</v>
      </c>
      <c r="C1084" t="s">
        <v>7719</v>
      </c>
      <c r="D1084" t="s">
        <v>488</v>
      </c>
      <c r="E1084" t="s">
        <v>7720</v>
      </c>
      <c r="F1084" t="s">
        <v>137</v>
      </c>
      <c r="G1084">
        <v>202</v>
      </c>
      <c r="H1084">
        <v>500</v>
      </c>
      <c r="I1084" s="5" t="s">
        <v>7721</v>
      </c>
      <c r="J1084" s="5" t="s">
        <v>7722</v>
      </c>
      <c r="K1084" s="5" t="str">
        <f t="shared" si="32"/>
        <v>https://www.google.com/maps?q=-12.256216, -41.607857</v>
      </c>
      <c r="L1084" s="5" t="str">
        <f t="shared" si="33"/>
        <v>Abrir no Maps</v>
      </c>
      <c r="M1084" t="s">
        <v>7723</v>
      </c>
      <c r="N1084" s="5"/>
      <c r="O1084" t="str">
        <f>VLOOKUP(G1084,'[1]CONFIG.'!$B:$C,2,0)</f>
        <v>ARISTON</v>
      </c>
      <c r="P1084" t="str">
        <f>VLOOKUP(O1084,'[1]CONFIG.'!$C:$D,2,0)</f>
        <v>74 99384078</v>
      </c>
    </row>
    <row r="1085" spans="1:16" x14ac:dyDescent="0.3">
      <c r="A1085" t="s">
        <v>7724</v>
      </c>
      <c r="B1085" t="s">
        <v>7725</v>
      </c>
      <c r="C1085" t="s">
        <v>7726</v>
      </c>
      <c r="D1085" t="s">
        <v>488</v>
      </c>
      <c r="E1085" t="s">
        <v>7727</v>
      </c>
      <c r="F1085" t="s">
        <v>137</v>
      </c>
      <c r="G1085">
        <v>202</v>
      </c>
      <c r="H1085">
        <v>500</v>
      </c>
      <c r="I1085" s="5" t="s">
        <v>7728</v>
      </c>
      <c r="J1085" s="5" t="s">
        <v>7729</v>
      </c>
      <c r="K1085" s="5" t="str">
        <f t="shared" si="32"/>
        <v>https://www.google.com/maps?q=-12.243577, -41.615920</v>
      </c>
      <c r="L1085" s="5" t="str">
        <f t="shared" si="33"/>
        <v>Abrir no Maps</v>
      </c>
      <c r="M1085" t="s">
        <v>7730</v>
      </c>
      <c r="N1085" s="5"/>
      <c r="O1085" t="str">
        <f>VLOOKUP(G1085,'[1]CONFIG.'!$B:$C,2,0)</f>
        <v>ARISTON</v>
      </c>
      <c r="P1085" t="str">
        <f>VLOOKUP(O1085,'[1]CONFIG.'!$C:$D,2,0)</f>
        <v>74 99384078</v>
      </c>
    </row>
    <row r="1086" spans="1:16" x14ac:dyDescent="0.3">
      <c r="A1086" t="s">
        <v>7731</v>
      </c>
      <c r="B1086" t="s">
        <v>7732</v>
      </c>
      <c r="C1086" t="s">
        <v>7733</v>
      </c>
      <c r="D1086" t="s">
        <v>488</v>
      </c>
      <c r="E1086" t="s">
        <v>7734</v>
      </c>
      <c r="F1086" t="s">
        <v>7684</v>
      </c>
      <c r="G1086">
        <v>202</v>
      </c>
      <c r="H1086">
        <v>500</v>
      </c>
      <c r="I1086" s="5" t="s">
        <v>7735</v>
      </c>
      <c r="J1086" s="5" t="s">
        <v>7736</v>
      </c>
      <c r="K1086" s="5" t="str">
        <f t="shared" si="32"/>
        <v>https://www.google.com/maps?q=-12.342876, -41.660940</v>
      </c>
      <c r="L1086" s="5" t="str">
        <f t="shared" si="33"/>
        <v>Abrir no Maps</v>
      </c>
      <c r="M1086" t="s">
        <v>7737</v>
      </c>
      <c r="N1086" s="5"/>
      <c r="O1086" t="str">
        <f>VLOOKUP(G1086,'[1]CONFIG.'!$B:$C,2,0)</f>
        <v>ARISTON</v>
      </c>
      <c r="P1086" t="str">
        <f>VLOOKUP(O1086,'[1]CONFIG.'!$C:$D,2,0)</f>
        <v>74 99384078</v>
      </c>
    </row>
    <row r="1087" spans="1:16" x14ac:dyDescent="0.3">
      <c r="A1087" t="s">
        <v>7738</v>
      </c>
      <c r="B1087" t="s">
        <v>7739</v>
      </c>
      <c r="C1087" t="s">
        <v>7740</v>
      </c>
      <c r="D1087" t="s">
        <v>488</v>
      </c>
      <c r="E1087" t="s">
        <v>7741</v>
      </c>
      <c r="F1087" t="s">
        <v>7742</v>
      </c>
      <c r="G1087">
        <v>202</v>
      </c>
      <c r="H1087">
        <v>500</v>
      </c>
      <c r="I1087" s="5" t="s">
        <v>7743</v>
      </c>
      <c r="J1087" s="5" t="s">
        <v>7744</v>
      </c>
      <c r="K1087" s="5" t="str">
        <f t="shared" si="32"/>
        <v>https://www.google.com/maps?q=-12.345937, -41.586350</v>
      </c>
      <c r="L1087" s="5" t="str">
        <f t="shared" si="33"/>
        <v>Abrir no Maps</v>
      </c>
      <c r="M1087" t="s">
        <v>7745</v>
      </c>
      <c r="N1087" s="5"/>
      <c r="O1087" t="str">
        <f>VLOOKUP(G1087,'[1]CONFIG.'!$B:$C,2,0)</f>
        <v>ARISTON</v>
      </c>
      <c r="P1087" t="str">
        <f>VLOOKUP(O1087,'[1]CONFIG.'!$C:$D,2,0)</f>
        <v>74 99384078</v>
      </c>
    </row>
    <row r="1088" spans="1:16" x14ac:dyDescent="0.3">
      <c r="A1088" t="s">
        <v>7746</v>
      </c>
      <c r="B1088" t="s">
        <v>7747</v>
      </c>
      <c r="C1088" t="s">
        <v>7748</v>
      </c>
      <c r="D1088" t="s">
        <v>488</v>
      </c>
      <c r="E1088" t="s">
        <v>7749</v>
      </c>
      <c r="F1088" t="s">
        <v>7750</v>
      </c>
      <c r="G1088">
        <v>202</v>
      </c>
      <c r="H1088">
        <v>500</v>
      </c>
      <c r="I1088" s="5" t="s">
        <v>7751</v>
      </c>
      <c r="J1088" s="5" t="s">
        <v>7752</v>
      </c>
      <c r="K1088" s="5" t="str">
        <f t="shared" si="32"/>
        <v>https://www.google.com/maps?q=-12.300573, -41.679733</v>
      </c>
      <c r="L1088" s="5" t="str">
        <f t="shared" si="33"/>
        <v>Abrir no Maps</v>
      </c>
      <c r="M1088" t="s">
        <v>7753</v>
      </c>
      <c r="N1088" s="5"/>
      <c r="O1088" t="str">
        <f>VLOOKUP(G1088,'[1]CONFIG.'!$B:$C,2,0)</f>
        <v>ARISTON</v>
      </c>
      <c r="P1088" t="str">
        <f>VLOOKUP(O1088,'[1]CONFIG.'!$C:$D,2,0)</f>
        <v>74 99384078</v>
      </c>
    </row>
    <row r="1089" spans="1:16" x14ac:dyDescent="0.3">
      <c r="A1089" t="s">
        <v>7754</v>
      </c>
      <c r="B1089" t="s">
        <v>7755</v>
      </c>
      <c r="C1089" t="s">
        <v>7756</v>
      </c>
      <c r="D1089" t="s">
        <v>488</v>
      </c>
      <c r="E1089" t="s">
        <v>7757</v>
      </c>
      <c r="F1089" t="s">
        <v>7758</v>
      </c>
      <c r="G1089">
        <v>202</v>
      </c>
      <c r="H1089">
        <v>500</v>
      </c>
      <c r="I1089" s="5" t="s">
        <v>7759</v>
      </c>
      <c r="J1089" s="5" t="s">
        <v>7760</v>
      </c>
      <c r="K1089" s="5" t="str">
        <f t="shared" si="32"/>
        <v>https://www.google.com/maps?q=-12.250318, -41.605770</v>
      </c>
      <c r="L1089" s="5" t="str">
        <f t="shared" si="33"/>
        <v>Abrir no Maps</v>
      </c>
      <c r="M1089" t="s">
        <v>7761</v>
      </c>
      <c r="N1089" s="5"/>
      <c r="O1089" t="str">
        <f>VLOOKUP(G1089,'[1]CONFIG.'!$B:$C,2,0)</f>
        <v>ARISTON</v>
      </c>
      <c r="P1089" t="str">
        <f>VLOOKUP(O1089,'[1]CONFIG.'!$C:$D,2,0)</f>
        <v>74 99384078</v>
      </c>
    </row>
    <row r="1090" spans="1:16" x14ac:dyDescent="0.3">
      <c r="A1090" t="s">
        <v>7762</v>
      </c>
      <c r="B1090" t="s">
        <v>7763</v>
      </c>
      <c r="C1090" t="s">
        <v>7764</v>
      </c>
      <c r="D1090" t="s">
        <v>488</v>
      </c>
      <c r="E1090" t="s">
        <v>7765</v>
      </c>
      <c r="F1090" t="s">
        <v>137</v>
      </c>
      <c r="G1090">
        <v>202</v>
      </c>
      <c r="H1090">
        <v>500</v>
      </c>
      <c r="I1090" s="5" t="s">
        <v>7766</v>
      </c>
      <c r="J1090" s="5" t="s">
        <v>7767</v>
      </c>
      <c r="K1090" s="5" t="str">
        <f t="shared" si="32"/>
        <v>https://www.google.com/maps?q=-12.246125, -41.615420</v>
      </c>
      <c r="L1090" s="5" t="str">
        <f t="shared" si="33"/>
        <v>Abrir no Maps</v>
      </c>
      <c r="M1090" t="s">
        <v>7768</v>
      </c>
      <c r="N1090" s="5"/>
      <c r="O1090" t="str">
        <f>VLOOKUP(G1090,'[1]CONFIG.'!$B:$C,2,0)</f>
        <v>ARISTON</v>
      </c>
      <c r="P1090" t="str">
        <f>VLOOKUP(O1090,'[1]CONFIG.'!$C:$D,2,0)</f>
        <v>74 99384078</v>
      </c>
    </row>
    <row r="1091" spans="1:16" x14ac:dyDescent="0.3">
      <c r="A1091" t="s">
        <v>7769</v>
      </c>
      <c r="B1091" t="s">
        <v>7770</v>
      </c>
      <c r="C1091" t="s">
        <v>7771</v>
      </c>
      <c r="D1091" t="s">
        <v>488</v>
      </c>
      <c r="E1091" t="s">
        <v>7772</v>
      </c>
      <c r="F1091" t="s">
        <v>137</v>
      </c>
      <c r="G1091">
        <v>202</v>
      </c>
      <c r="H1091">
        <v>500</v>
      </c>
      <c r="I1091" s="5" t="s">
        <v>7773</v>
      </c>
      <c r="J1091" s="5" t="s">
        <v>7774</v>
      </c>
      <c r="K1091" s="5" t="str">
        <f t="shared" si="32"/>
        <v>https://www.google.com/maps?q=-12.244596, -41.620228</v>
      </c>
      <c r="L1091" s="5" t="str">
        <f t="shared" si="33"/>
        <v>Abrir no Maps</v>
      </c>
      <c r="M1091" t="s">
        <v>7502</v>
      </c>
      <c r="N1091" s="5"/>
      <c r="O1091" t="str">
        <f>VLOOKUP(G1091,'[1]CONFIG.'!$B:$C,2,0)</f>
        <v>ARISTON</v>
      </c>
      <c r="P1091" t="str">
        <f>VLOOKUP(O1091,'[1]CONFIG.'!$C:$D,2,0)</f>
        <v>74 99384078</v>
      </c>
    </row>
    <row r="1092" spans="1:16" x14ac:dyDescent="0.3">
      <c r="A1092" t="s">
        <v>7775</v>
      </c>
      <c r="B1092" t="s">
        <v>7776</v>
      </c>
      <c r="C1092" t="s">
        <v>7777</v>
      </c>
      <c r="D1092" t="s">
        <v>488</v>
      </c>
      <c r="E1092" t="s">
        <v>7778</v>
      </c>
      <c r="F1092" t="s">
        <v>137</v>
      </c>
      <c r="G1092">
        <v>202</v>
      </c>
      <c r="H1092">
        <v>500</v>
      </c>
      <c r="I1092" s="5" t="s">
        <v>7779</v>
      </c>
      <c r="J1092" s="5" t="s">
        <v>7780</v>
      </c>
      <c r="K1092" s="5" t="str">
        <f t="shared" ref="K1092:K1155" si="34">"https://www.google.com/maps?q="&amp;""&amp;LEFT(I1092,3)&amp;"."&amp;RIGHT(I1092,6)&amp;", "&amp;LEFT(J1092,3)&amp;"."&amp;RIGHT(J1092,6)</f>
        <v>https://www.google.com/maps?q=-12.246700, -41.616467</v>
      </c>
      <c r="L1092" s="5" t="str">
        <f t="shared" ref="L1092:L1155" si="35">HYPERLINK(K1092,"Abrir no Maps")</f>
        <v>Abrir no Maps</v>
      </c>
      <c r="M1092" t="s">
        <v>7781</v>
      </c>
      <c r="N1092" s="5"/>
      <c r="O1092" t="str">
        <f>VLOOKUP(G1092,'[1]CONFIG.'!$B:$C,2,0)</f>
        <v>ARISTON</v>
      </c>
      <c r="P1092" t="str">
        <f>VLOOKUP(O1092,'[1]CONFIG.'!$C:$D,2,0)</f>
        <v>74 99384078</v>
      </c>
    </row>
    <row r="1093" spans="1:16" x14ac:dyDescent="0.3">
      <c r="A1093" t="s">
        <v>7782</v>
      </c>
      <c r="B1093" t="s">
        <v>7783</v>
      </c>
      <c r="C1093" t="s">
        <v>7784</v>
      </c>
      <c r="D1093" t="s">
        <v>488</v>
      </c>
      <c r="E1093" t="s">
        <v>7785</v>
      </c>
      <c r="F1093" t="s">
        <v>137</v>
      </c>
      <c r="G1093">
        <v>202</v>
      </c>
      <c r="H1093">
        <v>500</v>
      </c>
      <c r="I1093" s="5" t="s">
        <v>7786</v>
      </c>
      <c r="J1093" s="5" t="s">
        <v>7787</v>
      </c>
      <c r="K1093" s="5" t="str">
        <f t="shared" si="34"/>
        <v>https://www.google.com/maps?q=-12.247138, -41.616974</v>
      </c>
      <c r="L1093" s="5" t="str">
        <f t="shared" si="35"/>
        <v>Abrir no Maps</v>
      </c>
      <c r="M1093" t="s">
        <v>7788</v>
      </c>
      <c r="N1093" s="5"/>
      <c r="O1093" t="str">
        <f>VLOOKUP(G1093,'[1]CONFIG.'!$B:$C,2,0)</f>
        <v>ARISTON</v>
      </c>
      <c r="P1093" t="str">
        <f>VLOOKUP(O1093,'[1]CONFIG.'!$C:$D,2,0)</f>
        <v>74 99384078</v>
      </c>
    </row>
    <row r="1094" spans="1:16" x14ac:dyDescent="0.3">
      <c r="A1094" t="s">
        <v>7789</v>
      </c>
      <c r="B1094" t="s">
        <v>7790</v>
      </c>
      <c r="C1094" t="s">
        <v>7791</v>
      </c>
      <c r="D1094" t="s">
        <v>488</v>
      </c>
      <c r="E1094" t="s">
        <v>7792</v>
      </c>
      <c r="F1094" t="s">
        <v>7793</v>
      </c>
      <c r="G1094">
        <v>202</v>
      </c>
      <c r="H1094">
        <v>500</v>
      </c>
      <c r="I1094" s="5" t="s">
        <v>7794</v>
      </c>
      <c r="J1094" s="5" t="s">
        <v>7795</v>
      </c>
      <c r="K1094" s="5" t="str">
        <f t="shared" si="34"/>
        <v>https://www.google.com/maps?q=-12.241913, -41.616950</v>
      </c>
      <c r="L1094" s="5" t="str">
        <f t="shared" si="35"/>
        <v>Abrir no Maps</v>
      </c>
      <c r="M1094" t="s">
        <v>7796</v>
      </c>
      <c r="N1094" s="5"/>
      <c r="O1094" t="str">
        <f>VLOOKUP(G1094,'[1]CONFIG.'!$B:$C,2,0)</f>
        <v>ARISTON</v>
      </c>
      <c r="P1094" t="str">
        <f>VLOOKUP(O1094,'[1]CONFIG.'!$C:$D,2,0)</f>
        <v>74 99384078</v>
      </c>
    </row>
    <row r="1095" spans="1:16" x14ac:dyDescent="0.3">
      <c r="A1095" t="s">
        <v>7797</v>
      </c>
      <c r="B1095" t="s">
        <v>7798</v>
      </c>
      <c r="C1095" t="s">
        <v>7799</v>
      </c>
      <c r="D1095" t="s">
        <v>488</v>
      </c>
      <c r="E1095" t="s">
        <v>7800</v>
      </c>
      <c r="F1095" t="s">
        <v>137</v>
      </c>
      <c r="G1095">
        <v>202</v>
      </c>
      <c r="H1095">
        <v>500</v>
      </c>
      <c r="I1095" s="5" t="s">
        <v>7801</v>
      </c>
      <c r="J1095" s="5" t="s">
        <v>7802</v>
      </c>
      <c r="K1095" s="5" t="str">
        <f t="shared" si="34"/>
        <v>https://www.google.com/maps?q=-12.244033, -41.615723</v>
      </c>
      <c r="L1095" s="5" t="str">
        <f t="shared" si="35"/>
        <v>Abrir no Maps</v>
      </c>
      <c r="M1095" t="s">
        <v>7803</v>
      </c>
      <c r="N1095" s="5"/>
      <c r="O1095" t="str">
        <f>VLOOKUP(G1095,'[1]CONFIG.'!$B:$C,2,0)</f>
        <v>ARISTON</v>
      </c>
      <c r="P1095" t="str">
        <f>VLOOKUP(O1095,'[1]CONFIG.'!$C:$D,2,0)</f>
        <v>74 99384078</v>
      </c>
    </row>
    <row r="1096" spans="1:16" x14ac:dyDescent="0.3">
      <c r="A1096" t="s">
        <v>7804</v>
      </c>
      <c r="B1096" t="s">
        <v>7805</v>
      </c>
      <c r="C1096" t="s">
        <v>7806</v>
      </c>
      <c r="D1096" t="s">
        <v>488</v>
      </c>
      <c r="E1096" t="s">
        <v>7807</v>
      </c>
      <c r="F1096" t="s">
        <v>7758</v>
      </c>
      <c r="G1096">
        <v>202</v>
      </c>
      <c r="H1096">
        <v>500</v>
      </c>
      <c r="I1096" s="5" t="s">
        <v>7808</v>
      </c>
      <c r="J1096" s="5" t="s">
        <v>7809</v>
      </c>
      <c r="K1096" s="5" t="str">
        <f t="shared" si="34"/>
        <v>https://www.google.com/maps?q=-12.260050, -41.575714</v>
      </c>
      <c r="L1096" s="5" t="str">
        <f t="shared" si="35"/>
        <v>Abrir no Maps</v>
      </c>
      <c r="M1096" t="s">
        <v>7810</v>
      </c>
      <c r="N1096" s="5"/>
      <c r="O1096" t="str">
        <f>VLOOKUP(G1096,'[1]CONFIG.'!$B:$C,2,0)</f>
        <v>ARISTON</v>
      </c>
      <c r="P1096" t="str">
        <f>VLOOKUP(O1096,'[1]CONFIG.'!$C:$D,2,0)</f>
        <v>74 99384078</v>
      </c>
    </row>
    <row r="1097" spans="1:16" x14ac:dyDescent="0.3">
      <c r="A1097" t="s">
        <v>7811</v>
      </c>
      <c r="B1097" t="s">
        <v>7812</v>
      </c>
      <c r="C1097" t="s">
        <v>7813</v>
      </c>
      <c r="D1097" t="s">
        <v>488</v>
      </c>
      <c r="E1097" t="s">
        <v>7814</v>
      </c>
      <c r="F1097" t="s">
        <v>137</v>
      </c>
      <c r="G1097">
        <v>202</v>
      </c>
      <c r="H1097">
        <v>500</v>
      </c>
      <c r="I1097" s="5" t="s">
        <v>7815</v>
      </c>
      <c r="J1097" s="5" t="s">
        <v>7816</v>
      </c>
      <c r="K1097" s="5" t="str">
        <f t="shared" si="34"/>
        <v>https://www.google.com/maps?q=-12.246823, -41.612774</v>
      </c>
      <c r="L1097" s="5" t="str">
        <f t="shared" si="35"/>
        <v>Abrir no Maps</v>
      </c>
      <c r="M1097" t="s">
        <v>7817</v>
      </c>
      <c r="N1097" s="5"/>
      <c r="O1097" t="str">
        <f>VLOOKUP(G1097,'[1]CONFIG.'!$B:$C,2,0)</f>
        <v>ARISTON</v>
      </c>
      <c r="P1097" t="str">
        <f>VLOOKUP(O1097,'[1]CONFIG.'!$C:$D,2,0)</f>
        <v>74 99384078</v>
      </c>
    </row>
    <row r="1098" spans="1:16" x14ac:dyDescent="0.3">
      <c r="A1098" t="s">
        <v>7818</v>
      </c>
      <c r="B1098" t="s">
        <v>7819</v>
      </c>
      <c r="C1098" t="s">
        <v>7820</v>
      </c>
      <c r="D1098" t="s">
        <v>488</v>
      </c>
      <c r="E1098" t="s">
        <v>7821</v>
      </c>
      <c r="F1098" t="s">
        <v>7822</v>
      </c>
      <c r="G1098">
        <v>211</v>
      </c>
      <c r="H1098">
        <v>500</v>
      </c>
      <c r="I1098" s="5" t="s">
        <v>7823</v>
      </c>
      <c r="J1098" s="5" t="s">
        <v>7824</v>
      </c>
      <c r="K1098" s="5" t="str">
        <f t="shared" si="34"/>
        <v>https://www.google.com/maps?q=-11.683552, -41.767307</v>
      </c>
      <c r="L1098" s="5" t="str">
        <f t="shared" si="35"/>
        <v>Abrir no Maps</v>
      </c>
      <c r="M1098" t="s">
        <v>6197</v>
      </c>
      <c r="N1098" s="5"/>
      <c r="O1098" t="str">
        <f>VLOOKUP(G1098,'[1]CONFIG.'!$B:$C,2,0)</f>
        <v>DAIANE</v>
      </c>
      <c r="P1098" t="str">
        <f>VLOOKUP(O1098,'[1]CONFIG.'!$C:$D,2,0)</f>
        <v>74 99298866</v>
      </c>
    </row>
    <row r="1099" spans="1:16" x14ac:dyDescent="0.3">
      <c r="A1099" t="s">
        <v>7825</v>
      </c>
      <c r="B1099" t="s">
        <v>7826</v>
      </c>
      <c r="C1099" t="s">
        <v>7827</v>
      </c>
      <c r="D1099" t="s">
        <v>488</v>
      </c>
      <c r="E1099" t="s">
        <v>7828</v>
      </c>
      <c r="F1099" t="s">
        <v>137</v>
      </c>
      <c r="G1099">
        <v>202</v>
      </c>
      <c r="H1099">
        <v>500</v>
      </c>
      <c r="I1099" s="5" t="s">
        <v>7829</v>
      </c>
      <c r="J1099" s="5" t="s">
        <v>7830</v>
      </c>
      <c r="K1099" s="5" t="str">
        <f t="shared" si="34"/>
        <v>https://www.google.com/maps?q=-12.245525, -41.618996</v>
      </c>
      <c r="L1099" s="5" t="str">
        <f t="shared" si="35"/>
        <v>Abrir no Maps</v>
      </c>
      <c r="M1099" t="s">
        <v>7831</v>
      </c>
      <c r="N1099" s="5"/>
      <c r="O1099" t="str">
        <f>VLOOKUP(G1099,'[1]CONFIG.'!$B:$C,2,0)</f>
        <v>ARISTON</v>
      </c>
      <c r="P1099" t="str">
        <f>VLOOKUP(O1099,'[1]CONFIG.'!$C:$D,2,0)</f>
        <v>74 99384078</v>
      </c>
    </row>
    <row r="1100" spans="1:16" x14ac:dyDescent="0.3">
      <c r="A1100" t="s">
        <v>7832</v>
      </c>
      <c r="B1100" t="s">
        <v>7833</v>
      </c>
      <c r="C1100" t="s">
        <v>7834</v>
      </c>
      <c r="D1100" t="s">
        <v>7835</v>
      </c>
      <c r="E1100" t="s">
        <v>7836</v>
      </c>
      <c r="F1100" t="s">
        <v>137</v>
      </c>
      <c r="G1100">
        <v>202</v>
      </c>
      <c r="H1100">
        <v>500</v>
      </c>
      <c r="I1100" s="5" t="s">
        <v>7837</v>
      </c>
      <c r="J1100" s="5" t="s">
        <v>7838</v>
      </c>
      <c r="K1100" s="5" t="str">
        <f t="shared" si="34"/>
        <v>https://www.google.com/maps?q=-12.089884, -41.648342</v>
      </c>
      <c r="L1100" s="5" t="str">
        <f t="shared" si="35"/>
        <v>Abrir no Maps</v>
      </c>
      <c r="M1100" t="s">
        <v>7839</v>
      </c>
      <c r="N1100" s="5"/>
      <c r="O1100" t="str">
        <f>VLOOKUP(G1100,'[1]CONFIG.'!$B:$C,2,0)</f>
        <v>ARISTON</v>
      </c>
      <c r="P1100" t="str">
        <f>VLOOKUP(O1100,'[1]CONFIG.'!$C:$D,2,0)</f>
        <v>74 99384078</v>
      </c>
    </row>
    <row r="1101" spans="1:16" x14ac:dyDescent="0.3">
      <c r="A1101" t="s">
        <v>7840</v>
      </c>
      <c r="B1101" t="s">
        <v>7841</v>
      </c>
      <c r="C1101" t="s">
        <v>7842</v>
      </c>
      <c r="D1101" t="s">
        <v>488</v>
      </c>
      <c r="E1101" t="s">
        <v>7843</v>
      </c>
      <c r="F1101" t="s">
        <v>137</v>
      </c>
      <c r="G1101">
        <v>202</v>
      </c>
      <c r="H1101">
        <v>500</v>
      </c>
      <c r="I1101" s="5" t="s">
        <v>7844</v>
      </c>
      <c r="J1101" s="5" t="s">
        <v>7845</v>
      </c>
      <c r="K1101" s="5" t="str">
        <f t="shared" si="34"/>
        <v>https://www.google.com/maps?q=-12.248056, -41.613976</v>
      </c>
      <c r="L1101" s="5" t="str">
        <f t="shared" si="35"/>
        <v>Abrir no Maps</v>
      </c>
      <c r="M1101" t="s">
        <v>7846</v>
      </c>
      <c r="N1101" s="5"/>
      <c r="O1101" t="str">
        <f>VLOOKUP(G1101,'[1]CONFIG.'!$B:$C,2,0)</f>
        <v>ARISTON</v>
      </c>
      <c r="P1101" t="str">
        <f>VLOOKUP(O1101,'[1]CONFIG.'!$C:$D,2,0)</f>
        <v>74 99384078</v>
      </c>
    </row>
    <row r="1102" spans="1:16" x14ac:dyDescent="0.3">
      <c r="A1102" t="s">
        <v>7847</v>
      </c>
      <c r="B1102" t="s">
        <v>7848</v>
      </c>
      <c r="C1102" t="s">
        <v>7849</v>
      </c>
      <c r="D1102" t="s">
        <v>488</v>
      </c>
      <c r="E1102" t="s">
        <v>7850</v>
      </c>
      <c r="F1102" t="s">
        <v>7851</v>
      </c>
      <c r="G1102">
        <v>202</v>
      </c>
      <c r="H1102">
        <v>500</v>
      </c>
      <c r="I1102" s="5" t="s">
        <v>7852</v>
      </c>
      <c r="J1102" s="5" t="s">
        <v>7853</v>
      </c>
      <c r="K1102" s="5" t="str">
        <f t="shared" si="34"/>
        <v>https://www.google.com/maps?q=-12.335272, -41.493526</v>
      </c>
      <c r="L1102" s="5" t="str">
        <f t="shared" si="35"/>
        <v>Abrir no Maps</v>
      </c>
      <c r="M1102" t="s">
        <v>7854</v>
      </c>
      <c r="N1102" s="5"/>
      <c r="O1102" t="str">
        <f>VLOOKUP(G1102,'[1]CONFIG.'!$B:$C,2,0)</f>
        <v>ARISTON</v>
      </c>
      <c r="P1102" t="str">
        <f>VLOOKUP(O1102,'[1]CONFIG.'!$C:$D,2,0)</f>
        <v>74 99384078</v>
      </c>
    </row>
    <row r="1103" spans="1:16" x14ac:dyDescent="0.3">
      <c r="A1103" t="s">
        <v>7855</v>
      </c>
      <c r="B1103" t="s">
        <v>7856</v>
      </c>
      <c r="C1103" t="s">
        <v>7857</v>
      </c>
      <c r="D1103" t="s">
        <v>488</v>
      </c>
      <c r="E1103" t="s">
        <v>7858</v>
      </c>
      <c r="F1103" t="s">
        <v>137</v>
      </c>
      <c r="G1103">
        <v>202</v>
      </c>
      <c r="H1103">
        <v>500</v>
      </c>
      <c r="I1103" s="5" t="s">
        <v>7859</v>
      </c>
      <c r="J1103" s="5" t="s">
        <v>7860</v>
      </c>
      <c r="K1103" s="5" t="str">
        <f t="shared" si="34"/>
        <v>https://www.google.com/maps?q=-12.243683, -41.615990</v>
      </c>
      <c r="L1103" s="5" t="str">
        <f t="shared" si="35"/>
        <v>Abrir no Maps</v>
      </c>
      <c r="M1103" t="s">
        <v>7861</v>
      </c>
      <c r="N1103" s="5"/>
      <c r="O1103" t="str">
        <f>VLOOKUP(G1103,'[1]CONFIG.'!$B:$C,2,0)</f>
        <v>ARISTON</v>
      </c>
      <c r="P1103" t="str">
        <f>VLOOKUP(O1103,'[1]CONFIG.'!$C:$D,2,0)</f>
        <v>74 99384078</v>
      </c>
    </row>
    <row r="1104" spans="1:16" x14ac:dyDescent="0.3">
      <c r="A1104" t="s">
        <v>7862</v>
      </c>
      <c r="B1104" t="s">
        <v>7863</v>
      </c>
      <c r="C1104" t="s">
        <v>7864</v>
      </c>
      <c r="D1104" t="s">
        <v>488</v>
      </c>
      <c r="E1104" t="s">
        <v>7865</v>
      </c>
      <c r="F1104" t="s">
        <v>7390</v>
      </c>
      <c r="G1104">
        <v>202</v>
      </c>
      <c r="H1104">
        <v>500</v>
      </c>
      <c r="I1104" s="5" t="s">
        <v>7866</v>
      </c>
      <c r="J1104" s="5" t="s">
        <v>7867</v>
      </c>
      <c r="K1104" s="5" t="str">
        <f t="shared" si="34"/>
        <v>https://www.google.com/maps?q=-12.345654, -41.584606</v>
      </c>
      <c r="L1104" s="5" t="str">
        <f t="shared" si="35"/>
        <v>Abrir no Maps</v>
      </c>
      <c r="M1104" t="s">
        <v>7868</v>
      </c>
      <c r="N1104" s="5"/>
      <c r="O1104" t="str">
        <f>VLOOKUP(G1104,'[1]CONFIG.'!$B:$C,2,0)</f>
        <v>ARISTON</v>
      </c>
      <c r="P1104" t="str">
        <f>VLOOKUP(O1104,'[1]CONFIG.'!$C:$D,2,0)</f>
        <v>74 99384078</v>
      </c>
    </row>
    <row r="1105" spans="1:16" x14ac:dyDescent="0.3">
      <c r="A1105" t="s">
        <v>7869</v>
      </c>
      <c r="B1105" t="s">
        <v>7870</v>
      </c>
      <c r="C1105" t="s">
        <v>7871</v>
      </c>
      <c r="D1105" t="s">
        <v>488</v>
      </c>
      <c r="E1105" t="s">
        <v>7872</v>
      </c>
      <c r="F1105" t="s">
        <v>137</v>
      </c>
      <c r="G1105">
        <v>202</v>
      </c>
      <c r="H1105">
        <v>500</v>
      </c>
      <c r="I1105" s="5" t="s">
        <v>7873</v>
      </c>
      <c r="J1105" s="5" t="s">
        <v>7874</v>
      </c>
      <c r="K1105" s="5" t="str">
        <f t="shared" si="34"/>
        <v>https://www.google.com/maps?q=-12.248278, -41.610510</v>
      </c>
      <c r="L1105" s="5" t="str">
        <f t="shared" si="35"/>
        <v>Abrir no Maps</v>
      </c>
      <c r="M1105" t="s">
        <v>7875</v>
      </c>
      <c r="N1105" s="5"/>
      <c r="O1105" t="str">
        <f>VLOOKUP(G1105,'[1]CONFIG.'!$B:$C,2,0)</f>
        <v>ARISTON</v>
      </c>
      <c r="P1105" t="str">
        <f>VLOOKUP(O1105,'[1]CONFIG.'!$C:$D,2,0)</f>
        <v>74 99384078</v>
      </c>
    </row>
    <row r="1106" spans="1:16" x14ac:dyDescent="0.3">
      <c r="A1106" t="s">
        <v>7876</v>
      </c>
      <c r="B1106" t="s">
        <v>7877</v>
      </c>
      <c r="C1106" t="s">
        <v>7878</v>
      </c>
      <c r="D1106" t="s">
        <v>488</v>
      </c>
      <c r="E1106" t="s">
        <v>7879</v>
      </c>
      <c r="F1106" t="s">
        <v>137</v>
      </c>
      <c r="G1106">
        <v>202</v>
      </c>
      <c r="H1106">
        <v>500</v>
      </c>
      <c r="I1106" s="5" t="s">
        <v>7880</v>
      </c>
      <c r="J1106" s="5" t="s">
        <v>7881</v>
      </c>
      <c r="K1106" s="5" t="str">
        <f t="shared" si="34"/>
        <v>https://www.google.com/maps?q=-12.242409, -41.615246</v>
      </c>
      <c r="L1106" s="5" t="str">
        <f t="shared" si="35"/>
        <v>Abrir no Maps</v>
      </c>
      <c r="M1106" t="s">
        <v>7882</v>
      </c>
      <c r="N1106" s="5"/>
      <c r="O1106" t="str">
        <f>VLOOKUP(G1106,'[1]CONFIG.'!$B:$C,2,0)</f>
        <v>ARISTON</v>
      </c>
      <c r="P1106" t="str">
        <f>VLOOKUP(O1106,'[1]CONFIG.'!$C:$D,2,0)</f>
        <v>74 99384078</v>
      </c>
    </row>
    <row r="1107" spans="1:16" x14ac:dyDescent="0.3">
      <c r="A1107" t="s">
        <v>7883</v>
      </c>
      <c r="B1107" t="s">
        <v>7884</v>
      </c>
      <c r="C1107" t="s">
        <v>7885</v>
      </c>
      <c r="D1107" t="s">
        <v>488</v>
      </c>
      <c r="E1107" t="s">
        <v>7886</v>
      </c>
      <c r="F1107" t="s">
        <v>137</v>
      </c>
      <c r="G1107">
        <v>202</v>
      </c>
      <c r="H1107">
        <v>500</v>
      </c>
      <c r="I1107" s="5" t="s">
        <v>7887</v>
      </c>
      <c r="J1107" s="5" t="s">
        <v>7888</v>
      </c>
      <c r="K1107" s="5" t="str">
        <f t="shared" si="34"/>
        <v>https://www.google.com/maps?q=-12.242210, -41.615513</v>
      </c>
      <c r="L1107" s="5" t="str">
        <f t="shared" si="35"/>
        <v>Abrir no Maps</v>
      </c>
      <c r="M1107" t="s">
        <v>7889</v>
      </c>
      <c r="N1107" s="5"/>
      <c r="O1107" t="str">
        <f>VLOOKUP(G1107,'[1]CONFIG.'!$B:$C,2,0)</f>
        <v>ARISTON</v>
      </c>
      <c r="P1107" t="str">
        <f>VLOOKUP(O1107,'[1]CONFIG.'!$C:$D,2,0)</f>
        <v>74 99384078</v>
      </c>
    </row>
    <row r="1108" spans="1:16" x14ac:dyDescent="0.3">
      <c r="A1108" t="s">
        <v>7890</v>
      </c>
      <c r="B1108" t="s">
        <v>7891</v>
      </c>
      <c r="C1108" t="s">
        <v>7892</v>
      </c>
      <c r="D1108" t="s">
        <v>488</v>
      </c>
      <c r="E1108" t="s">
        <v>7893</v>
      </c>
      <c r="F1108" t="s">
        <v>137</v>
      </c>
      <c r="G1108">
        <v>202</v>
      </c>
      <c r="H1108">
        <v>500</v>
      </c>
      <c r="I1108" s="5" t="s">
        <v>7894</v>
      </c>
      <c r="J1108" s="5" t="s">
        <v>7895</v>
      </c>
      <c r="K1108" s="5" t="str">
        <f t="shared" si="34"/>
        <v>https://www.google.com/maps?q=-12.237202, -41.616962</v>
      </c>
      <c r="L1108" s="5" t="str">
        <f t="shared" si="35"/>
        <v>Abrir no Maps</v>
      </c>
      <c r="M1108" t="s">
        <v>7896</v>
      </c>
      <c r="N1108" s="5"/>
      <c r="O1108" t="str">
        <f>VLOOKUP(G1108,'[1]CONFIG.'!$B:$C,2,0)</f>
        <v>ARISTON</v>
      </c>
      <c r="P1108" t="str">
        <f>VLOOKUP(O1108,'[1]CONFIG.'!$C:$D,2,0)</f>
        <v>74 99384078</v>
      </c>
    </row>
    <row r="1109" spans="1:16" x14ac:dyDescent="0.3">
      <c r="A1109" t="s">
        <v>7897</v>
      </c>
      <c r="B1109" t="s">
        <v>7898</v>
      </c>
      <c r="C1109" t="s">
        <v>7899</v>
      </c>
      <c r="D1109" t="s">
        <v>488</v>
      </c>
      <c r="E1109" t="s">
        <v>7900</v>
      </c>
      <c r="F1109" t="s">
        <v>137</v>
      </c>
      <c r="G1109">
        <v>202</v>
      </c>
      <c r="H1109">
        <v>500</v>
      </c>
      <c r="I1109" s="5" t="s">
        <v>7901</v>
      </c>
      <c r="J1109" s="5" t="s">
        <v>7902</v>
      </c>
      <c r="K1109" s="5" t="str">
        <f t="shared" si="34"/>
        <v>https://www.google.com/maps?q=-12.245399, -41.613564</v>
      </c>
      <c r="L1109" s="5" t="str">
        <f t="shared" si="35"/>
        <v>Abrir no Maps</v>
      </c>
      <c r="M1109" t="s">
        <v>7903</v>
      </c>
      <c r="N1109" s="5"/>
      <c r="O1109" t="str">
        <f>VLOOKUP(G1109,'[1]CONFIG.'!$B:$C,2,0)</f>
        <v>ARISTON</v>
      </c>
      <c r="P1109" t="str">
        <f>VLOOKUP(O1109,'[1]CONFIG.'!$C:$D,2,0)</f>
        <v>74 99384078</v>
      </c>
    </row>
    <row r="1110" spans="1:16" x14ac:dyDescent="0.3">
      <c r="A1110" t="s">
        <v>7904</v>
      </c>
      <c r="B1110" t="s">
        <v>7905</v>
      </c>
      <c r="C1110" t="s">
        <v>7906</v>
      </c>
      <c r="D1110" t="s">
        <v>488</v>
      </c>
      <c r="E1110" t="s">
        <v>7907</v>
      </c>
      <c r="F1110" t="s">
        <v>137</v>
      </c>
      <c r="G1110">
        <v>202</v>
      </c>
      <c r="H1110">
        <v>500</v>
      </c>
      <c r="I1110" s="5" t="s">
        <v>7908</v>
      </c>
      <c r="J1110" s="5" t="s">
        <v>7909</v>
      </c>
      <c r="K1110" s="5" t="str">
        <f t="shared" si="34"/>
        <v>https://www.google.com/maps?q=-12.245305, -41.614510</v>
      </c>
      <c r="L1110" s="5" t="str">
        <f t="shared" si="35"/>
        <v>Abrir no Maps</v>
      </c>
      <c r="M1110" t="s">
        <v>7910</v>
      </c>
      <c r="N1110" s="5"/>
      <c r="O1110" t="str">
        <f>VLOOKUP(G1110,'[1]CONFIG.'!$B:$C,2,0)</f>
        <v>ARISTON</v>
      </c>
      <c r="P1110" t="str">
        <f>VLOOKUP(O1110,'[1]CONFIG.'!$C:$D,2,0)</f>
        <v>74 99384078</v>
      </c>
    </row>
    <row r="1111" spans="1:16" x14ac:dyDescent="0.3">
      <c r="A1111" t="s">
        <v>7911</v>
      </c>
      <c r="B1111" t="s">
        <v>7912</v>
      </c>
      <c r="C1111" t="s">
        <v>7913</v>
      </c>
      <c r="D1111" t="s">
        <v>488</v>
      </c>
      <c r="E1111" t="s">
        <v>7914</v>
      </c>
      <c r="F1111" t="s">
        <v>7742</v>
      </c>
      <c r="G1111">
        <v>202</v>
      </c>
      <c r="H1111">
        <v>500</v>
      </c>
      <c r="I1111" s="5" t="s">
        <v>7915</v>
      </c>
      <c r="J1111" s="5" t="s">
        <v>7916</v>
      </c>
      <c r="K1111" s="5" t="str">
        <f t="shared" si="34"/>
        <v>https://www.google.com/maps?q=-12.347520, -41.584904</v>
      </c>
      <c r="L1111" s="5" t="str">
        <f t="shared" si="35"/>
        <v>Abrir no Maps</v>
      </c>
      <c r="M1111" t="s">
        <v>7917</v>
      </c>
      <c r="N1111" s="5"/>
      <c r="O1111" t="str">
        <f>VLOOKUP(G1111,'[1]CONFIG.'!$B:$C,2,0)</f>
        <v>ARISTON</v>
      </c>
      <c r="P1111" t="str">
        <f>VLOOKUP(O1111,'[1]CONFIG.'!$C:$D,2,0)</f>
        <v>74 99384078</v>
      </c>
    </row>
    <row r="1112" spans="1:16" x14ac:dyDescent="0.3">
      <c r="A1112" t="s">
        <v>7918</v>
      </c>
      <c r="B1112" t="s">
        <v>7919</v>
      </c>
      <c r="C1112" t="s">
        <v>7920</v>
      </c>
      <c r="D1112" t="s">
        <v>488</v>
      </c>
      <c r="E1112" t="s">
        <v>7921</v>
      </c>
      <c r="F1112" t="s">
        <v>137</v>
      </c>
      <c r="G1112">
        <v>202</v>
      </c>
      <c r="H1112">
        <v>500</v>
      </c>
      <c r="I1112" s="5" t="s">
        <v>7922</v>
      </c>
      <c r="J1112" s="5" t="s">
        <v>7923</v>
      </c>
      <c r="K1112" s="5" t="str">
        <f t="shared" si="34"/>
        <v>https://www.google.com/maps?q=-12.238552, -41.619717</v>
      </c>
      <c r="L1112" s="5" t="str">
        <f t="shared" si="35"/>
        <v>Abrir no Maps</v>
      </c>
      <c r="M1112" t="s">
        <v>7924</v>
      </c>
      <c r="N1112" s="5"/>
      <c r="O1112" t="str">
        <f>VLOOKUP(G1112,'[1]CONFIG.'!$B:$C,2,0)</f>
        <v>ARISTON</v>
      </c>
      <c r="P1112" t="str">
        <f>VLOOKUP(O1112,'[1]CONFIG.'!$C:$D,2,0)</f>
        <v>74 99384078</v>
      </c>
    </row>
    <row r="1113" spans="1:16" x14ac:dyDescent="0.3">
      <c r="A1113" t="s">
        <v>7925</v>
      </c>
      <c r="B1113" t="s">
        <v>7926</v>
      </c>
      <c r="C1113" t="s">
        <v>7927</v>
      </c>
      <c r="D1113" t="s">
        <v>488</v>
      </c>
      <c r="E1113" t="s">
        <v>7928</v>
      </c>
      <c r="F1113" t="s">
        <v>137</v>
      </c>
      <c r="G1113">
        <v>202</v>
      </c>
      <c r="H1113">
        <v>500</v>
      </c>
      <c r="I1113" s="5" t="s">
        <v>7929</v>
      </c>
      <c r="J1113" s="5" t="s">
        <v>7930</v>
      </c>
      <c r="K1113" s="5" t="str">
        <f t="shared" si="34"/>
        <v>https://www.google.com/maps?q=-12.243992, -41.614994</v>
      </c>
      <c r="L1113" s="5" t="str">
        <f t="shared" si="35"/>
        <v>Abrir no Maps</v>
      </c>
      <c r="M1113" t="s">
        <v>7931</v>
      </c>
      <c r="N1113" s="5"/>
      <c r="O1113" t="str">
        <f>VLOOKUP(G1113,'[1]CONFIG.'!$B:$C,2,0)</f>
        <v>ARISTON</v>
      </c>
      <c r="P1113" t="str">
        <f>VLOOKUP(O1113,'[1]CONFIG.'!$C:$D,2,0)</f>
        <v>74 99384078</v>
      </c>
    </row>
    <row r="1114" spans="1:16" x14ac:dyDescent="0.3">
      <c r="A1114" t="s">
        <v>7932</v>
      </c>
      <c r="B1114" t="s">
        <v>7933</v>
      </c>
      <c r="C1114" t="s">
        <v>7934</v>
      </c>
      <c r="D1114" t="s">
        <v>488</v>
      </c>
      <c r="E1114" t="s">
        <v>7935</v>
      </c>
      <c r="F1114" t="s">
        <v>137</v>
      </c>
      <c r="G1114">
        <v>202</v>
      </c>
      <c r="H1114">
        <v>500</v>
      </c>
      <c r="I1114" s="5" t="s">
        <v>7936</v>
      </c>
      <c r="J1114" s="5" t="s">
        <v>7937</v>
      </c>
      <c r="K1114" s="5" t="str">
        <f t="shared" si="34"/>
        <v>https://www.google.com/maps?q=-12.246798, -41.617496</v>
      </c>
      <c r="L1114" s="5" t="str">
        <f t="shared" si="35"/>
        <v>Abrir no Maps</v>
      </c>
      <c r="M1114" t="s">
        <v>7938</v>
      </c>
      <c r="N1114" s="5"/>
      <c r="O1114" t="str">
        <f>VLOOKUP(G1114,'[1]CONFIG.'!$B:$C,2,0)</f>
        <v>ARISTON</v>
      </c>
      <c r="P1114" t="str">
        <f>VLOOKUP(O1114,'[1]CONFIG.'!$C:$D,2,0)</f>
        <v>74 99384078</v>
      </c>
    </row>
    <row r="1115" spans="1:16" x14ac:dyDescent="0.3">
      <c r="A1115" t="s">
        <v>7939</v>
      </c>
      <c r="B1115" t="s">
        <v>7940</v>
      </c>
      <c r="C1115" t="s">
        <v>7941</v>
      </c>
      <c r="D1115" t="s">
        <v>488</v>
      </c>
      <c r="E1115" t="s">
        <v>7942</v>
      </c>
      <c r="F1115" t="s">
        <v>7943</v>
      </c>
      <c r="G1115">
        <v>202</v>
      </c>
      <c r="H1115">
        <v>500</v>
      </c>
      <c r="I1115" s="5" t="s">
        <v>7944</v>
      </c>
      <c r="J1115" s="5" t="s">
        <v>7945</v>
      </c>
      <c r="K1115" s="5" t="str">
        <f t="shared" si="34"/>
        <v>https://www.google.com/maps?q=-12.237343, -41.613373</v>
      </c>
      <c r="L1115" s="5" t="str">
        <f t="shared" si="35"/>
        <v>Abrir no Maps</v>
      </c>
      <c r="M1115" t="s">
        <v>7946</v>
      </c>
      <c r="N1115" s="5"/>
      <c r="O1115" t="str">
        <f>VLOOKUP(G1115,'[1]CONFIG.'!$B:$C,2,0)</f>
        <v>ARISTON</v>
      </c>
      <c r="P1115" t="str">
        <f>VLOOKUP(O1115,'[1]CONFIG.'!$C:$D,2,0)</f>
        <v>74 99384078</v>
      </c>
    </row>
    <row r="1116" spans="1:16" x14ac:dyDescent="0.3">
      <c r="A1116" t="s">
        <v>7947</v>
      </c>
      <c r="B1116" t="s">
        <v>7948</v>
      </c>
      <c r="C1116" t="s">
        <v>7949</v>
      </c>
      <c r="D1116" t="s">
        <v>488</v>
      </c>
      <c r="E1116" t="s">
        <v>7950</v>
      </c>
      <c r="F1116" t="s">
        <v>137</v>
      </c>
      <c r="G1116">
        <v>202</v>
      </c>
      <c r="H1116">
        <v>500</v>
      </c>
      <c r="I1116" s="5" t="s">
        <v>7951</v>
      </c>
      <c r="J1116" s="5" t="s">
        <v>7952</v>
      </c>
      <c r="K1116" s="5" t="str">
        <f t="shared" si="34"/>
        <v>https://www.google.com/maps?q=-12.243186, -41.614202</v>
      </c>
      <c r="L1116" s="5" t="str">
        <f t="shared" si="35"/>
        <v>Abrir no Maps</v>
      </c>
      <c r="M1116" t="s">
        <v>7953</v>
      </c>
      <c r="N1116" s="5"/>
      <c r="O1116" t="str">
        <f>VLOOKUP(G1116,'[1]CONFIG.'!$B:$C,2,0)</f>
        <v>ARISTON</v>
      </c>
      <c r="P1116" t="str">
        <f>VLOOKUP(O1116,'[1]CONFIG.'!$C:$D,2,0)</f>
        <v>74 99384078</v>
      </c>
    </row>
    <row r="1117" spans="1:16" x14ac:dyDescent="0.3">
      <c r="A1117" t="s">
        <v>7954</v>
      </c>
      <c r="B1117" t="s">
        <v>7955</v>
      </c>
      <c r="C1117" t="s">
        <v>7956</v>
      </c>
      <c r="D1117" t="s">
        <v>488</v>
      </c>
      <c r="E1117" t="s">
        <v>7957</v>
      </c>
      <c r="F1117" t="s">
        <v>7958</v>
      </c>
      <c r="G1117">
        <v>202</v>
      </c>
      <c r="H1117">
        <v>500</v>
      </c>
      <c r="I1117" s="5" t="s">
        <v>7959</v>
      </c>
      <c r="J1117" s="5" t="s">
        <v>7960</v>
      </c>
      <c r="K1117" s="5" t="str">
        <f t="shared" si="34"/>
        <v>https://www.google.com/maps?q=-12.331367, -41.606225</v>
      </c>
      <c r="L1117" s="5" t="str">
        <f t="shared" si="35"/>
        <v>Abrir no Maps</v>
      </c>
      <c r="M1117" t="s">
        <v>7961</v>
      </c>
      <c r="N1117" s="5"/>
      <c r="O1117" t="str">
        <f>VLOOKUP(G1117,'[1]CONFIG.'!$B:$C,2,0)</f>
        <v>ARISTON</v>
      </c>
      <c r="P1117" t="str">
        <f>VLOOKUP(O1117,'[1]CONFIG.'!$C:$D,2,0)</f>
        <v>74 99384078</v>
      </c>
    </row>
    <row r="1118" spans="1:16" x14ac:dyDescent="0.3">
      <c r="A1118" t="s">
        <v>7962</v>
      </c>
      <c r="B1118" t="s">
        <v>7963</v>
      </c>
      <c r="C1118" t="s">
        <v>7964</v>
      </c>
      <c r="D1118" t="s">
        <v>488</v>
      </c>
      <c r="E1118" t="s">
        <v>7965</v>
      </c>
      <c r="F1118" t="s">
        <v>137</v>
      </c>
      <c r="G1118">
        <v>202</v>
      </c>
      <c r="H1118">
        <v>500</v>
      </c>
      <c r="I1118" s="5" t="s">
        <v>7966</v>
      </c>
      <c r="J1118" s="5" t="s">
        <v>7967</v>
      </c>
      <c r="K1118" s="5" t="str">
        <f t="shared" si="34"/>
        <v>https://www.google.com/maps?q=-12.247046, -41.616970</v>
      </c>
      <c r="L1118" s="5" t="str">
        <f t="shared" si="35"/>
        <v>Abrir no Maps</v>
      </c>
      <c r="M1118" t="s">
        <v>7968</v>
      </c>
      <c r="N1118" s="5"/>
      <c r="O1118" t="str">
        <f>VLOOKUP(G1118,'[1]CONFIG.'!$B:$C,2,0)</f>
        <v>ARISTON</v>
      </c>
      <c r="P1118" t="str">
        <f>VLOOKUP(O1118,'[1]CONFIG.'!$C:$D,2,0)</f>
        <v>74 99384078</v>
      </c>
    </row>
    <row r="1119" spans="1:16" x14ac:dyDescent="0.3">
      <c r="A1119" t="s">
        <v>7969</v>
      </c>
      <c r="B1119" t="s">
        <v>7970</v>
      </c>
      <c r="C1119" t="s">
        <v>7971</v>
      </c>
      <c r="D1119" t="s">
        <v>488</v>
      </c>
      <c r="E1119" t="s">
        <v>7972</v>
      </c>
      <c r="F1119" t="s">
        <v>137</v>
      </c>
      <c r="G1119">
        <v>202</v>
      </c>
      <c r="H1119">
        <v>500</v>
      </c>
      <c r="I1119" s="5" t="s">
        <v>7973</v>
      </c>
      <c r="J1119" s="5" t="s">
        <v>7974</v>
      </c>
      <c r="K1119" s="5" t="str">
        <f t="shared" si="34"/>
        <v>https://www.google.com/maps?q=-12.198330, -41.615291</v>
      </c>
      <c r="L1119" s="5" t="str">
        <f t="shared" si="35"/>
        <v>Abrir no Maps</v>
      </c>
      <c r="M1119" t="s">
        <v>7975</v>
      </c>
      <c r="N1119" s="5"/>
      <c r="O1119" t="str">
        <f>VLOOKUP(G1119,'[1]CONFIG.'!$B:$C,2,0)</f>
        <v>ARISTON</v>
      </c>
      <c r="P1119" t="str">
        <f>VLOOKUP(O1119,'[1]CONFIG.'!$C:$D,2,0)</f>
        <v>74 99384078</v>
      </c>
    </row>
    <row r="1120" spans="1:16" x14ac:dyDescent="0.3">
      <c r="A1120" t="s">
        <v>7976</v>
      </c>
      <c r="B1120" t="s">
        <v>7977</v>
      </c>
      <c r="C1120" t="s">
        <v>7978</v>
      </c>
      <c r="D1120" t="s">
        <v>488</v>
      </c>
      <c r="E1120" t="s">
        <v>7979</v>
      </c>
      <c r="F1120" t="s">
        <v>7404</v>
      </c>
      <c r="G1120">
        <v>202</v>
      </c>
      <c r="H1120">
        <v>500</v>
      </c>
      <c r="I1120" s="5" t="s">
        <v>7980</v>
      </c>
      <c r="J1120" s="5" t="s">
        <v>7981</v>
      </c>
      <c r="K1120" s="5" t="str">
        <f t="shared" si="34"/>
        <v>https://www.google.com/maps?q=-12.239074, -41.616798</v>
      </c>
      <c r="L1120" s="5" t="str">
        <f t="shared" si="35"/>
        <v>Abrir no Maps</v>
      </c>
      <c r="M1120" t="s">
        <v>7982</v>
      </c>
      <c r="N1120" s="5"/>
      <c r="O1120" t="str">
        <f>VLOOKUP(G1120,'[1]CONFIG.'!$B:$C,2,0)</f>
        <v>ARISTON</v>
      </c>
      <c r="P1120" t="str">
        <f>VLOOKUP(O1120,'[1]CONFIG.'!$C:$D,2,0)</f>
        <v>74 99384078</v>
      </c>
    </row>
    <row r="1121" spans="1:16" x14ac:dyDescent="0.3">
      <c r="A1121" t="s">
        <v>7983</v>
      </c>
      <c r="B1121" t="s">
        <v>7984</v>
      </c>
      <c r="C1121" t="s">
        <v>7985</v>
      </c>
      <c r="D1121" t="s">
        <v>488</v>
      </c>
      <c r="E1121" t="s">
        <v>7986</v>
      </c>
      <c r="F1121" t="s">
        <v>137</v>
      </c>
      <c r="G1121">
        <v>202</v>
      </c>
      <c r="H1121">
        <v>500</v>
      </c>
      <c r="I1121" s="5" t="s">
        <v>7987</v>
      </c>
      <c r="J1121" s="5" t="s">
        <v>7988</v>
      </c>
      <c r="K1121" s="5" t="str">
        <f t="shared" si="34"/>
        <v>https://www.google.com/maps?q=-12.246311, -41.618213</v>
      </c>
      <c r="L1121" s="5" t="str">
        <f t="shared" si="35"/>
        <v>Abrir no Maps</v>
      </c>
      <c r="M1121" t="s">
        <v>7817</v>
      </c>
      <c r="N1121" s="5"/>
      <c r="O1121" t="str">
        <f>VLOOKUP(G1121,'[1]CONFIG.'!$B:$C,2,0)</f>
        <v>ARISTON</v>
      </c>
      <c r="P1121" t="str">
        <f>VLOOKUP(O1121,'[1]CONFIG.'!$C:$D,2,0)</f>
        <v>74 99384078</v>
      </c>
    </row>
    <row r="1122" spans="1:16" x14ac:dyDescent="0.3">
      <c r="A1122" t="s">
        <v>7989</v>
      </c>
      <c r="B1122" t="s">
        <v>7990</v>
      </c>
      <c r="C1122" t="s">
        <v>7991</v>
      </c>
      <c r="D1122" t="s">
        <v>488</v>
      </c>
      <c r="E1122" t="s">
        <v>7992</v>
      </c>
      <c r="F1122" t="s">
        <v>7758</v>
      </c>
      <c r="G1122">
        <v>202</v>
      </c>
      <c r="H1122">
        <v>500</v>
      </c>
      <c r="I1122" s="5" t="s">
        <v>7993</v>
      </c>
      <c r="J1122" s="5" t="s">
        <v>7994</v>
      </c>
      <c r="K1122" s="5" t="str">
        <f t="shared" si="34"/>
        <v>https://www.google.com/maps?q=-12.259785, -41.578731</v>
      </c>
      <c r="L1122" s="5" t="str">
        <f t="shared" si="35"/>
        <v>Abrir no Maps</v>
      </c>
      <c r="M1122">
        <v>0</v>
      </c>
      <c r="N1122" s="5"/>
      <c r="O1122" t="str">
        <f>VLOOKUP(G1122,'[1]CONFIG.'!$B:$C,2,0)</f>
        <v>ARISTON</v>
      </c>
      <c r="P1122" t="str">
        <f>VLOOKUP(O1122,'[1]CONFIG.'!$C:$D,2,0)</f>
        <v>74 99384078</v>
      </c>
    </row>
    <row r="1123" spans="1:16" x14ac:dyDescent="0.3">
      <c r="A1123" t="s">
        <v>7995</v>
      </c>
      <c r="B1123" t="s">
        <v>1722</v>
      </c>
      <c r="C1123" t="s">
        <v>7996</v>
      </c>
      <c r="D1123" t="s">
        <v>488</v>
      </c>
      <c r="E1123" t="s">
        <v>7997</v>
      </c>
      <c r="F1123" t="s">
        <v>7492</v>
      </c>
      <c r="G1123">
        <v>202</v>
      </c>
      <c r="H1123">
        <v>500</v>
      </c>
      <c r="I1123" s="5" t="s">
        <v>7998</v>
      </c>
      <c r="J1123" s="5" t="s">
        <v>7999</v>
      </c>
      <c r="K1123" s="5" t="str">
        <f t="shared" si="34"/>
        <v>https://www.google.com/maps?q=-12.247507, -41.617318</v>
      </c>
      <c r="L1123" s="5" t="str">
        <f t="shared" si="35"/>
        <v>Abrir no Maps</v>
      </c>
      <c r="M1123" t="s">
        <v>8000</v>
      </c>
      <c r="N1123" s="5"/>
      <c r="O1123" t="str">
        <f>VLOOKUP(G1123,'[1]CONFIG.'!$B:$C,2,0)</f>
        <v>ARISTON</v>
      </c>
      <c r="P1123" t="str">
        <f>VLOOKUP(O1123,'[1]CONFIG.'!$C:$D,2,0)</f>
        <v>74 99384078</v>
      </c>
    </row>
    <row r="1124" spans="1:16" x14ac:dyDescent="0.3">
      <c r="A1124" t="s">
        <v>8001</v>
      </c>
      <c r="B1124" t="s">
        <v>8002</v>
      </c>
      <c r="C1124" t="s">
        <v>8003</v>
      </c>
      <c r="D1124" t="s">
        <v>488</v>
      </c>
      <c r="E1124" t="s">
        <v>8004</v>
      </c>
      <c r="F1124" t="s">
        <v>7492</v>
      </c>
      <c r="G1124">
        <v>202</v>
      </c>
      <c r="H1124">
        <v>500</v>
      </c>
      <c r="I1124" s="5" t="s">
        <v>8005</v>
      </c>
      <c r="J1124" s="5" t="s">
        <v>8006</v>
      </c>
      <c r="K1124" s="5" t="str">
        <f t="shared" si="34"/>
        <v>https://www.google.com/maps?q=-12.254171, -41.606872</v>
      </c>
      <c r="L1124" s="5" t="str">
        <f t="shared" si="35"/>
        <v>Abrir no Maps</v>
      </c>
      <c r="M1124" t="s">
        <v>8007</v>
      </c>
      <c r="N1124" s="5"/>
      <c r="O1124" t="str">
        <f>VLOOKUP(G1124,'[1]CONFIG.'!$B:$C,2,0)</f>
        <v>ARISTON</v>
      </c>
      <c r="P1124" t="str">
        <f>VLOOKUP(O1124,'[1]CONFIG.'!$C:$D,2,0)</f>
        <v>74 99384078</v>
      </c>
    </row>
    <row r="1125" spans="1:16" x14ac:dyDescent="0.3">
      <c r="A1125" t="s">
        <v>8008</v>
      </c>
      <c r="B1125" t="s">
        <v>8009</v>
      </c>
      <c r="C1125" t="s">
        <v>8010</v>
      </c>
      <c r="D1125" t="s">
        <v>488</v>
      </c>
      <c r="E1125" t="s">
        <v>8011</v>
      </c>
      <c r="F1125" t="s">
        <v>137</v>
      </c>
      <c r="G1125">
        <v>202</v>
      </c>
      <c r="H1125">
        <v>500</v>
      </c>
      <c r="I1125" s="5" t="s">
        <v>8012</v>
      </c>
      <c r="J1125" s="5" t="s">
        <v>8013</v>
      </c>
      <c r="K1125" s="5" t="str">
        <f t="shared" si="34"/>
        <v>https://www.google.com/maps?q=-12.246179, -41.617445</v>
      </c>
      <c r="L1125" s="5" t="str">
        <f t="shared" si="35"/>
        <v>Abrir no Maps</v>
      </c>
      <c r="M1125" t="s">
        <v>8014</v>
      </c>
      <c r="N1125" s="5"/>
      <c r="O1125" t="str">
        <f>VLOOKUP(G1125,'[1]CONFIG.'!$B:$C,2,0)</f>
        <v>ARISTON</v>
      </c>
      <c r="P1125" t="str">
        <f>VLOOKUP(O1125,'[1]CONFIG.'!$C:$D,2,0)</f>
        <v>74 99384078</v>
      </c>
    </row>
    <row r="1126" spans="1:16" x14ac:dyDescent="0.3">
      <c r="A1126" t="s">
        <v>8015</v>
      </c>
      <c r="B1126" t="s">
        <v>8016</v>
      </c>
      <c r="C1126" t="s">
        <v>8017</v>
      </c>
      <c r="D1126" t="s">
        <v>488</v>
      </c>
      <c r="E1126" t="s">
        <v>8018</v>
      </c>
      <c r="F1126" t="s">
        <v>8019</v>
      </c>
      <c r="G1126">
        <v>202</v>
      </c>
      <c r="H1126">
        <v>500</v>
      </c>
      <c r="I1126" s="5" t="s">
        <v>8020</v>
      </c>
      <c r="J1126" s="5" t="s">
        <v>8021</v>
      </c>
      <c r="K1126" s="5" t="str">
        <f t="shared" si="34"/>
        <v>https://www.google.com/maps?q=-12.255919, -41.606118</v>
      </c>
      <c r="L1126" s="5" t="str">
        <f t="shared" si="35"/>
        <v>Abrir no Maps</v>
      </c>
      <c r="M1126" t="s">
        <v>8022</v>
      </c>
      <c r="N1126" s="5"/>
      <c r="O1126" t="str">
        <f>VLOOKUP(G1126,'[1]CONFIG.'!$B:$C,2,0)</f>
        <v>ARISTON</v>
      </c>
      <c r="P1126" t="str">
        <f>VLOOKUP(O1126,'[1]CONFIG.'!$C:$D,2,0)</f>
        <v>74 99384078</v>
      </c>
    </row>
    <row r="1127" spans="1:16" x14ac:dyDescent="0.3">
      <c r="A1127" t="s">
        <v>8023</v>
      </c>
      <c r="B1127" t="s">
        <v>8024</v>
      </c>
      <c r="C1127" t="s">
        <v>8025</v>
      </c>
      <c r="D1127" t="s">
        <v>488</v>
      </c>
      <c r="E1127" t="s">
        <v>8026</v>
      </c>
      <c r="F1127" t="s">
        <v>7758</v>
      </c>
      <c r="G1127">
        <v>202</v>
      </c>
      <c r="H1127">
        <v>500</v>
      </c>
      <c r="I1127" s="5" t="s">
        <v>8027</v>
      </c>
      <c r="J1127" s="5" t="s">
        <v>8028</v>
      </c>
      <c r="K1127" s="5" t="str">
        <f t="shared" si="34"/>
        <v>https://www.google.com/maps?q=-12.250725, -41.604757</v>
      </c>
      <c r="L1127" s="5" t="str">
        <f t="shared" si="35"/>
        <v>Abrir no Maps</v>
      </c>
      <c r="M1127" t="s">
        <v>8029</v>
      </c>
      <c r="N1127" s="5"/>
      <c r="O1127" t="str">
        <f>VLOOKUP(G1127,'[1]CONFIG.'!$B:$C,2,0)</f>
        <v>ARISTON</v>
      </c>
      <c r="P1127" t="str">
        <f>VLOOKUP(O1127,'[1]CONFIG.'!$C:$D,2,0)</f>
        <v>74 99384078</v>
      </c>
    </row>
    <row r="1128" spans="1:16" x14ac:dyDescent="0.3">
      <c r="A1128" t="s">
        <v>8030</v>
      </c>
      <c r="B1128" t="s">
        <v>8031</v>
      </c>
      <c r="C1128" t="s">
        <v>8032</v>
      </c>
      <c r="D1128" t="s">
        <v>488</v>
      </c>
      <c r="E1128" t="s">
        <v>8033</v>
      </c>
      <c r="F1128" t="s">
        <v>137</v>
      </c>
      <c r="G1128">
        <v>202</v>
      </c>
      <c r="H1128">
        <v>500</v>
      </c>
      <c r="I1128" s="5" t="s">
        <v>8034</v>
      </c>
      <c r="J1128" s="5" t="s">
        <v>8035</v>
      </c>
      <c r="K1128" s="5" t="str">
        <f t="shared" si="34"/>
        <v>https://www.google.com/maps?q=-12.246002, -41.613213</v>
      </c>
      <c r="L1128" s="5" t="str">
        <f t="shared" si="35"/>
        <v>Abrir no Maps</v>
      </c>
      <c r="M1128" t="s">
        <v>8036</v>
      </c>
      <c r="N1128" s="5"/>
      <c r="O1128" t="str">
        <f>VLOOKUP(G1128,'[1]CONFIG.'!$B:$C,2,0)</f>
        <v>ARISTON</v>
      </c>
      <c r="P1128" t="str">
        <f>VLOOKUP(O1128,'[1]CONFIG.'!$C:$D,2,0)</f>
        <v>74 99384078</v>
      </c>
    </row>
    <row r="1129" spans="1:16" x14ac:dyDescent="0.3">
      <c r="A1129" t="s">
        <v>8037</v>
      </c>
      <c r="B1129" t="s">
        <v>8038</v>
      </c>
      <c r="C1129" t="s">
        <v>8039</v>
      </c>
      <c r="D1129" t="s">
        <v>488</v>
      </c>
      <c r="E1129" t="s">
        <v>8040</v>
      </c>
      <c r="F1129" t="s">
        <v>1912</v>
      </c>
      <c r="G1129">
        <v>202</v>
      </c>
      <c r="H1129">
        <v>500</v>
      </c>
      <c r="I1129" s="5" t="s">
        <v>8041</v>
      </c>
      <c r="J1129" s="5" t="s">
        <v>8042</v>
      </c>
      <c r="K1129" s="5" t="str">
        <f t="shared" si="34"/>
        <v>https://www.google.com/maps?q=-12.278147, -41.513081</v>
      </c>
      <c r="L1129" s="5" t="str">
        <f t="shared" si="35"/>
        <v>Abrir no Maps</v>
      </c>
      <c r="M1129" t="s">
        <v>8043</v>
      </c>
      <c r="N1129" s="5"/>
      <c r="O1129" t="str">
        <f>VLOOKUP(G1129,'[1]CONFIG.'!$B:$C,2,0)</f>
        <v>ARISTON</v>
      </c>
      <c r="P1129" t="str">
        <f>VLOOKUP(O1129,'[1]CONFIG.'!$C:$D,2,0)</f>
        <v>74 99384078</v>
      </c>
    </row>
    <row r="1130" spans="1:16" x14ac:dyDescent="0.3">
      <c r="A1130" t="s">
        <v>8044</v>
      </c>
      <c r="B1130" t="s">
        <v>8045</v>
      </c>
      <c r="C1130" t="s">
        <v>8046</v>
      </c>
      <c r="D1130" t="s">
        <v>8047</v>
      </c>
      <c r="E1130" t="s">
        <v>8048</v>
      </c>
      <c r="F1130" t="s">
        <v>137</v>
      </c>
      <c r="G1130">
        <v>214</v>
      </c>
      <c r="H1130">
        <v>200</v>
      </c>
      <c r="I1130" s="5" t="s">
        <v>8049</v>
      </c>
      <c r="J1130" s="5" t="s">
        <v>8050</v>
      </c>
      <c r="K1130" s="5" t="str">
        <f t="shared" si="34"/>
        <v>https://www.google.com/maps?q=-11.011625, -42.398420</v>
      </c>
      <c r="L1130" s="5" t="str">
        <f t="shared" si="35"/>
        <v>Abrir no Maps</v>
      </c>
      <c r="M1130" t="s">
        <v>8051</v>
      </c>
      <c r="N1130" s="5"/>
      <c r="O1130" t="str">
        <f>VLOOKUP(G1130,'[1]CONFIG.'!$B:$C,2,0)</f>
        <v>GEOVANA</v>
      </c>
      <c r="P1130" t="str">
        <f>VLOOKUP(O1130,'[1]CONFIG.'!$C:$D,2,0)</f>
        <v>74 99523491</v>
      </c>
    </row>
    <row r="1131" spans="1:16" x14ac:dyDescent="0.3">
      <c r="A1131" t="s">
        <v>8052</v>
      </c>
      <c r="B1131" t="s">
        <v>8053</v>
      </c>
      <c r="C1131" t="s">
        <v>8054</v>
      </c>
      <c r="D1131" t="s">
        <v>8047</v>
      </c>
      <c r="E1131" t="s">
        <v>8055</v>
      </c>
      <c r="F1131" t="s">
        <v>137</v>
      </c>
      <c r="G1131">
        <v>214</v>
      </c>
      <c r="H1131">
        <v>200</v>
      </c>
      <c r="I1131" s="5" t="s">
        <v>8056</v>
      </c>
      <c r="J1131" s="5" t="s">
        <v>8057</v>
      </c>
      <c r="K1131" s="5" t="str">
        <f t="shared" si="34"/>
        <v>https://www.google.com/maps?q=-11.012002, -42.398254</v>
      </c>
      <c r="L1131" s="5" t="str">
        <f t="shared" si="35"/>
        <v>Abrir no Maps</v>
      </c>
      <c r="M1131" t="s">
        <v>8058</v>
      </c>
      <c r="N1131" s="5"/>
      <c r="O1131" t="str">
        <f>VLOOKUP(G1131,'[1]CONFIG.'!$B:$C,2,0)</f>
        <v>GEOVANA</v>
      </c>
      <c r="P1131" t="str">
        <f>VLOOKUP(O1131,'[1]CONFIG.'!$C:$D,2,0)</f>
        <v>74 99523491</v>
      </c>
    </row>
    <row r="1132" spans="1:16" x14ac:dyDescent="0.3">
      <c r="A1132" t="s">
        <v>8059</v>
      </c>
      <c r="B1132" t="s">
        <v>8060</v>
      </c>
      <c r="C1132" t="s">
        <v>8061</v>
      </c>
      <c r="D1132" t="s">
        <v>8047</v>
      </c>
      <c r="E1132" t="s">
        <v>8062</v>
      </c>
      <c r="F1132" t="s">
        <v>137</v>
      </c>
      <c r="G1132">
        <v>214</v>
      </c>
      <c r="H1132">
        <v>200</v>
      </c>
      <c r="I1132" s="5" t="s">
        <v>8063</v>
      </c>
      <c r="J1132" s="5" t="s">
        <v>8064</v>
      </c>
      <c r="K1132" s="5" t="str">
        <f t="shared" si="34"/>
        <v>https://www.google.com/maps?q=-10.946045, -42.426296</v>
      </c>
      <c r="L1132" s="5" t="str">
        <f t="shared" si="35"/>
        <v>Abrir no Maps</v>
      </c>
      <c r="M1132" t="s">
        <v>8065</v>
      </c>
      <c r="N1132" s="5"/>
      <c r="O1132" t="str">
        <f>VLOOKUP(G1132,'[1]CONFIG.'!$B:$C,2,0)</f>
        <v>GEOVANA</v>
      </c>
      <c r="P1132" t="str">
        <f>VLOOKUP(O1132,'[1]CONFIG.'!$C:$D,2,0)</f>
        <v>74 99523491</v>
      </c>
    </row>
    <row r="1133" spans="1:16" x14ac:dyDescent="0.3">
      <c r="A1133" t="s">
        <v>8066</v>
      </c>
      <c r="B1133" t="s">
        <v>8067</v>
      </c>
      <c r="C1133" t="s">
        <v>8068</v>
      </c>
      <c r="D1133" t="s">
        <v>8047</v>
      </c>
      <c r="E1133" t="s">
        <v>8069</v>
      </c>
      <c r="F1133" t="s">
        <v>137</v>
      </c>
      <c r="G1133">
        <v>214</v>
      </c>
      <c r="H1133">
        <v>200</v>
      </c>
      <c r="I1133" s="5" t="s">
        <v>8070</v>
      </c>
      <c r="J1133" s="5" t="s">
        <v>8071</v>
      </c>
      <c r="K1133" s="5" t="str">
        <f t="shared" si="34"/>
        <v>https://www.google.com/maps?q=-11.011416, -42.398323</v>
      </c>
      <c r="L1133" s="5" t="str">
        <f t="shared" si="35"/>
        <v>Abrir no Maps</v>
      </c>
      <c r="M1133" t="s">
        <v>8072</v>
      </c>
      <c r="N1133" s="5"/>
      <c r="O1133" t="str">
        <f>VLOOKUP(G1133,'[1]CONFIG.'!$B:$C,2,0)</f>
        <v>GEOVANA</v>
      </c>
      <c r="P1133" t="str">
        <f>VLOOKUP(O1133,'[1]CONFIG.'!$C:$D,2,0)</f>
        <v>74 99523491</v>
      </c>
    </row>
    <row r="1134" spans="1:16" x14ac:dyDescent="0.3">
      <c r="A1134" t="s">
        <v>8073</v>
      </c>
      <c r="B1134" t="s">
        <v>8074</v>
      </c>
      <c r="C1134" t="s">
        <v>8075</v>
      </c>
      <c r="D1134" t="s">
        <v>8047</v>
      </c>
      <c r="E1134" t="s">
        <v>8076</v>
      </c>
      <c r="F1134" t="s">
        <v>137</v>
      </c>
      <c r="G1134">
        <v>214</v>
      </c>
      <c r="H1134">
        <v>200</v>
      </c>
      <c r="I1134" s="5" t="s">
        <v>8077</v>
      </c>
      <c r="J1134" s="5" t="s">
        <v>8078</v>
      </c>
      <c r="K1134" s="5" t="str">
        <f t="shared" si="34"/>
        <v>https://www.google.com/maps?q=-11.010616, -42.397396</v>
      </c>
      <c r="L1134" s="5" t="str">
        <f t="shared" si="35"/>
        <v>Abrir no Maps</v>
      </c>
      <c r="M1134" t="s">
        <v>8079</v>
      </c>
      <c r="N1134" s="5"/>
      <c r="O1134" t="str">
        <f>VLOOKUP(G1134,'[1]CONFIG.'!$B:$C,2,0)</f>
        <v>GEOVANA</v>
      </c>
      <c r="P1134" t="str">
        <f>VLOOKUP(O1134,'[1]CONFIG.'!$C:$D,2,0)</f>
        <v>74 99523491</v>
      </c>
    </row>
    <row r="1135" spans="1:16" x14ac:dyDescent="0.3">
      <c r="A1135" t="s">
        <v>8080</v>
      </c>
      <c r="B1135" t="s">
        <v>8081</v>
      </c>
      <c r="C1135" t="s">
        <v>8082</v>
      </c>
      <c r="D1135" t="s">
        <v>8047</v>
      </c>
      <c r="E1135" t="s">
        <v>8083</v>
      </c>
      <c r="F1135" t="s">
        <v>8084</v>
      </c>
      <c r="G1135">
        <v>214</v>
      </c>
      <c r="H1135">
        <v>200</v>
      </c>
      <c r="I1135" s="5" t="s">
        <v>8085</v>
      </c>
      <c r="J1135" s="5" t="s">
        <v>8086</v>
      </c>
      <c r="K1135" s="5" t="str">
        <f t="shared" si="34"/>
        <v>https://www.google.com/maps?q=-10.978577, -42.358170</v>
      </c>
      <c r="L1135" s="5" t="str">
        <f t="shared" si="35"/>
        <v>Abrir no Maps</v>
      </c>
      <c r="M1135" t="s">
        <v>8087</v>
      </c>
      <c r="N1135" s="5"/>
      <c r="O1135" t="str">
        <f>VLOOKUP(G1135,'[1]CONFIG.'!$B:$C,2,0)</f>
        <v>GEOVANA</v>
      </c>
      <c r="P1135" t="str">
        <f>VLOOKUP(O1135,'[1]CONFIG.'!$C:$D,2,0)</f>
        <v>74 99523491</v>
      </c>
    </row>
    <row r="1136" spans="1:16" x14ac:dyDescent="0.3">
      <c r="A1136" t="s">
        <v>8088</v>
      </c>
      <c r="B1136" t="s">
        <v>8089</v>
      </c>
      <c r="C1136" t="s">
        <v>8090</v>
      </c>
      <c r="D1136" t="s">
        <v>8047</v>
      </c>
      <c r="E1136" t="s">
        <v>8091</v>
      </c>
      <c r="F1136" t="s">
        <v>137</v>
      </c>
      <c r="G1136">
        <v>214</v>
      </c>
      <c r="H1136">
        <v>200</v>
      </c>
      <c r="I1136" s="5" t="s">
        <v>8092</v>
      </c>
      <c r="J1136" s="5" t="s">
        <v>8093</v>
      </c>
      <c r="K1136" s="5" t="str">
        <f t="shared" si="34"/>
        <v>https://www.google.com/maps?q=-11.012089, -42.398285</v>
      </c>
      <c r="L1136" s="5" t="str">
        <f t="shared" si="35"/>
        <v>Abrir no Maps</v>
      </c>
      <c r="M1136" t="s">
        <v>8094</v>
      </c>
      <c r="N1136" s="5"/>
      <c r="O1136" t="str">
        <f>VLOOKUP(G1136,'[1]CONFIG.'!$B:$C,2,0)</f>
        <v>GEOVANA</v>
      </c>
      <c r="P1136" t="str">
        <f>VLOOKUP(O1136,'[1]CONFIG.'!$C:$D,2,0)</f>
        <v>74 99523491</v>
      </c>
    </row>
    <row r="1137" spans="1:16" x14ac:dyDescent="0.3">
      <c r="A1137" t="s">
        <v>8095</v>
      </c>
      <c r="B1137" t="s">
        <v>8096</v>
      </c>
      <c r="C1137" t="s">
        <v>8097</v>
      </c>
      <c r="D1137" t="s">
        <v>8047</v>
      </c>
      <c r="E1137" t="s">
        <v>8098</v>
      </c>
      <c r="F1137" t="s">
        <v>8084</v>
      </c>
      <c r="G1137">
        <v>214</v>
      </c>
      <c r="H1137">
        <v>200</v>
      </c>
      <c r="I1137" s="5" t="s">
        <v>8099</v>
      </c>
      <c r="J1137" s="5" t="s">
        <v>8100</v>
      </c>
      <c r="K1137" s="5" t="str">
        <f t="shared" si="34"/>
        <v>https://www.google.com/maps?q=-10.978046, -42.357600</v>
      </c>
      <c r="L1137" s="5" t="str">
        <f t="shared" si="35"/>
        <v>Abrir no Maps</v>
      </c>
      <c r="M1137" t="s">
        <v>8101</v>
      </c>
      <c r="N1137" s="5"/>
      <c r="O1137" t="str">
        <f>VLOOKUP(G1137,'[1]CONFIG.'!$B:$C,2,0)</f>
        <v>GEOVANA</v>
      </c>
      <c r="P1137" t="str">
        <f>VLOOKUP(O1137,'[1]CONFIG.'!$C:$D,2,0)</f>
        <v>74 99523491</v>
      </c>
    </row>
    <row r="1138" spans="1:16" x14ac:dyDescent="0.3">
      <c r="A1138" t="s">
        <v>8102</v>
      </c>
      <c r="B1138" t="s">
        <v>8103</v>
      </c>
      <c r="C1138" t="s">
        <v>8104</v>
      </c>
      <c r="D1138" t="s">
        <v>8047</v>
      </c>
      <c r="E1138" t="s">
        <v>8105</v>
      </c>
      <c r="F1138" t="s">
        <v>8084</v>
      </c>
      <c r="G1138">
        <v>214</v>
      </c>
      <c r="H1138">
        <v>200</v>
      </c>
      <c r="I1138" s="5" t="s">
        <v>8106</v>
      </c>
      <c r="J1138" s="5" t="s">
        <v>8107</v>
      </c>
      <c r="K1138" s="5" t="str">
        <f t="shared" si="34"/>
        <v>https://www.google.com/maps?q=-11.010453, -42.396828</v>
      </c>
      <c r="L1138" s="5" t="str">
        <f t="shared" si="35"/>
        <v>Abrir no Maps</v>
      </c>
      <c r="M1138" t="s">
        <v>8108</v>
      </c>
      <c r="N1138" s="5"/>
      <c r="O1138" t="str">
        <f>VLOOKUP(G1138,'[1]CONFIG.'!$B:$C,2,0)</f>
        <v>GEOVANA</v>
      </c>
      <c r="P1138" t="str">
        <f>VLOOKUP(O1138,'[1]CONFIG.'!$C:$D,2,0)</f>
        <v>74 99523491</v>
      </c>
    </row>
    <row r="1139" spans="1:16" x14ac:dyDescent="0.3">
      <c r="A1139" t="s">
        <v>8109</v>
      </c>
      <c r="B1139" t="s">
        <v>8110</v>
      </c>
      <c r="C1139" t="s">
        <v>8111</v>
      </c>
      <c r="D1139" t="s">
        <v>8047</v>
      </c>
      <c r="E1139" t="s">
        <v>8112</v>
      </c>
      <c r="F1139" t="s">
        <v>8113</v>
      </c>
      <c r="G1139">
        <v>214</v>
      </c>
      <c r="H1139">
        <v>200</v>
      </c>
      <c r="I1139" s="5" t="s">
        <v>8114</v>
      </c>
      <c r="J1139" s="5" t="s">
        <v>8115</v>
      </c>
      <c r="K1139" s="5" t="str">
        <f t="shared" si="34"/>
        <v>https://www.google.com/maps?q=-10.985920, -42.340054</v>
      </c>
      <c r="L1139" s="5" t="str">
        <f t="shared" si="35"/>
        <v>Abrir no Maps</v>
      </c>
      <c r="M1139" t="s">
        <v>8116</v>
      </c>
      <c r="N1139" s="5"/>
      <c r="O1139" t="str">
        <f>VLOOKUP(G1139,'[1]CONFIG.'!$B:$C,2,0)</f>
        <v>GEOVANA</v>
      </c>
      <c r="P1139" t="str">
        <f>VLOOKUP(O1139,'[1]CONFIG.'!$C:$D,2,0)</f>
        <v>74 99523491</v>
      </c>
    </row>
    <row r="1140" spans="1:16" x14ac:dyDescent="0.3">
      <c r="A1140" t="s">
        <v>8117</v>
      </c>
      <c r="B1140" t="s">
        <v>8118</v>
      </c>
      <c r="C1140" t="s">
        <v>8119</v>
      </c>
      <c r="D1140" t="s">
        <v>8047</v>
      </c>
      <c r="E1140" t="s">
        <v>8120</v>
      </c>
      <c r="F1140" t="s">
        <v>137</v>
      </c>
      <c r="G1140">
        <v>214</v>
      </c>
      <c r="H1140">
        <v>200</v>
      </c>
      <c r="I1140" s="5" t="s">
        <v>8121</v>
      </c>
      <c r="J1140" s="5" t="s">
        <v>8122</v>
      </c>
      <c r="K1140" s="5" t="str">
        <f t="shared" si="34"/>
        <v>https://www.google.com/maps?q=-11.010097, -42.396507</v>
      </c>
      <c r="L1140" s="5" t="str">
        <f t="shared" si="35"/>
        <v>Abrir no Maps</v>
      </c>
      <c r="M1140" t="s">
        <v>8123</v>
      </c>
      <c r="N1140" s="5"/>
      <c r="O1140" t="str">
        <f>VLOOKUP(G1140,'[1]CONFIG.'!$B:$C,2,0)</f>
        <v>GEOVANA</v>
      </c>
      <c r="P1140" t="str">
        <f>VLOOKUP(O1140,'[1]CONFIG.'!$C:$D,2,0)</f>
        <v>74 99523491</v>
      </c>
    </row>
    <row r="1141" spans="1:16" x14ac:dyDescent="0.3">
      <c r="A1141" t="s">
        <v>8124</v>
      </c>
      <c r="B1141" t="s">
        <v>8125</v>
      </c>
      <c r="C1141" t="s">
        <v>8126</v>
      </c>
      <c r="D1141" t="s">
        <v>8047</v>
      </c>
      <c r="E1141" t="s">
        <v>8127</v>
      </c>
      <c r="F1141" t="s">
        <v>8128</v>
      </c>
      <c r="G1141">
        <v>214</v>
      </c>
      <c r="H1141">
        <v>200</v>
      </c>
      <c r="I1141" s="5" t="s">
        <v>8129</v>
      </c>
      <c r="J1141" s="5" t="s">
        <v>8130</v>
      </c>
      <c r="K1141" s="5" t="str">
        <f t="shared" si="34"/>
        <v>https://www.google.com/maps?q=-10.946107, -42.426340</v>
      </c>
      <c r="L1141" s="5" t="str">
        <f t="shared" si="35"/>
        <v>Abrir no Maps</v>
      </c>
      <c r="M1141" t="s">
        <v>8131</v>
      </c>
      <c r="N1141" s="5"/>
      <c r="O1141" t="str">
        <f>VLOOKUP(G1141,'[1]CONFIG.'!$B:$C,2,0)</f>
        <v>GEOVANA</v>
      </c>
      <c r="P1141" t="str">
        <f>VLOOKUP(O1141,'[1]CONFIG.'!$C:$D,2,0)</f>
        <v>74 99523491</v>
      </c>
    </row>
    <row r="1142" spans="1:16" x14ac:dyDescent="0.3">
      <c r="A1142" t="s">
        <v>8132</v>
      </c>
      <c r="B1142" t="s">
        <v>8133</v>
      </c>
      <c r="C1142" t="s">
        <v>8134</v>
      </c>
      <c r="D1142" t="s">
        <v>8047</v>
      </c>
      <c r="E1142" t="s">
        <v>8135</v>
      </c>
      <c r="F1142" t="s">
        <v>137</v>
      </c>
      <c r="G1142">
        <v>214</v>
      </c>
      <c r="H1142">
        <v>200</v>
      </c>
      <c r="I1142" s="5" t="s">
        <v>8136</v>
      </c>
      <c r="J1142" s="5" t="s">
        <v>8137</v>
      </c>
      <c r="K1142" s="5" t="str">
        <f t="shared" si="34"/>
        <v>https://www.google.com/maps?q=-11.009664, -42.393307</v>
      </c>
      <c r="L1142" s="5" t="str">
        <f t="shared" si="35"/>
        <v>Abrir no Maps</v>
      </c>
      <c r="M1142" t="s">
        <v>8138</v>
      </c>
      <c r="N1142" s="5"/>
      <c r="O1142" t="str">
        <f>VLOOKUP(G1142,'[1]CONFIG.'!$B:$C,2,0)</f>
        <v>GEOVANA</v>
      </c>
      <c r="P1142" t="str">
        <f>VLOOKUP(O1142,'[1]CONFIG.'!$C:$D,2,0)</f>
        <v>74 99523491</v>
      </c>
    </row>
    <row r="1143" spans="1:16" x14ac:dyDescent="0.3">
      <c r="A1143" t="s">
        <v>8139</v>
      </c>
      <c r="B1143" t="s">
        <v>8140</v>
      </c>
      <c r="C1143" t="s">
        <v>8141</v>
      </c>
      <c r="D1143" t="s">
        <v>8047</v>
      </c>
      <c r="E1143" t="s">
        <v>8142</v>
      </c>
      <c r="F1143" t="s">
        <v>137</v>
      </c>
      <c r="G1143">
        <v>214</v>
      </c>
      <c r="H1143">
        <v>200</v>
      </c>
      <c r="I1143" s="5" t="s">
        <v>8143</v>
      </c>
      <c r="J1143" s="5" t="s">
        <v>8144</v>
      </c>
      <c r="K1143" s="5" t="str">
        <f t="shared" si="34"/>
        <v>https://www.google.com/maps?q=-11.013978, -42.398130</v>
      </c>
      <c r="L1143" s="5" t="str">
        <f t="shared" si="35"/>
        <v>Abrir no Maps</v>
      </c>
      <c r="M1143" t="s">
        <v>8145</v>
      </c>
      <c r="N1143" s="5"/>
      <c r="O1143" t="str">
        <f>VLOOKUP(G1143,'[1]CONFIG.'!$B:$C,2,0)</f>
        <v>GEOVANA</v>
      </c>
      <c r="P1143" t="str">
        <f>VLOOKUP(O1143,'[1]CONFIG.'!$C:$D,2,0)</f>
        <v>74 99523491</v>
      </c>
    </row>
    <row r="1144" spans="1:16" x14ac:dyDescent="0.3">
      <c r="A1144" t="s">
        <v>8146</v>
      </c>
      <c r="B1144" t="s">
        <v>8147</v>
      </c>
      <c r="C1144" t="s">
        <v>8148</v>
      </c>
      <c r="D1144" t="s">
        <v>8047</v>
      </c>
      <c r="E1144" t="s">
        <v>8149</v>
      </c>
      <c r="F1144" t="s">
        <v>6554</v>
      </c>
      <c r="G1144">
        <v>209</v>
      </c>
      <c r="H1144">
        <v>500</v>
      </c>
      <c r="I1144" s="5" t="s">
        <v>8150</v>
      </c>
      <c r="J1144" s="5" t="s">
        <v>8151</v>
      </c>
      <c r="K1144" s="5" t="str">
        <f t="shared" si="34"/>
        <v>https://www.google.com/maps?q=-11.030231, -42.179737</v>
      </c>
      <c r="L1144" s="5" t="str">
        <f t="shared" si="35"/>
        <v>Abrir no Maps</v>
      </c>
      <c r="M1144" t="s">
        <v>8152</v>
      </c>
      <c r="N1144" s="5"/>
      <c r="O1144" t="str">
        <f>VLOOKUP(G1144,'[1]CONFIG.'!$B:$C,2,0)</f>
        <v>IGOR</v>
      </c>
      <c r="P1144" t="str">
        <f>VLOOKUP(O1144,'[1]CONFIG.'!$C:$D,2,0)</f>
        <v>74 99590346</v>
      </c>
    </row>
    <row r="1145" spans="1:16" x14ac:dyDescent="0.3">
      <c r="A1145" t="s">
        <v>8153</v>
      </c>
      <c r="B1145" t="s">
        <v>8154</v>
      </c>
      <c r="C1145" t="s">
        <v>8155</v>
      </c>
      <c r="D1145" t="s">
        <v>8047</v>
      </c>
      <c r="E1145" t="s">
        <v>8156</v>
      </c>
      <c r="F1145" t="s">
        <v>137</v>
      </c>
      <c r="G1145">
        <v>214</v>
      </c>
      <c r="H1145">
        <v>200</v>
      </c>
      <c r="I1145" s="5" t="s">
        <v>8157</v>
      </c>
      <c r="J1145" s="5" t="s">
        <v>8158</v>
      </c>
      <c r="K1145" s="5" t="str">
        <f t="shared" si="34"/>
        <v>https://www.google.com/maps?q=-11.010878, -42.397443</v>
      </c>
      <c r="L1145" s="5" t="str">
        <f t="shared" si="35"/>
        <v>Abrir no Maps</v>
      </c>
      <c r="M1145">
        <v>0</v>
      </c>
      <c r="N1145" s="5"/>
      <c r="O1145" t="str">
        <f>VLOOKUP(G1145,'[1]CONFIG.'!$B:$C,2,0)</f>
        <v>GEOVANA</v>
      </c>
      <c r="P1145" t="str">
        <f>VLOOKUP(O1145,'[1]CONFIG.'!$C:$D,2,0)</f>
        <v>74 99523491</v>
      </c>
    </row>
    <row r="1146" spans="1:16" x14ac:dyDescent="0.3">
      <c r="A1146" t="s">
        <v>8159</v>
      </c>
      <c r="B1146" t="s">
        <v>8160</v>
      </c>
      <c r="C1146" t="s">
        <v>8161</v>
      </c>
      <c r="D1146" t="s">
        <v>8047</v>
      </c>
      <c r="E1146" t="s">
        <v>8162</v>
      </c>
      <c r="F1146" t="s">
        <v>8084</v>
      </c>
      <c r="G1146">
        <v>214</v>
      </c>
      <c r="H1146">
        <v>200</v>
      </c>
      <c r="I1146" s="5" t="s">
        <v>8163</v>
      </c>
      <c r="J1146" s="5" t="s">
        <v>8164</v>
      </c>
      <c r="K1146" s="5" t="str">
        <f t="shared" si="34"/>
        <v>https://www.google.com/maps?q=-10.978469, -42.357384</v>
      </c>
      <c r="L1146" s="5" t="str">
        <f t="shared" si="35"/>
        <v>Abrir no Maps</v>
      </c>
      <c r="M1146" t="s">
        <v>8165</v>
      </c>
      <c r="N1146" s="5"/>
      <c r="O1146" t="str">
        <f>VLOOKUP(G1146,'[1]CONFIG.'!$B:$C,2,0)</f>
        <v>GEOVANA</v>
      </c>
      <c r="P1146" t="str">
        <f>VLOOKUP(O1146,'[1]CONFIG.'!$C:$D,2,0)</f>
        <v>74 99523491</v>
      </c>
    </row>
    <row r="1147" spans="1:16" x14ac:dyDescent="0.3">
      <c r="A1147" t="s">
        <v>8166</v>
      </c>
      <c r="B1147" t="s">
        <v>8167</v>
      </c>
      <c r="C1147" t="s">
        <v>8168</v>
      </c>
      <c r="D1147" t="s">
        <v>8047</v>
      </c>
      <c r="E1147" t="s">
        <v>8169</v>
      </c>
      <c r="F1147" t="s">
        <v>137</v>
      </c>
      <c r="G1147">
        <v>214</v>
      </c>
      <c r="H1147">
        <v>200</v>
      </c>
      <c r="I1147" s="5" t="s">
        <v>8170</v>
      </c>
      <c r="J1147" s="5" t="s">
        <v>8171</v>
      </c>
      <c r="K1147" s="5" t="str">
        <f t="shared" si="34"/>
        <v>https://www.google.com/maps?q=-11.012633, -42.398180</v>
      </c>
      <c r="L1147" s="5" t="str">
        <f t="shared" si="35"/>
        <v>Abrir no Maps</v>
      </c>
      <c r="M1147" t="s">
        <v>8172</v>
      </c>
      <c r="N1147" s="5"/>
      <c r="O1147" t="str">
        <f>VLOOKUP(G1147,'[1]CONFIG.'!$B:$C,2,0)</f>
        <v>GEOVANA</v>
      </c>
      <c r="P1147" t="str">
        <f>VLOOKUP(O1147,'[1]CONFIG.'!$C:$D,2,0)</f>
        <v>74 99523491</v>
      </c>
    </row>
    <row r="1148" spans="1:16" x14ac:dyDescent="0.3">
      <c r="A1148" t="s">
        <v>8173</v>
      </c>
      <c r="B1148" t="s">
        <v>8174</v>
      </c>
      <c r="C1148" t="s">
        <v>8175</v>
      </c>
      <c r="D1148" t="s">
        <v>8047</v>
      </c>
      <c r="E1148" t="s">
        <v>8176</v>
      </c>
      <c r="F1148" t="s">
        <v>8084</v>
      </c>
      <c r="G1148">
        <v>214</v>
      </c>
      <c r="H1148">
        <v>200</v>
      </c>
      <c r="I1148" s="5" t="s">
        <v>8177</v>
      </c>
      <c r="J1148" s="5" t="s">
        <v>8178</v>
      </c>
      <c r="K1148" s="5" t="str">
        <f t="shared" si="34"/>
        <v>https://www.google.com/maps?q=-10.977181, -42.356319</v>
      </c>
      <c r="L1148" s="5" t="str">
        <f t="shared" si="35"/>
        <v>Abrir no Maps</v>
      </c>
      <c r="M1148" t="s">
        <v>8179</v>
      </c>
      <c r="N1148" s="5"/>
      <c r="O1148" t="str">
        <f>VLOOKUP(G1148,'[1]CONFIG.'!$B:$C,2,0)</f>
        <v>GEOVANA</v>
      </c>
      <c r="P1148" t="str">
        <f>VLOOKUP(O1148,'[1]CONFIG.'!$C:$D,2,0)</f>
        <v>74 99523491</v>
      </c>
    </row>
    <row r="1149" spans="1:16" x14ac:dyDescent="0.3">
      <c r="A1149" t="s">
        <v>8180</v>
      </c>
      <c r="B1149" t="s">
        <v>8181</v>
      </c>
      <c r="C1149" t="s">
        <v>8182</v>
      </c>
      <c r="D1149" t="s">
        <v>8047</v>
      </c>
      <c r="E1149" t="s">
        <v>8183</v>
      </c>
      <c r="F1149" t="s">
        <v>6554</v>
      </c>
      <c r="G1149">
        <v>209</v>
      </c>
      <c r="H1149">
        <v>500</v>
      </c>
      <c r="I1149" s="5" t="s">
        <v>8184</v>
      </c>
      <c r="J1149" s="5" t="s">
        <v>8185</v>
      </c>
      <c r="K1149" s="5" t="str">
        <f t="shared" si="34"/>
        <v>https://www.google.com/maps?q=-11.029100, -42.181183</v>
      </c>
      <c r="L1149" s="5" t="str">
        <f t="shared" si="35"/>
        <v>Abrir no Maps</v>
      </c>
      <c r="M1149" t="s">
        <v>8186</v>
      </c>
      <c r="N1149" s="5"/>
      <c r="O1149" t="str">
        <f>VLOOKUP(G1149,'[1]CONFIG.'!$B:$C,2,0)</f>
        <v>IGOR</v>
      </c>
      <c r="P1149" t="str">
        <f>VLOOKUP(O1149,'[1]CONFIG.'!$C:$D,2,0)</f>
        <v>74 99590346</v>
      </c>
    </row>
    <row r="1150" spans="1:16" x14ac:dyDescent="0.3">
      <c r="A1150" t="s">
        <v>8187</v>
      </c>
      <c r="B1150" t="s">
        <v>8188</v>
      </c>
      <c r="C1150" t="s">
        <v>8189</v>
      </c>
      <c r="D1150" t="s">
        <v>8047</v>
      </c>
      <c r="E1150" t="s">
        <v>8190</v>
      </c>
      <c r="F1150" t="s">
        <v>8113</v>
      </c>
      <c r="G1150">
        <v>214</v>
      </c>
      <c r="H1150">
        <v>200</v>
      </c>
      <c r="I1150" s="5" t="s">
        <v>8191</v>
      </c>
      <c r="J1150" s="5" t="s">
        <v>8192</v>
      </c>
      <c r="K1150" s="5" t="str">
        <f t="shared" si="34"/>
        <v>https://www.google.com/maps?q=-10.985509, -42.340190</v>
      </c>
      <c r="L1150" s="5" t="str">
        <f t="shared" si="35"/>
        <v>Abrir no Maps</v>
      </c>
      <c r="M1150" t="s">
        <v>8193</v>
      </c>
      <c r="N1150" s="5"/>
      <c r="O1150" t="str">
        <f>VLOOKUP(G1150,'[1]CONFIG.'!$B:$C,2,0)</f>
        <v>GEOVANA</v>
      </c>
      <c r="P1150" t="str">
        <f>VLOOKUP(O1150,'[1]CONFIG.'!$C:$D,2,0)</f>
        <v>74 99523491</v>
      </c>
    </row>
    <row r="1151" spans="1:16" x14ac:dyDescent="0.3">
      <c r="A1151" t="s">
        <v>8194</v>
      </c>
      <c r="B1151" t="s">
        <v>8195</v>
      </c>
      <c r="C1151" t="s">
        <v>8196</v>
      </c>
      <c r="D1151" t="s">
        <v>8047</v>
      </c>
      <c r="E1151" t="s">
        <v>8197</v>
      </c>
      <c r="F1151" t="s">
        <v>8198</v>
      </c>
      <c r="G1151">
        <v>214</v>
      </c>
      <c r="H1151">
        <v>200</v>
      </c>
      <c r="I1151" s="5" t="s">
        <v>8199</v>
      </c>
      <c r="J1151" s="5" t="s">
        <v>8200</v>
      </c>
      <c r="K1151" s="5" t="str">
        <f t="shared" si="34"/>
        <v>https://www.google.com/maps?q=-10.907533, -42.514214</v>
      </c>
      <c r="L1151" s="5" t="str">
        <f t="shared" si="35"/>
        <v>Abrir no Maps</v>
      </c>
      <c r="M1151" t="s">
        <v>8201</v>
      </c>
      <c r="N1151" s="5"/>
      <c r="O1151" t="str">
        <f>VLOOKUP(G1151,'[1]CONFIG.'!$B:$C,2,0)</f>
        <v>GEOVANA</v>
      </c>
      <c r="P1151" t="str">
        <f>VLOOKUP(O1151,'[1]CONFIG.'!$C:$D,2,0)</f>
        <v>74 99523491</v>
      </c>
    </row>
    <row r="1152" spans="1:16" x14ac:dyDescent="0.3">
      <c r="A1152" t="s">
        <v>8202</v>
      </c>
      <c r="B1152" t="s">
        <v>8203</v>
      </c>
      <c r="C1152" t="s">
        <v>8204</v>
      </c>
      <c r="D1152" t="s">
        <v>8047</v>
      </c>
      <c r="E1152" t="s">
        <v>8205</v>
      </c>
      <c r="F1152" t="s">
        <v>137</v>
      </c>
      <c r="G1152">
        <v>214</v>
      </c>
      <c r="H1152">
        <v>200</v>
      </c>
      <c r="I1152" s="5" t="s">
        <v>8206</v>
      </c>
      <c r="J1152" s="5" t="s">
        <v>8207</v>
      </c>
      <c r="K1152" s="5" t="str">
        <f t="shared" si="34"/>
        <v>https://www.google.com/maps?q=-11.010823, -42.396850</v>
      </c>
      <c r="L1152" s="5" t="str">
        <f t="shared" si="35"/>
        <v>Abrir no Maps</v>
      </c>
      <c r="M1152">
        <v>0</v>
      </c>
      <c r="N1152" s="5"/>
      <c r="O1152" t="str">
        <f>VLOOKUP(G1152,'[1]CONFIG.'!$B:$C,2,0)</f>
        <v>GEOVANA</v>
      </c>
      <c r="P1152" t="str">
        <f>VLOOKUP(O1152,'[1]CONFIG.'!$C:$D,2,0)</f>
        <v>74 99523491</v>
      </c>
    </row>
    <row r="1153" spans="1:16" x14ac:dyDescent="0.3">
      <c r="A1153" t="s">
        <v>8208</v>
      </c>
      <c r="B1153" t="s">
        <v>8209</v>
      </c>
      <c r="C1153" t="s">
        <v>8210</v>
      </c>
      <c r="D1153" t="s">
        <v>8047</v>
      </c>
      <c r="E1153" t="s">
        <v>8211</v>
      </c>
      <c r="F1153" t="s">
        <v>137</v>
      </c>
      <c r="G1153">
        <v>214</v>
      </c>
      <c r="H1153">
        <v>200</v>
      </c>
      <c r="I1153" s="5" t="s">
        <v>8212</v>
      </c>
      <c r="J1153" s="5" t="s">
        <v>8213</v>
      </c>
      <c r="K1153" s="5" t="str">
        <f t="shared" si="34"/>
        <v>https://www.google.com/maps?q=-11.009761, -42.393326</v>
      </c>
      <c r="L1153" s="5" t="str">
        <f t="shared" si="35"/>
        <v>Abrir no Maps</v>
      </c>
      <c r="M1153" t="s">
        <v>8214</v>
      </c>
      <c r="N1153" s="5"/>
      <c r="O1153" t="str">
        <f>VLOOKUP(G1153,'[1]CONFIG.'!$B:$C,2,0)</f>
        <v>GEOVANA</v>
      </c>
      <c r="P1153" t="str">
        <f>VLOOKUP(O1153,'[1]CONFIG.'!$C:$D,2,0)</f>
        <v>74 99523491</v>
      </c>
    </row>
    <row r="1154" spans="1:16" x14ac:dyDescent="0.3">
      <c r="A1154" t="s">
        <v>8215</v>
      </c>
      <c r="B1154" t="s">
        <v>8216</v>
      </c>
      <c r="C1154" t="s">
        <v>8217</v>
      </c>
      <c r="D1154" t="s">
        <v>8047</v>
      </c>
      <c r="E1154" t="s">
        <v>8218</v>
      </c>
      <c r="F1154" t="s">
        <v>8219</v>
      </c>
      <c r="G1154">
        <v>214</v>
      </c>
      <c r="H1154">
        <v>200</v>
      </c>
      <c r="I1154" s="5" t="s">
        <v>8220</v>
      </c>
      <c r="J1154" s="5" t="s">
        <v>8221</v>
      </c>
      <c r="K1154" s="5" t="str">
        <f t="shared" si="34"/>
        <v>https://www.google.com/maps?q=-10.947218, -42.426390</v>
      </c>
      <c r="L1154" s="5" t="str">
        <f t="shared" si="35"/>
        <v>Abrir no Maps</v>
      </c>
      <c r="M1154" t="s">
        <v>8222</v>
      </c>
      <c r="N1154" s="5"/>
      <c r="O1154" t="str">
        <f>VLOOKUP(G1154,'[1]CONFIG.'!$B:$C,2,0)</f>
        <v>GEOVANA</v>
      </c>
      <c r="P1154" t="str">
        <f>VLOOKUP(O1154,'[1]CONFIG.'!$C:$D,2,0)</f>
        <v>74 99523491</v>
      </c>
    </row>
    <row r="1155" spans="1:16" x14ac:dyDescent="0.3">
      <c r="A1155" t="s">
        <v>8223</v>
      </c>
      <c r="B1155" t="s">
        <v>8224</v>
      </c>
      <c r="C1155" t="s">
        <v>8225</v>
      </c>
      <c r="D1155" t="s">
        <v>8047</v>
      </c>
      <c r="E1155" t="s">
        <v>8226</v>
      </c>
      <c r="F1155" t="s">
        <v>8084</v>
      </c>
      <c r="G1155">
        <v>214</v>
      </c>
      <c r="H1155">
        <v>200</v>
      </c>
      <c r="I1155" s="5" t="s">
        <v>8227</v>
      </c>
      <c r="J1155" s="5" t="s">
        <v>8228</v>
      </c>
      <c r="K1155" s="5" t="str">
        <f t="shared" si="34"/>
        <v>https://www.google.com/maps?q=-10.979222, -42.355637</v>
      </c>
      <c r="L1155" s="5" t="str">
        <f t="shared" si="35"/>
        <v>Abrir no Maps</v>
      </c>
      <c r="M1155" t="s">
        <v>8229</v>
      </c>
      <c r="N1155" s="5"/>
      <c r="O1155" t="str">
        <f>VLOOKUP(G1155,'[1]CONFIG.'!$B:$C,2,0)</f>
        <v>GEOVANA</v>
      </c>
      <c r="P1155" t="str">
        <f>VLOOKUP(O1155,'[1]CONFIG.'!$C:$D,2,0)</f>
        <v>74 99523491</v>
      </c>
    </row>
    <row r="1156" spans="1:16" x14ac:dyDescent="0.3">
      <c r="A1156" t="s">
        <v>8230</v>
      </c>
      <c r="B1156" t="s">
        <v>8231</v>
      </c>
      <c r="C1156" t="s">
        <v>8232</v>
      </c>
      <c r="D1156" t="s">
        <v>8047</v>
      </c>
      <c r="E1156" t="s">
        <v>8233</v>
      </c>
      <c r="F1156" t="s">
        <v>8113</v>
      </c>
      <c r="G1156">
        <v>214</v>
      </c>
      <c r="H1156">
        <v>200</v>
      </c>
      <c r="I1156" s="5" t="s">
        <v>8234</v>
      </c>
      <c r="J1156" s="5" t="s">
        <v>8235</v>
      </c>
      <c r="K1156" s="5" t="str">
        <f t="shared" ref="K1156:K1219" si="36">"https://www.google.com/maps?q="&amp;""&amp;LEFT(I1156,3)&amp;"."&amp;RIGHT(I1156,6)&amp;", "&amp;LEFT(J1156,3)&amp;"."&amp;RIGHT(J1156,6)</f>
        <v>https://www.google.com/maps?q=-10.979150, -42.355778</v>
      </c>
      <c r="L1156" s="5" t="str">
        <f t="shared" ref="L1156:L1219" si="37">HYPERLINK(K1156,"Abrir no Maps")</f>
        <v>Abrir no Maps</v>
      </c>
      <c r="M1156" t="s">
        <v>8236</v>
      </c>
      <c r="N1156" s="5"/>
      <c r="O1156" t="str">
        <f>VLOOKUP(G1156,'[1]CONFIG.'!$B:$C,2,0)</f>
        <v>GEOVANA</v>
      </c>
      <c r="P1156" t="str">
        <f>VLOOKUP(O1156,'[1]CONFIG.'!$C:$D,2,0)</f>
        <v>74 99523491</v>
      </c>
    </row>
    <row r="1157" spans="1:16" x14ac:dyDescent="0.3">
      <c r="A1157" t="s">
        <v>8237</v>
      </c>
      <c r="B1157" t="s">
        <v>8238</v>
      </c>
      <c r="C1157" t="s">
        <v>8239</v>
      </c>
      <c r="D1157" t="s">
        <v>8047</v>
      </c>
      <c r="E1157" t="s">
        <v>8240</v>
      </c>
      <c r="F1157" t="s">
        <v>137</v>
      </c>
      <c r="G1157">
        <v>214</v>
      </c>
      <c r="H1157">
        <v>200</v>
      </c>
      <c r="I1157" s="5" t="s">
        <v>8241</v>
      </c>
      <c r="J1157" s="5" t="s">
        <v>8242</v>
      </c>
      <c r="K1157" s="5" t="str">
        <f t="shared" si="36"/>
        <v>https://www.google.com/maps?q=-11.011280, -42.397532</v>
      </c>
      <c r="L1157" s="5" t="str">
        <f t="shared" si="37"/>
        <v>Abrir no Maps</v>
      </c>
      <c r="M1157" t="s">
        <v>8243</v>
      </c>
      <c r="N1157" s="5"/>
      <c r="O1157" t="str">
        <f>VLOOKUP(G1157,'[1]CONFIG.'!$B:$C,2,0)</f>
        <v>GEOVANA</v>
      </c>
      <c r="P1157" t="str">
        <f>VLOOKUP(O1157,'[1]CONFIG.'!$C:$D,2,0)</f>
        <v>74 99523491</v>
      </c>
    </row>
    <row r="1158" spans="1:16" x14ac:dyDescent="0.3">
      <c r="A1158" t="s">
        <v>8244</v>
      </c>
      <c r="B1158" t="s">
        <v>8245</v>
      </c>
      <c r="C1158" t="s">
        <v>8246</v>
      </c>
      <c r="D1158" t="s">
        <v>8047</v>
      </c>
      <c r="E1158" t="s">
        <v>8247</v>
      </c>
      <c r="F1158" t="s">
        <v>8113</v>
      </c>
      <c r="G1158">
        <v>214</v>
      </c>
      <c r="H1158">
        <v>200</v>
      </c>
      <c r="I1158" s="5" t="s">
        <v>8248</v>
      </c>
      <c r="J1158" s="5" t="s">
        <v>8249</v>
      </c>
      <c r="K1158" s="5" t="str">
        <f t="shared" si="36"/>
        <v>https://www.google.com/maps?q=-10.985535, -42.340103</v>
      </c>
      <c r="L1158" s="5" t="str">
        <f t="shared" si="37"/>
        <v>Abrir no Maps</v>
      </c>
      <c r="M1158" t="s">
        <v>8250</v>
      </c>
      <c r="N1158" s="5"/>
      <c r="O1158" t="str">
        <f>VLOOKUP(G1158,'[1]CONFIG.'!$B:$C,2,0)</f>
        <v>GEOVANA</v>
      </c>
      <c r="P1158" t="str">
        <f>VLOOKUP(O1158,'[1]CONFIG.'!$C:$D,2,0)</f>
        <v>74 99523491</v>
      </c>
    </row>
    <row r="1159" spans="1:16" x14ac:dyDescent="0.3">
      <c r="A1159" t="s">
        <v>8251</v>
      </c>
      <c r="B1159" t="s">
        <v>8252</v>
      </c>
      <c r="C1159" t="s">
        <v>8253</v>
      </c>
      <c r="D1159" t="s">
        <v>8047</v>
      </c>
      <c r="E1159" t="s">
        <v>8254</v>
      </c>
      <c r="F1159" t="s">
        <v>8255</v>
      </c>
      <c r="G1159">
        <v>214</v>
      </c>
      <c r="H1159">
        <v>200</v>
      </c>
      <c r="I1159" s="5" t="s">
        <v>8256</v>
      </c>
      <c r="J1159" s="5" t="s">
        <v>8257</v>
      </c>
      <c r="K1159" s="5" t="str">
        <f t="shared" si="36"/>
        <v>https://www.google.com/maps?q=-10.978484, -42.357374</v>
      </c>
      <c r="L1159" s="5" t="str">
        <f t="shared" si="37"/>
        <v>Abrir no Maps</v>
      </c>
      <c r="M1159" t="s">
        <v>8258</v>
      </c>
      <c r="N1159" s="5"/>
      <c r="O1159" t="str">
        <f>VLOOKUP(G1159,'[1]CONFIG.'!$B:$C,2,0)</f>
        <v>GEOVANA</v>
      </c>
      <c r="P1159" t="str">
        <f>VLOOKUP(O1159,'[1]CONFIG.'!$C:$D,2,0)</f>
        <v>74 99523491</v>
      </c>
    </row>
    <row r="1160" spans="1:16" x14ac:dyDescent="0.3">
      <c r="A1160" t="s">
        <v>8259</v>
      </c>
      <c r="B1160" t="s">
        <v>8260</v>
      </c>
      <c r="C1160" t="s">
        <v>8261</v>
      </c>
      <c r="D1160" t="s">
        <v>8047</v>
      </c>
      <c r="E1160" t="s">
        <v>8262</v>
      </c>
      <c r="F1160" t="s">
        <v>8084</v>
      </c>
      <c r="G1160">
        <v>214</v>
      </c>
      <c r="H1160">
        <v>200</v>
      </c>
      <c r="I1160" s="5" t="s">
        <v>8263</v>
      </c>
      <c r="J1160" s="5" t="s">
        <v>8264</v>
      </c>
      <c r="K1160" s="5" t="str">
        <f t="shared" si="36"/>
        <v>https://www.google.com/maps?q=-10.977702, -42.357606</v>
      </c>
      <c r="L1160" s="5" t="str">
        <f t="shared" si="37"/>
        <v>Abrir no Maps</v>
      </c>
      <c r="M1160" t="s">
        <v>8265</v>
      </c>
      <c r="N1160" s="5"/>
      <c r="O1160" t="str">
        <f>VLOOKUP(G1160,'[1]CONFIG.'!$B:$C,2,0)</f>
        <v>GEOVANA</v>
      </c>
      <c r="P1160" t="str">
        <f>VLOOKUP(O1160,'[1]CONFIG.'!$C:$D,2,0)</f>
        <v>74 99523491</v>
      </c>
    </row>
    <row r="1161" spans="1:16" x14ac:dyDescent="0.3">
      <c r="A1161" t="s">
        <v>8266</v>
      </c>
      <c r="B1161" t="s">
        <v>8267</v>
      </c>
      <c r="C1161" t="s">
        <v>8268</v>
      </c>
      <c r="D1161" t="s">
        <v>8047</v>
      </c>
      <c r="E1161" t="s">
        <v>8269</v>
      </c>
      <c r="F1161" t="s">
        <v>8047</v>
      </c>
      <c r="G1161">
        <v>214</v>
      </c>
      <c r="H1161">
        <v>200</v>
      </c>
      <c r="I1161" s="5" t="s">
        <v>8270</v>
      </c>
      <c r="J1161" s="5" t="s">
        <v>8271</v>
      </c>
      <c r="K1161" s="5" t="str">
        <f t="shared" si="36"/>
        <v>https://www.google.com/maps?q=-11.009666, -42.394522</v>
      </c>
      <c r="L1161" s="5" t="str">
        <f t="shared" si="37"/>
        <v>Abrir no Maps</v>
      </c>
      <c r="M1161" t="s">
        <v>8272</v>
      </c>
      <c r="N1161" s="5"/>
      <c r="O1161" t="str">
        <f>VLOOKUP(G1161,'[1]CONFIG.'!$B:$C,2,0)</f>
        <v>GEOVANA</v>
      </c>
      <c r="P1161" t="str">
        <f>VLOOKUP(O1161,'[1]CONFIG.'!$C:$D,2,0)</f>
        <v>74 99523491</v>
      </c>
    </row>
    <row r="1162" spans="1:16" x14ac:dyDescent="0.3">
      <c r="A1162" t="s">
        <v>8273</v>
      </c>
      <c r="B1162" t="s">
        <v>8274</v>
      </c>
      <c r="C1162" t="s">
        <v>8275</v>
      </c>
      <c r="D1162" t="s">
        <v>8047</v>
      </c>
      <c r="E1162" t="s">
        <v>8276</v>
      </c>
      <c r="F1162" t="s">
        <v>8277</v>
      </c>
      <c r="G1162">
        <v>214</v>
      </c>
      <c r="H1162">
        <v>200</v>
      </c>
      <c r="I1162" s="5" t="s">
        <v>8278</v>
      </c>
      <c r="J1162" s="5" t="s">
        <v>8279</v>
      </c>
      <c r="K1162" s="5" t="str">
        <f t="shared" si="36"/>
        <v>https://www.google.com/maps?q=-10.909211, -42.511851</v>
      </c>
      <c r="L1162" s="5" t="str">
        <f t="shared" si="37"/>
        <v>Abrir no Maps</v>
      </c>
      <c r="M1162" t="s">
        <v>8280</v>
      </c>
      <c r="N1162" s="5"/>
      <c r="O1162" t="str">
        <f>VLOOKUP(G1162,'[1]CONFIG.'!$B:$C,2,0)</f>
        <v>GEOVANA</v>
      </c>
      <c r="P1162" t="str">
        <f>VLOOKUP(O1162,'[1]CONFIG.'!$C:$D,2,0)</f>
        <v>74 99523491</v>
      </c>
    </row>
    <row r="1163" spans="1:16" x14ac:dyDescent="0.3">
      <c r="A1163" t="s">
        <v>8281</v>
      </c>
      <c r="B1163" t="s">
        <v>8282</v>
      </c>
      <c r="C1163" t="s">
        <v>8283</v>
      </c>
      <c r="D1163" t="s">
        <v>8047</v>
      </c>
      <c r="E1163" t="s">
        <v>8284</v>
      </c>
      <c r="F1163" t="s">
        <v>8084</v>
      </c>
      <c r="G1163">
        <v>214</v>
      </c>
      <c r="H1163">
        <v>200</v>
      </c>
      <c r="I1163" s="5" t="s">
        <v>8285</v>
      </c>
      <c r="J1163" s="5" t="s">
        <v>8286</v>
      </c>
      <c r="K1163" s="5" t="str">
        <f t="shared" si="36"/>
        <v>https://www.google.com/maps?q=-10.985548, -42.340594</v>
      </c>
      <c r="L1163" s="5" t="str">
        <f t="shared" si="37"/>
        <v>Abrir no Maps</v>
      </c>
      <c r="M1163" t="s">
        <v>8287</v>
      </c>
      <c r="N1163" s="5"/>
      <c r="O1163" t="str">
        <f>VLOOKUP(G1163,'[1]CONFIG.'!$B:$C,2,0)</f>
        <v>GEOVANA</v>
      </c>
      <c r="P1163" t="str">
        <f>VLOOKUP(O1163,'[1]CONFIG.'!$C:$D,2,0)</f>
        <v>74 99523491</v>
      </c>
    </row>
    <row r="1164" spans="1:16" x14ac:dyDescent="0.3">
      <c r="A1164" t="s">
        <v>8288</v>
      </c>
      <c r="B1164" t="s">
        <v>8289</v>
      </c>
      <c r="C1164" t="s">
        <v>8290</v>
      </c>
      <c r="D1164" t="s">
        <v>8047</v>
      </c>
      <c r="E1164" t="s">
        <v>8291</v>
      </c>
      <c r="F1164" t="s">
        <v>8292</v>
      </c>
      <c r="G1164">
        <v>214</v>
      </c>
      <c r="H1164">
        <v>200</v>
      </c>
      <c r="I1164" s="5" t="s">
        <v>8293</v>
      </c>
      <c r="J1164" s="5" t="s">
        <v>8294</v>
      </c>
      <c r="K1164" s="5" t="str">
        <f t="shared" si="36"/>
        <v>https://www.google.com/maps?q=-10.985603, -42.340230</v>
      </c>
      <c r="L1164" s="5" t="str">
        <f t="shared" si="37"/>
        <v>Abrir no Maps</v>
      </c>
      <c r="M1164" t="s">
        <v>8295</v>
      </c>
      <c r="N1164" s="5"/>
      <c r="O1164" t="str">
        <f>VLOOKUP(G1164,'[1]CONFIG.'!$B:$C,2,0)</f>
        <v>GEOVANA</v>
      </c>
      <c r="P1164" t="str">
        <f>VLOOKUP(O1164,'[1]CONFIG.'!$C:$D,2,0)</f>
        <v>74 99523491</v>
      </c>
    </row>
    <row r="1165" spans="1:16" x14ac:dyDescent="0.3">
      <c r="A1165" t="s">
        <v>8296</v>
      </c>
      <c r="B1165" t="s">
        <v>8297</v>
      </c>
      <c r="C1165" t="s">
        <v>8298</v>
      </c>
      <c r="D1165" t="s">
        <v>8047</v>
      </c>
      <c r="E1165" t="s">
        <v>8299</v>
      </c>
      <c r="F1165" t="s">
        <v>8198</v>
      </c>
      <c r="G1165">
        <v>214</v>
      </c>
      <c r="H1165">
        <v>200</v>
      </c>
      <c r="I1165" s="5" t="s">
        <v>8300</v>
      </c>
      <c r="J1165" s="5" t="s">
        <v>8301</v>
      </c>
      <c r="K1165" s="5" t="str">
        <f t="shared" si="36"/>
        <v>https://www.google.com/maps?q=-10.908642, -42.512128</v>
      </c>
      <c r="L1165" s="5" t="str">
        <f t="shared" si="37"/>
        <v>Abrir no Maps</v>
      </c>
      <c r="M1165" t="s">
        <v>8302</v>
      </c>
      <c r="N1165" s="5"/>
      <c r="O1165" t="str">
        <f>VLOOKUP(G1165,'[1]CONFIG.'!$B:$C,2,0)</f>
        <v>GEOVANA</v>
      </c>
      <c r="P1165" t="str">
        <f>VLOOKUP(O1165,'[1]CONFIG.'!$C:$D,2,0)</f>
        <v>74 99523491</v>
      </c>
    </row>
    <row r="1166" spans="1:16" x14ac:dyDescent="0.3">
      <c r="A1166" t="s">
        <v>8303</v>
      </c>
      <c r="B1166" t="s">
        <v>8304</v>
      </c>
      <c r="C1166" t="s">
        <v>8305</v>
      </c>
      <c r="D1166" t="s">
        <v>8306</v>
      </c>
      <c r="E1166" t="s">
        <v>8307</v>
      </c>
      <c r="F1166" t="s">
        <v>137</v>
      </c>
      <c r="G1166">
        <v>203</v>
      </c>
      <c r="H1166">
        <v>200</v>
      </c>
      <c r="I1166" s="5" t="s">
        <v>8308</v>
      </c>
      <c r="J1166" s="5" t="s">
        <v>8309</v>
      </c>
      <c r="K1166" s="5" t="str">
        <f t="shared" si="36"/>
        <v>https://www.google.com/maps?q=-11.346294, -41.664513</v>
      </c>
      <c r="L1166" s="5" t="str">
        <f t="shared" si="37"/>
        <v>Abrir no Maps</v>
      </c>
      <c r="M1166" t="s">
        <v>8310</v>
      </c>
      <c r="N1166" s="5"/>
      <c r="O1166" t="str">
        <f>VLOOKUP(G1166,'[1]CONFIG.'!$B:$C,2,0)</f>
        <v>ALEXANDRE</v>
      </c>
      <c r="P1166" t="str">
        <f>VLOOKUP(O1166,'[1]CONFIG.'!$C:$D,2,0)</f>
        <v>74 99653478</v>
      </c>
    </row>
    <row r="1167" spans="1:16" x14ac:dyDescent="0.3">
      <c r="A1167" t="s">
        <v>8311</v>
      </c>
      <c r="B1167" t="s">
        <v>8312</v>
      </c>
      <c r="C1167" t="s">
        <v>8313</v>
      </c>
      <c r="D1167" t="s">
        <v>8306</v>
      </c>
      <c r="E1167" t="s">
        <v>8314</v>
      </c>
      <c r="F1167" t="s">
        <v>137</v>
      </c>
      <c r="G1167">
        <v>206</v>
      </c>
      <c r="H1167">
        <v>200</v>
      </c>
      <c r="I1167" s="5" t="s">
        <v>8315</v>
      </c>
      <c r="J1167" s="5" t="s">
        <v>8316</v>
      </c>
      <c r="K1167" s="5" t="str">
        <f t="shared" si="36"/>
        <v>https://www.google.com/maps?q=-11.346924, -41.663033</v>
      </c>
      <c r="L1167" s="5" t="str">
        <f t="shared" si="37"/>
        <v>Abrir no Maps</v>
      </c>
      <c r="M1167" t="s">
        <v>8317</v>
      </c>
      <c r="N1167" s="5"/>
      <c r="O1167" t="str">
        <f>VLOOKUP(G1167,'[1]CONFIG.'!$B:$C,2,0)</f>
        <v>ROBERTO</v>
      </c>
      <c r="P1167" t="str">
        <f>VLOOKUP(O1167,'[1]CONFIG.'!$C:$D,2,0)</f>
        <v>74 99551147</v>
      </c>
    </row>
    <row r="1168" spans="1:16" x14ac:dyDescent="0.3">
      <c r="A1168" t="s">
        <v>8318</v>
      </c>
      <c r="B1168" t="s">
        <v>8319</v>
      </c>
      <c r="C1168" t="s">
        <v>8320</v>
      </c>
      <c r="D1168" t="s">
        <v>8306</v>
      </c>
      <c r="E1168" t="s">
        <v>8321</v>
      </c>
      <c r="F1168" t="s">
        <v>137</v>
      </c>
      <c r="G1168">
        <v>203</v>
      </c>
      <c r="H1168">
        <v>200</v>
      </c>
      <c r="I1168" s="5" t="s">
        <v>8322</v>
      </c>
      <c r="J1168" s="5" t="s">
        <v>8323</v>
      </c>
      <c r="K1168" s="5" t="str">
        <f t="shared" si="36"/>
        <v>https://www.google.com/maps?q=-11.347872, -41.658024</v>
      </c>
      <c r="L1168" s="5" t="str">
        <f t="shared" si="37"/>
        <v>Abrir no Maps</v>
      </c>
      <c r="M1168" t="s">
        <v>8324</v>
      </c>
      <c r="N1168" s="5"/>
      <c r="O1168" t="str">
        <f>VLOOKUP(G1168,'[1]CONFIG.'!$B:$C,2,0)</f>
        <v>ALEXANDRE</v>
      </c>
      <c r="P1168" t="str">
        <f>VLOOKUP(O1168,'[1]CONFIG.'!$C:$D,2,0)</f>
        <v>74 99653478</v>
      </c>
    </row>
    <row r="1169" spans="1:16" x14ac:dyDescent="0.3">
      <c r="A1169" t="s">
        <v>8325</v>
      </c>
      <c r="B1169" t="s">
        <v>8326</v>
      </c>
      <c r="C1169" t="s">
        <v>8327</v>
      </c>
      <c r="D1169" t="s">
        <v>8306</v>
      </c>
      <c r="E1169" t="s">
        <v>8328</v>
      </c>
      <c r="F1169" t="s">
        <v>8329</v>
      </c>
      <c r="G1169">
        <v>206</v>
      </c>
      <c r="H1169">
        <v>200</v>
      </c>
      <c r="I1169" s="5" t="s">
        <v>8330</v>
      </c>
      <c r="J1169" s="5" t="s">
        <v>8331</v>
      </c>
      <c r="K1169" s="5" t="str">
        <f t="shared" si="36"/>
        <v>https://www.google.com/maps?q=-11.345378, -41.663116</v>
      </c>
      <c r="L1169" s="5" t="str">
        <f t="shared" si="37"/>
        <v>Abrir no Maps</v>
      </c>
      <c r="M1169" t="s">
        <v>8332</v>
      </c>
      <c r="N1169" s="5"/>
      <c r="O1169" t="str">
        <f>VLOOKUP(G1169,'[1]CONFIG.'!$B:$C,2,0)</f>
        <v>ROBERTO</v>
      </c>
      <c r="P1169" t="str">
        <f>VLOOKUP(O1169,'[1]CONFIG.'!$C:$D,2,0)</f>
        <v>74 99551147</v>
      </c>
    </row>
    <row r="1170" spans="1:16" x14ac:dyDescent="0.3">
      <c r="A1170" t="s">
        <v>8333</v>
      </c>
      <c r="B1170" t="s">
        <v>8334</v>
      </c>
      <c r="C1170" t="s">
        <v>8335</v>
      </c>
      <c r="D1170" t="s">
        <v>8306</v>
      </c>
      <c r="E1170" t="s">
        <v>8336</v>
      </c>
      <c r="F1170" t="s">
        <v>137</v>
      </c>
      <c r="G1170">
        <v>206</v>
      </c>
      <c r="H1170">
        <v>200</v>
      </c>
      <c r="I1170" s="5" t="s">
        <v>8337</v>
      </c>
      <c r="J1170" s="5" t="s">
        <v>8338</v>
      </c>
      <c r="K1170" s="5" t="str">
        <f t="shared" si="36"/>
        <v>https://www.google.com/maps?q=-11.343974, -41.663420</v>
      </c>
      <c r="L1170" s="5" t="str">
        <f t="shared" si="37"/>
        <v>Abrir no Maps</v>
      </c>
      <c r="M1170" t="s">
        <v>8339</v>
      </c>
      <c r="N1170" s="5"/>
      <c r="O1170" t="str">
        <f>VLOOKUP(G1170,'[1]CONFIG.'!$B:$C,2,0)</f>
        <v>ROBERTO</v>
      </c>
      <c r="P1170" t="str">
        <f>VLOOKUP(O1170,'[1]CONFIG.'!$C:$D,2,0)</f>
        <v>74 99551147</v>
      </c>
    </row>
    <row r="1171" spans="1:16" x14ac:dyDescent="0.3">
      <c r="A1171" t="s">
        <v>8340</v>
      </c>
      <c r="B1171" t="s">
        <v>8341</v>
      </c>
      <c r="C1171" t="s">
        <v>8342</v>
      </c>
      <c r="D1171" t="s">
        <v>8306</v>
      </c>
      <c r="E1171" t="s">
        <v>8343</v>
      </c>
      <c r="F1171" t="s">
        <v>137</v>
      </c>
      <c r="G1171">
        <v>206</v>
      </c>
      <c r="H1171">
        <v>200</v>
      </c>
      <c r="I1171" s="5" t="s">
        <v>8344</v>
      </c>
      <c r="J1171" s="5" t="s">
        <v>8345</v>
      </c>
      <c r="K1171" s="5" t="str">
        <f t="shared" si="36"/>
        <v>https://www.google.com/maps?q=-11.347102, -41.663025</v>
      </c>
      <c r="L1171" s="5" t="str">
        <f t="shared" si="37"/>
        <v>Abrir no Maps</v>
      </c>
      <c r="M1171" t="s">
        <v>8346</v>
      </c>
      <c r="N1171" s="5"/>
      <c r="O1171" t="str">
        <f>VLOOKUP(G1171,'[1]CONFIG.'!$B:$C,2,0)</f>
        <v>ROBERTO</v>
      </c>
      <c r="P1171" t="str">
        <f>VLOOKUP(O1171,'[1]CONFIG.'!$C:$D,2,0)</f>
        <v>74 99551147</v>
      </c>
    </row>
    <row r="1172" spans="1:16" x14ac:dyDescent="0.3">
      <c r="A1172" t="s">
        <v>8347</v>
      </c>
      <c r="B1172" t="s">
        <v>8348</v>
      </c>
      <c r="C1172" t="s">
        <v>8349</v>
      </c>
      <c r="D1172" t="s">
        <v>36</v>
      </c>
      <c r="E1172" t="s">
        <v>8350</v>
      </c>
      <c r="F1172" t="s">
        <v>93</v>
      </c>
      <c r="G1172">
        <v>210</v>
      </c>
      <c r="H1172">
        <v>500</v>
      </c>
      <c r="I1172" s="5" t="s">
        <v>8351</v>
      </c>
      <c r="J1172" s="5" t="s">
        <v>8352</v>
      </c>
      <c r="K1172" s="5" t="str">
        <f t="shared" si="36"/>
        <v>https://www.google.com/maps?q=-11.303213, -41.857403</v>
      </c>
      <c r="L1172" s="5" t="str">
        <f t="shared" si="37"/>
        <v>Abrir no Maps</v>
      </c>
      <c r="M1172" t="s">
        <v>8353</v>
      </c>
      <c r="N1172" s="5"/>
      <c r="O1172" t="str">
        <f>VLOOKUP(G1172,'[1]CONFIG.'!$B:$C,2,0)</f>
        <v>SILAS</v>
      </c>
      <c r="P1172" t="str">
        <f>VLOOKUP(O1172,'[1]CONFIG.'!$C:$D,2,0)</f>
        <v>74 98041875</v>
      </c>
    </row>
    <row r="1173" spans="1:16" x14ac:dyDescent="0.3">
      <c r="A1173" t="s">
        <v>8354</v>
      </c>
      <c r="B1173" t="s">
        <v>8355</v>
      </c>
      <c r="C1173" t="s">
        <v>8356</v>
      </c>
      <c r="D1173" t="s">
        <v>8306</v>
      </c>
      <c r="E1173" t="s">
        <v>8357</v>
      </c>
      <c r="F1173" t="s">
        <v>137</v>
      </c>
      <c r="G1173">
        <v>203</v>
      </c>
      <c r="H1173">
        <v>200</v>
      </c>
      <c r="I1173" s="5" t="s">
        <v>8358</v>
      </c>
      <c r="J1173" s="5" t="s">
        <v>8359</v>
      </c>
      <c r="K1173" s="5" t="str">
        <f t="shared" si="36"/>
        <v>https://www.google.com/maps?q=-11.345870, -41.663227</v>
      </c>
      <c r="L1173" s="5" t="str">
        <f t="shared" si="37"/>
        <v>Abrir no Maps</v>
      </c>
      <c r="M1173" t="s">
        <v>8360</v>
      </c>
      <c r="N1173" s="5"/>
      <c r="O1173" t="str">
        <f>VLOOKUP(G1173,'[1]CONFIG.'!$B:$C,2,0)</f>
        <v>ALEXANDRE</v>
      </c>
      <c r="P1173" t="str">
        <f>VLOOKUP(O1173,'[1]CONFIG.'!$C:$D,2,0)</f>
        <v>74 99653478</v>
      </c>
    </row>
    <row r="1174" spans="1:16" x14ac:dyDescent="0.3">
      <c r="A1174" t="s">
        <v>8361</v>
      </c>
      <c r="B1174" t="s">
        <v>8362</v>
      </c>
      <c r="C1174" t="s">
        <v>8363</v>
      </c>
      <c r="D1174" t="s">
        <v>8306</v>
      </c>
      <c r="E1174" t="s">
        <v>8364</v>
      </c>
      <c r="F1174" t="s">
        <v>137</v>
      </c>
      <c r="G1174">
        <v>206</v>
      </c>
      <c r="H1174">
        <v>200</v>
      </c>
      <c r="I1174" s="5" t="s">
        <v>8365</v>
      </c>
      <c r="J1174" s="5" t="s">
        <v>8366</v>
      </c>
      <c r="K1174" s="5" t="str">
        <f t="shared" si="36"/>
        <v>https://www.google.com/maps?q=-11.350318, -41.663620</v>
      </c>
      <c r="L1174" s="5" t="str">
        <f t="shared" si="37"/>
        <v>Abrir no Maps</v>
      </c>
      <c r="M1174" t="s">
        <v>8367</v>
      </c>
      <c r="N1174" s="5"/>
      <c r="O1174" t="str">
        <f>VLOOKUP(G1174,'[1]CONFIG.'!$B:$C,2,0)</f>
        <v>ROBERTO</v>
      </c>
      <c r="P1174" t="str">
        <f>VLOOKUP(O1174,'[1]CONFIG.'!$C:$D,2,0)</f>
        <v>74 99551147</v>
      </c>
    </row>
    <row r="1175" spans="1:16" x14ac:dyDescent="0.3">
      <c r="A1175" t="s">
        <v>8368</v>
      </c>
      <c r="B1175" t="s">
        <v>8369</v>
      </c>
      <c r="C1175" t="s">
        <v>8370</v>
      </c>
      <c r="D1175" t="s">
        <v>8306</v>
      </c>
      <c r="E1175" t="s">
        <v>8371</v>
      </c>
      <c r="F1175" t="s">
        <v>8372</v>
      </c>
      <c r="G1175">
        <v>206</v>
      </c>
      <c r="H1175">
        <v>200</v>
      </c>
      <c r="I1175" s="5" t="s">
        <v>8373</v>
      </c>
      <c r="J1175" s="5" t="s">
        <v>8374</v>
      </c>
      <c r="K1175" s="5" t="str">
        <f t="shared" si="36"/>
        <v>https://www.google.com/maps?q=-11.351755, -41.663273</v>
      </c>
      <c r="L1175" s="5" t="str">
        <f t="shared" si="37"/>
        <v>Abrir no Maps</v>
      </c>
      <c r="M1175" t="s">
        <v>8375</v>
      </c>
      <c r="N1175" s="5"/>
      <c r="O1175" t="str">
        <f>VLOOKUP(G1175,'[1]CONFIG.'!$B:$C,2,0)</f>
        <v>ROBERTO</v>
      </c>
      <c r="P1175" t="str">
        <f>VLOOKUP(O1175,'[1]CONFIG.'!$C:$D,2,0)</f>
        <v>74 99551147</v>
      </c>
    </row>
    <row r="1176" spans="1:16" x14ac:dyDescent="0.3">
      <c r="A1176" t="s">
        <v>8376</v>
      </c>
      <c r="B1176" t="s">
        <v>8377</v>
      </c>
      <c r="C1176" t="s">
        <v>8378</v>
      </c>
      <c r="D1176" t="s">
        <v>8306</v>
      </c>
      <c r="E1176" t="s">
        <v>8379</v>
      </c>
      <c r="F1176" t="s">
        <v>137</v>
      </c>
      <c r="G1176">
        <v>203</v>
      </c>
      <c r="H1176">
        <v>200</v>
      </c>
      <c r="I1176" s="5" t="s">
        <v>8380</v>
      </c>
      <c r="J1176" s="5" t="s">
        <v>8381</v>
      </c>
      <c r="K1176" s="5" t="str">
        <f t="shared" si="36"/>
        <v>https://www.google.com/maps?q=-11.348703, -41.663128</v>
      </c>
      <c r="L1176" s="5" t="str">
        <f t="shared" si="37"/>
        <v>Abrir no Maps</v>
      </c>
      <c r="M1176" t="s">
        <v>8382</v>
      </c>
      <c r="N1176" s="5"/>
      <c r="O1176" t="str">
        <f>VLOOKUP(G1176,'[1]CONFIG.'!$B:$C,2,0)</f>
        <v>ALEXANDRE</v>
      </c>
      <c r="P1176" t="str">
        <f>VLOOKUP(O1176,'[1]CONFIG.'!$C:$D,2,0)</f>
        <v>74 99653478</v>
      </c>
    </row>
    <row r="1177" spans="1:16" x14ac:dyDescent="0.3">
      <c r="A1177" t="s">
        <v>8383</v>
      </c>
      <c r="B1177" t="s">
        <v>8384</v>
      </c>
      <c r="C1177" t="s">
        <v>8385</v>
      </c>
      <c r="D1177" t="s">
        <v>8306</v>
      </c>
      <c r="E1177" t="s">
        <v>8386</v>
      </c>
      <c r="F1177" t="s">
        <v>8387</v>
      </c>
      <c r="G1177">
        <v>206</v>
      </c>
      <c r="H1177">
        <v>200</v>
      </c>
      <c r="I1177" s="5" t="s">
        <v>8388</v>
      </c>
      <c r="J1177" s="5" t="s">
        <v>8389</v>
      </c>
      <c r="K1177" s="5" t="str">
        <f t="shared" si="36"/>
        <v>https://www.google.com/maps?q=-11.350537, -41.663136</v>
      </c>
      <c r="L1177" s="5" t="str">
        <f t="shared" si="37"/>
        <v>Abrir no Maps</v>
      </c>
      <c r="M1177" t="s">
        <v>8390</v>
      </c>
      <c r="N1177" s="5"/>
      <c r="O1177" t="str">
        <f>VLOOKUP(G1177,'[1]CONFIG.'!$B:$C,2,0)</f>
        <v>ROBERTO</v>
      </c>
      <c r="P1177" t="str">
        <f>VLOOKUP(O1177,'[1]CONFIG.'!$C:$D,2,0)</f>
        <v>74 99551147</v>
      </c>
    </row>
    <row r="1178" spans="1:16" x14ac:dyDescent="0.3">
      <c r="A1178" t="s">
        <v>8391</v>
      </c>
      <c r="B1178" t="s">
        <v>8392</v>
      </c>
      <c r="C1178" t="s">
        <v>8393</v>
      </c>
      <c r="D1178" t="s">
        <v>8306</v>
      </c>
      <c r="E1178" t="s">
        <v>8394</v>
      </c>
      <c r="F1178" t="s">
        <v>8395</v>
      </c>
      <c r="G1178">
        <v>206</v>
      </c>
      <c r="H1178">
        <v>200</v>
      </c>
      <c r="I1178" s="5" t="s">
        <v>8396</v>
      </c>
      <c r="J1178" s="5" t="s">
        <v>8397</v>
      </c>
      <c r="K1178" s="5" t="str">
        <f t="shared" si="36"/>
        <v>https://www.google.com/maps?q=-11.356292, -41.600990</v>
      </c>
      <c r="L1178" s="5" t="str">
        <f t="shared" si="37"/>
        <v>Abrir no Maps</v>
      </c>
      <c r="M1178" t="s">
        <v>8398</v>
      </c>
      <c r="N1178" s="5"/>
      <c r="O1178" t="str">
        <f>VLOOKUP(G1178,'[1]CONFIG.'!$B:$C,2,0)</f>
        <v>ROBERTO</v>
      </c>
      <c r="P1178" t="str">
        <f>VLOOKUP(O1178,'[1]CONFIG.'!$C:$D,2,0)</f>
        <v>74 99551147</v>
      </c>
    </row>
    <row r="1179" spans="1:16" x14ac:dyDescent="0.3">
      <c r="A1179" t="s">
        <v>8399</v>
      </c>
      <c r="B1179" t="s">
        <v>8400</v>
      </c>
      <c r="C1179" t="s">
        <v>8401</v>
      </c>
      <c r="D1179" t="s">
        <v>8306</v>
      </c>
      <c r="E1179" t="s">
        <v>8402</v>
      </c>
      <c r="F1179" t="s">
        <v>137</v>
      </c>
      <c r="G1179">
        <v>206</v>
      </c>
      <c r="H1179">
        <v>200</v>
      </c>
      <c r="I1179" s="5" t="s">
        <v>8403</v>
      </c>
      <c r="J1179" s="5" t="s">
        <v>8404</v>
      </c>
      <c r="K1179" s="5" t="str">
        <f t="shared" si="36"/>
        <v>https://www.google.com/maps?q=-11.343331, -41.657620</v>
      </c>
      <c r="L1179" s="5" t="str">
        <f t="shared" si="37"/>
        <v>Abrir no Maps</v>
      </c>
      <c r="M1179" t="s">
        <v>8405</v>
      </c>
      <c r="N1179" s="5"/>
      <c r="O1179" t="str">
        <f>VLOOKUP(G1179,'[1]CONFIG.'!$B:$C,2,0)</f>
        <v>ROBERTO</v>
      </c>
      <c r="P1179" t="str">
        <f>VLOOKUP(O1179,'[1]CONFIG.'!$C:$D,2,0)</f>
        <v>74 99551147</v>
      </c>
    </row>
    <row r="1180" spans="1:16" x14ac:dyDescent="0.3">
      <c r="A1180" t="s">
        <v>8406</v>
      </c>
      <c r="B1180" t="s">
        <v>8407</v>
      </c>
      <c r="C1180" t="s">
        <v>8408</v>
      </c>
      <c r="D1180" t="s">
        <v>8306</v>
      </c>
      <c r="E1180" t="s">
        <v>8409</v>
      </c>
      <c r="F1180" t="s">
        <v>8410</v>
      </c>
      <c r="G1180">
        <v>206</v>
      </c>
      <c r="H1180">
        <v>200</v>
      </c>
      <c r="I1180" s="5" t="s">
        <v>8411</v>
      </c>
      <c r="J1180" s="5" t="s">
        <v>8412</v>
      </c>
      <c r="K1180" s="5" t="str">
        <f t="shared" si="36"/>
        <v>https://www.google.com/maps?q=-11.394445, -41.698357</v>
      </c>
      <c r="L1180" s="5" t="str">
        <f t="shared" si="37"/>
        <v>Abrir no Maps</v>
      </c>
      <c r="M1180" t="s">
        <v>8413</v>
      </c>
      <c r="N1180" s="5"/>
      <c r="O1180" t="str">
        <f>VLOOKUP(G1180,'[1]CONFIG.'!$B:$C,2,0)</f>
        <v>ROBERTO</v>
      </c>
      <c r="P1180" t="str">
        <f>VLOOKUP(O1180,'[1]CONFIG.'!$C:$D,2,0)</f>
        <v>74 99551147</v>
      </c>
    </row>
    <row r="1181" spans="1:16" x14ac:dyDescent="0.3">
      <c r="A1181" t="s">
        <v>8414</v>
      </c>
      <c r="B1181" t="s">
        <v>8415</v>
      </c>
      <c r="C1181" t="s">
        <v>8416</v>
      </c>
      <c r="D1181" t="s">
        <v>8306</v>
      </c>
      <c r="E1181" t="s">
        <v>8417</v>
      </c>
      <c r="F1181" t="s">
        <v>137</v>
      </c>
      <c r="G1181">
        <v>206</v>
      </c>
      <c r="H1181">
        <v>200</v>
      </c>
      <c r="I1181" s="5" t="s">
        <v>8418</v>
      </c>
      <c r="J1181" s="5" t="s">
        <v>8419</v>
      </c>
      <c r="K1181" s="5" t="str">
        <f t="shared" si="36"/>
        <v>https://www.google.com/maps?q=-11.352288, -41.663963</v>
      </c>
      <c r="L1181" s="5" t="str">
        <f t="shared" si="37"/>
        <v>Abrir no Maps</v>
      </c>
      <c r="M1181" t="s">
        <v>8420</v>
      </c>
      <c r="N1181" s="5"/>
      <c r="O1181" t="str">
        <f>VLOOKUP(G1181,'[1]CONFIG.'!$B:$C,2,0)</f>
        <v>ROBERTO</v>
      </c>
      <c r="P1181" t="str">
        <f>VLOOKUP(O1181,'[1]CONFIG.'!$C:$D,2,0)</f>
        <v>74 99551147</v>
      </c>
    </row>
    <row r="1182" spans="1:16" x14ac:dyDescent="0.3">
      <c r="A1182" t="s">
        <v>8421</v>
      </c>
      <c r="B1182" t="s">
        <v>8422</v>
      </c>
      <c r="C1182" t="s">
        <v>8423</v>
      </c>
      <c r="D1182" t="s">
        <v>8306</v>
      </c>
      <c r="E1182" t="s">
        <v>8424</v>
      </c>
      <c r="F1182" t="s">
        <v>8425</v>
      </c>
      <c r="G1182">
        <v>206</v>
      </c>
      <c r="H1182">
        <v>200</v>
      </c>
      <c r="I1182" s="5" t="s">
        <v>8426</v>
      </c>
      <c r="J1182" s="5" t="s">
        <v>8427</v>
      </c>
      <c r="K1182" s="5" t="str">
        <f t="shared" si="36"/>
        <v>https://www.google.com/maps?q=-11.342631, -41.660164</v>
      </c>
      <c r="L1182" s="5" t="str">
        <f t="shared" si="37"/>
        <v>Abrir no Maps</v>
      </c>
      <c r="M1182" t="s">
        <v>8428</v>
      </c>
      <c r="N1182" s="5"/>
      <c r="O1182" t="str">
        <f>VLOOKUP(G1182,'[1]CONFIG.'!$B:$C,2,0)</f>
        <v>ROBERTO</v>
      </c>
      <c r="P1182" t="str">
        <f>VLOOKUP(O1182,'[1]CONFIG.'!$C:$D,2,0)</f>
        <v>74 99551147</v>
      </c>
    </row>
    <row r="1183" spans="1:16" x14ac:dyDescent="0.3">
      <c r="A1183" t="s">
        <v>8429</v>
      </c>
      <c r="B1183" t="s">
        <v>8430</v>
      </c>
      <c r="C1183" t="s">
        <v>8431</v>
      </c>
      <c r="D1183" t="s">
        <v>8306</v>
      </c>
      <c r="E1183" t="s">
        <v>8432</v>
      </c>
      <c r="F1183" t="s">
        <v>8433</v>
      </c>
      <c r="G1183">
        <v>206</v>
      </c>
      <c r="H1183">
        <v>200</v>
      </c>
      <c r="I1183" s="5" t="s">
        <v>8434</v>
      </c>
      <c r="J1183" s="5" t="s">
        <v>8435</v>
      </c>
      <c r="K1183" s="5" t="str">
        <f t="shared" si="36"/>
        <v>https://www.google.com/maps?q=-11.391933, -41.700810</v>
      </c>
      <c r="L1183" s="5" t="str">
        <f t="shared" si="37"/>
        <v>Abrir no Maps</v>
      </c>
      <c r="M1183" t="s">
        <v>8436</v>
      </c>
      <c r="N1183" s="5"/>
      <c r="O1183" t="str">
        <f>VLOOKUP(G1183,'[1]CONFIG.'!$B:$C,2,0)</f>
        <v>ROBERTO</v>
      </c>
      <c r="P1183" t="str">
        <f>VLOOKUP(O1183,'[1]CONFIG.'!$C:$D,2,0)</f>
        <v>74 99551147</v>
      </c>
    </row>
    <row r="1184" spans="1:16" x14ac:dyDescent="0.3">
      <c r="A1184" t="s">
        <v>8437</v>
      </c>
      <c r="B1184" t="s">
        <v>8438</v>
      </c>
      <c r="C1184" t="s">
        <v>8439</v>
      </c>
      <c r="D1184" t="s">
        <v>8306</v>
      </c>
      <c r="E1184" t="s">
        <v>8440</v>
      </c>
      <c r="F1184" t="s">
        <v>137</v>
      </c>
      <c r="G1184">
        <v>206</v>
      </c>
      <c r="H1184">
        <v>200</v>
      </c>
      <c r="I1184" s="5" t="s">
        <v>8441</v>
      </c>
      <c r="J1184" s="5" t="s">
        <v>8442</v>
      </c>
      <c r="K1184" s="5" t="str">
        <f t="shared" si="36"/>
        <v>https://www.google.com/maps?q=-11.348543, -41.663105</v>
      </c>
      <c r="L1184" s="5" t="str">
        <f t="shared" si="37"/>
        <v>Abrir no Maps</v>
      </c>
      <c r="M1184" t="s">
        <v>8443</v>
      </c>
      <c r="N1184" s="5"/>
      <c r="O1184" t="str">
        <f>VLOOKUP(G1184,'[1]CONFIG.'!$B:$C,2,0)</f>
        <v>ROBERTO</v>
      </c>
      <c r="P1184" t="str">
        <f>VLOOKUP(O1184,'[1]CONFIG.'!$C:$D,2,0)</f>
        <v>74 99551147</v>
      </c>
    </row>
    <row r="1185" spans="1:16" x14ac:dyDescent="0.3">
      <c r="A1185" t="s">
        <v>8444</v>
      </c>
      <c r="B1185" t="s">
        <v>8445</v>
      </c>
      <c r="C1185" t="s">
        <v>8446</v>
      </c>
      <c r="D1185" t="s">
        <v>8306</v>
      </c>
      <c r="E1185" t="s">
        <v>8447</v>
      </c>
      <c r="F1185" t="s">
        <v>137</v>
      </c>
      <c r="G1185">
        <v>206</v>
      </c>
      <c r="H1185">
        <v>200</v>
      </c>
      <c r="I1185" s="5" t="s">
        <v>8448</v>
      </c>
      <c r="J1185" s="5" t="s">
        <v>8449</v>
      </c>
      <c r="K1185" s="5" t="str">
        <f t="shared" si="36"/>
        <v>https://www.google.com/maps?q=-11.350692, -41.664104</v>
      </c>
      <c r="L1185" s="5" t="str">
        <f t="shared" si="37"/>
        <v>Abrir no Maps</v>
      </c>
      <c r="M1185" t="s">
        <v>8450</v>
      </c>
      <c r="N1185" s="5"/>
      <c r="O1185" t="str">
        <f>VLOOKUP(G1185,'[1]CONFIG.'!$B:$C,2,0)</f>
        <v>ROBERTO</v>
      </c>
      <c r="P1185" t="str">
        <f>VLOOKUP(O1185,'[1]CONFIG.'!$C:$D,2,0)</f>
        <v>74 99551147</v>
      </c>
    </row>
    <row r="1186" spans="1:16" x14ac:dyDescent="0.3">
      <c r="A1186" t="s">
        <v>8451</v>
      </c>
      <c r="B1186" t="s">
        <v>8452</v>
      </c>
      <c r="C1186" t="s">
        <v>8453</v>
      </c>
      <c r="D1186" t="s">
        <v>8306</v>
      </c>
      <c r="E1186" t="s">
        <v>8454</v>
      </c>
      <c r="F1186" t="s">
        <v>2281</v>
      </c>
      <c r="G1186">
        <v>206</v>
      </c>
      <c r="H1186">
        <v>200</v>
      </c>
      <c r="I1186" s="5" t="s">
        <v>8455</v>
      </c>
      <c r="J1186" s="5" t="s">
        <v>8456</v>
      </c>
      <c r="K1186" s="5" t="str">
        <f t="shared" si="36"/>
        <v>https://www.google.com/maps?q=-11.331037, -41.778442</v>
      </c>
      <c r="L1186" s="5" t="str">
        <f t="shared" si="37"/>
        <v>Abrir no Maps</v>
      </c>
      <c r="M1186" t="s">
        <v>8457</v>
      </c>
      <c r="N1186" s="5"/>
      <c r="O1186" t="str">
        <f>VLOOKUP(G1186,'[1]CONFIG.'!$B:$C,2,0)</f>
        <v>ROBERTO</v>
      </c>
      <c r="P1186" t="str">
        <f>VLOOKUP(O1186,'[1]CONFIG.'!$C:$D,2,0)</f>
        <v>74 99551147</v>
      </c>
    </row>
    <row r="1187" spans="1:16" x14ac:dyDescent="0.3">
      <c r="A1187" t="s">
        <v>8458</v>
      </c>
      <c r="B1187" t="s">
        <v>8459</v>
      </c>
      <c r="C1187" t="s">
        <v>8460</v>
      </c>
      <c r="D1187" t="s">
        <v>8306</v>
      </c>
      <c r="E1187" t="s">
        <v>8461</v>
      </c>
      <c r="F1187" t="s">
        <v>137</v>
      </c>
      <c r="G1187">
        <v>206</v>
      </c>
      <c r="H1187">
        <v>200</v>
      </c>
      <c r="I1187" s="5" t="s">
        <v>8462</v>
      </c>
      <c r="J1187" s="5" t="s">
        <v>8463</v>
      </c>
      <c r="K1187" s="5" t="str">
        <f t="shared" si="36"/>
        <v>https://www.google.com/maps?q=-11.351283, -41.666843</v>
      </c>
      <c r="L1187" s="5" t="str">
        <f t="shared" si="37"/>
        <v>Abrir no Maps</v>
      </c>
      <c r="M1187" t="s">
        <v>8464</v>
      </c>
      <c r="N1187" s="5"/>
      <c r="O1187" t="str">
        <f>VLOOKUP(G1187,'[1]CONFIG.'!$B:$C,2,0)</f>
        <v>ROBERTO</v>
      </c>
      <c r="P1187" t="str">
        <f>VLOOKUP(O1187,'[1]CONFIG.'!$C:$D,2,0)</f>
        <v>74 99551147</v>
      </c>
    </row>
    <row r="1188" spans="1:16" x14ac:dyDescent="0.3">
      <c r="A1188" t="s">
        <v>8465</v>
      </c>
      <c r="B1188" t="s">
        <v>8466</v>
      </c>
      <c r="C1188" t="s">
        <v>8467</v>
      </c>
      <c r="D1188" t="s">
        <v>8306</v>
      </c>
      <c r="E1188" t="s">
        <v>8468</v>
      </c>
      <c r="F1188" t="s">
        <v>137</v>
      </c>
      <c r="G1188">
        <v>206</v>
      </c>
      <c r="H1188">
        <v>200</v>
      </c>
      <c r="I1188" s="5" t="s">
        <v>8469</v>
      </c>
      <c r="J1188" s="5" t="s">
        <v>8470</v>
      </c>
      <c r="K1188" s="5" t="str">
        <f t="shared" si="36"/>
        <v>https://www.google.com/maps?q=-11.344108, -41.643833</v>
      </c>
      <c r="L1188" s="5" t="str">
        <f t="shared" si="37"/>
        <v>Abrir no Maps</v>
      </c>
      <c r="M1188" t="s">
        <v>8471</v>
      </c>
      <c r="N1188" s="5"/>
      <c r="O1188" t="str">
        <f>VLOOKUP(G1188,'[1]CONFIG.'!$B:$C,2,0)</f>
        <v>ROBERTO</v>
      </c>
      <c r="P1188" t="str">
        <f>VLOOKUP(O1188,'[1]CONFIG.'!$C:$D,2,0)</f>
        <v>74 99551147</v>
      </c>
    </row>
    <row r="1189" spans="1:16" x14ac:dyDescent="0.3">
      <c r="A1189" t="s">
        <v>8472</v>
      </c>
      <c r="B1189" t="s">
        <v>8473</v>
      </c>
      <c r="C1189" t="s">
        <v>8474</v>
      </c>
      <c r="D1189" t="s">
        <v>8306</v>
      </c>
      <c r="E1189" t="s">
        <v>8475</v>
      </c>
      <c r="F1189" t="s">
        <v>137</v>
      </c>
      <c r="G1189">
        <v>206</v>
      </c>
      <c r="H1189">
        <v>200</v>
      </c>
      <c r="I1189" s="5" t="s">
        <v>8476</v>
      </c>
      <c r="J1189" s="5" t="s">
        <v>8477</v>
      </c>
      <c r="K1189" s="5" t="str">
        <f t="shared" si="36"/>
        <v>https://www.google.com/maps?q=-11.348200, -41.662716</v>
      </c>
      <c r="L1189" s="5" t="str">
        <f t="shared" si="37"/>
        <v>Abrir no Maps</v>
      </c>
      <c r="M1189" t="s">
        <v>8478</v>
      </c>
      <c r="N1189" s="5"/>
      <c r="O1189" t="str">
        <f>VLOOKUP(G1189,'[1]CONFIG.'!$B:$C,2,0)</f>
        <v>ROBERTO</v>
      </c>
      <c r="P1189" t="str">
        <f>VLOOKUP(O1189,'[1]CONFIG.'!$C:$D,2,0)</f>
        <v>74 99551147</v>
      </c>
    </row>
    <row r="1190" spans="1:16" x14ac:dyDescent="0.3">
      <c r="A1190" t="s">
        <v>8479</v>
      </c>
      <c r="B1190" t="s">
        <v>8480</v>
      </c>
      <c r="C1190" t="s">
        <v>8481</v>
      </c>
      <c r="D1190" t="s">
        <v>8306</v>
      </c>
      <c r="E1190" t="s">
        <v>8482</v>
      </c>
      <c r="F1190" t="s">
        <v>8483</v>
      </c>
      <c r="G1190">
        <v>203</v>
      </c>
      <c r="H1190">
        <v>200</v>
      </c>
      <c r="I1190" s="5" t="s">
        <v>8484</v>
      </c>
      <c r="J1190" s="5" t="s">
        <v>8485</v>
      </c>
      <c r="K1190" s="5" t="str">
        <f t="shared" si="36"/>
        <v>https://www.google.com/maps?q=-11.392250, -41.698227</v>
      </c>
      <c r="L1190" s="5" t="str">
        <f t="shared" si="37"/>
        <v>Abrir no Maps</v>
      </c>
      <c r="M1190" t="s">
        <v>8486</v>
      </c>
      <c r="N1190" s="5"/>
      <c r="O1190" t="str">
        <f>VLOOKUP(G1190,'[1]CONFIG.'!$B:$C,2,0)</f>
        <v>ALEXANDRE</v>
      </c>
      <c r="P1190" t="str">
        <f>VLOOKUP(O1190,'[1]CONFIG.'!$C:$D,2,0)</f>
        <v>74 99653478</v>
      </c>
    </row>
    <row r="1191" spans="1:16" x14ac:dyDescent="0.3">
      <c r="A1191" t="s">
        <v>8487</v>
      </c>
      <c r="B1191" t="s">
        <v>8488</v>
      </c>
      <c r="C1191" t="s">
        <v>8489</v>
      </c>
      <c r="D1191" t="s">
        <v>8306</v>
      </c>
      <c r="E1191" t="s">
        <v>8490</v>
      </c>
      <c r="F1191" t="s">
        <v>137</v>
      </c>
      <c r="G1191">
        <v>206</v>
      </c>
      <c r="H1191">
        <v>200</v>
      </c>
      <c r="I1191" s="5" t="s">
        <v>8491</v>
      </c>
      <c r="J1191" s="5" t="s">
        <v>8492</v>
      </c>
      <c r="K1191" s="5" t="str">
        <f t="shared" si="36"/>
        <v>https://www.google.com/maps?q=-11.341974, -41.666294</v>
      </c>
      <c r="L1191" s="5" t="str">
        <f t="shared" si="37"/>
        <v>Abrir no Maps</v>
      </c>
      <c r="M1191" t="s">
        <v>8493</v>
      </c>
      <c r="N1191" s="5"/>
      <c r="O1191" t="str">
        <f>VLOOKUP(G1191,'[1]CONFIG.'!$B:$C,2,0)</f>
        <v>ROBERTO</v>
      </c>
      <c r="P1191" t="str">
        <f>VLOOKUP(O1191,'[1]CONFIG.'!$C:$D,2,0)</f>
        <v>74 99551147</v>
      </c>
    </row>
    <row r="1192" spans="1:16" x14ac:dyDescent="0.3">
      <c r="A1192" t="s">
        <v>8494</v>
      </c>
      <c r="B1192" t="s">
        <v>8495</v>
      </c>
      <c r="C1192" t="s">
        <v>8496</v>
      </c>
      <c r="D1192" t="s">
        <v>8306</v>
      </c>
      <c r="E1192" t="s">
        <v>8497</v>
      </c>
      <c r="F1192" t="s">
        <v>674</v>
      </c>
      <c r="G1192">
        <v>206</v>
      </c>
      <c r="H1192">
        <v>200</v>
      </c>
      <c r="I1192" s="5" t="s">
        <v>8498</v>
      </c>
      <c r="J1192" s="5" t="s">
        <v>8499</v>
      </c>
      <c r="K1192" s="5" t="str">
        <f t="shared" si="36"/>
        <v>https://www.google.com/maps?q=-11.340673, -41.744534</v>
      </c>
      <c r="L1192" s="5" t="str">
        <f t="shared" si="37"/>
        <v>Abrir no Maps</v>
      </c>
      <c r="M1192" t="s">
        <v>8500</v>
      </c>
      <c r="N1192" s="5"/>
      <c r="O1192" t="str">
        <f>VLOOKUP(G1192,'[1]CONFIG.'!$B:$C,2,0)</f>
        <v>ROBERTO</v>
      </c>
      <c r="P1192" t="str">
        <f>VLOOKUP(O1192,'[1]CONFIG.'!$C:$D,2,0)</f>
        <v>74 99551147</v>
      </c>
    </row>
    <row r="1193" spans="1:16" x14ac:dyDescent="0.3">
      <c r="A1193" t="s">
        <v>8501</v>
      </c>
      <c r="B1193" t="s">
        <v>8502</v>
      </c>
      <c r="C1193" t="s">
        <v>8503</v>
      </c>
      <c r="D1193" t="s">
        <v>8306</v>
      </c>
      <c r="E1193" t="s">
        <v>8504</v>
      </c>
      <c r="F1193" t="s">
        <v>137</v>
      </c>
      <c r="G1193">
        <v>206</v>
      </c>
      <c r="H1193">
        <v>200</v>
      </c>
      <c r="I1193" s="5" t="s">
        <v>8505</v>
      </c>
      <c r="J1193" s="5" t="s">
        <v>8506</v>
      </c>
      <c r="K1193" s="5" t="str">
        <f t="shared" si="36"/>
        <v>https://www.google.com/maps?q=-11.346058, -41.663265</v>
      </c>
      <c r="L1193" s="5" t="str">
        <f t="shared" si="37"/>
        <v>Abrir no Maps</v>
      </c>
      <c r="M1193" t="s">
        <v>8507</v>
      </c>
      <c r="N1193" s="5"/>
      <c r="O1193" t="str">
        <f>VLOOKUP(G1193,'[1]CONFIG.'!$B:$C,2,0)</f>
        <v>ROBERTO</v>
      </c>
      <c r="P1193" t="str">
        <f>VLOOKUP(O1193,'[1]CONFIG.'!$C:$D,2,0)</f>
        <v>74 99551147</v>
      </c>
    </row>
    <row r="1194" spans="1:16" x14ac:dyDescent="0.3">
      <c r="A1194" t="s">
        <v>8508</v>
      </c>
      <c r="B1194" t="s">
        <v>8509</v>
      </c>
      <c r="C1194" t="s">
        <v>8510</v>
      </c>
      <c r="D1194" t="s">
        <v>8306</v>
      </c>
      <c r="E1194" t="s">
        <v>8511</v>
      </c>
      <c r="F1194" t="s">
        <v>8512</v>
      </c>
      <c r="G1194">
        <v>206</v>
      </c>
      <c r="H1194">
        <v>200</v>
      </c>
      <c r="I1194" s="5" t="s">
        <v>8513</v>
      </c>
      <c r="J1194" s="5" t="s">
        <v>8514</v>
      </c>
      <c r="K1194" s="5" t="str">
        <f t="shared" si="36"/>
        <v>https://www.google.com/maps?q=-11.173889, -41.428055</v>
      </c>
      <c r="L1194" s="5" t="str">
        <f t="shared" si="37"/>
        <v>Abrir no Maps</v>
      </c>
      <c r="M1194" t="s">
        <v>8515</v>
      </c>
      <c r="N1194" s="5"/>
      <c r="O1194" t="str">
        <f>VLOOKUP(G1194,'[1]CONFIG.'!$B:$C,2,0)</f>
        <v>ROBERTO</v>
      </c>
      <c r="P1194" t="str">
        <f>VLOOKUP(O1194,'[1]CONFIG.'!$C:$D,2,0)</f>
        <v>74 99551147</v>
      </c>
    </row>
    <row r="1195" spans="1:16" x14ac:dyDescent="0.3">
      <c r="A1195" t="s">
        <v>8516</v>
      </c>
      <c r="B1195" t="s">
        <v>8517</v>
      </c>
      <c r="C1195" t="s">
        <v>8518</v>
      </c>
      <c r="D1195" t="s">
        <v>8306</v>
      </c>
      <c r="E1195" t="s">
        <v>8519</v>
      </c>
      <c r="F1195" t="s">
        <v>137</v>
      </c>
      <c r="G1195">
        <v>206</v>
      </c>
      <c r="H1195">
        <v>200</v>
      </c>
      <c r="I1195" s="5" t="s">
        <v>8520</v>
      </c>
      <c r="J1195" s="5" t="s">
        <v>8521</v>
      </c>
      <c r="K1195" s="5" t="str">
        <f t="shared" si="36"/>
        <v>https://www.google.com/maps?q=-11.348085, -41.662724</v>
      </c>
      <c r="L1195" s="5" t="str">
        <f t="shared" si="37"/>
        <v>Abrir no Maps</v>
      </c>
      <c r="M1195" t="s">
        <v>8522</v>
      </c>
      <c r="N1195" s="5"/>
      <c r="O1195" t="str">
        <f>VLOOKUP(G1195,'[1]CONFIG.'!$B:$C,2,0)</f>
        <v>ROBERTO</v>
      </c>
      <c r="P1195" t="str">
        <f>VLOOKUP(O1195,'[1]CONFIG.'!$C:$D,2,0)</f>
        <v>74 99551147</v>
      </c>
    </row>
    <row r="1196" spans="1:16" x14ac:dyDescent="0.3">
      <c r="A1196" t="s">
        <v>8523</v>
      </c>
      <c r="B1196" t="s">
        <v>8524</v>
      </c>
      <c r="C1196" t="s">
        <v>8525</v>
      </c>
      <c r="D1196" t="s">
        <v>8306</v>
      </c>
      <c r="E1196" t="s">
        <v>8526</v>
      </c>
      <c r="F1196" t="s">
        <v>137</v>
      </c>
      <c r="G1196">
        <v>206</v>
      </c>
      <c r="H1196">
        <v>200</v>
      </c>
      <c r="I1196" s="5" t="s">
        <v>8527</v>
      </c>
      <c r="J1196" s="5" t="s">
        <v>8528</v>
      </c>
      <c r="K1196" s="5" t="str">
        <f t="shared" si="36"/>
        <v>https://www.google.com/maps?q=-11.348237, -41.662500</v>
      </c>
      <c r="L1196" s="5" t="str">
        <f t="shared" si="37"/>
        <v>Abrir no Maps</v>
      </c>
      <c r="M1196" t="s">
        <v>8529</v>
      </c>
      <c r="N1196" s="5"/>
      <c r="O1196" t="str">
        <f>VLOOKUP(G1196,'[1]CONFIG.'!$B:$C,2,0)</f>
        <v>ROBERTO</v>
      </c>
      <c r="P1196" t="str">
        <f>VLOOKUP(O1196,'[1]CONFIG.'!$C:$D,2,0)</f>
        <v>74 99551147</v>
      </c>
    </row>
    <row r="1197" spans="1:16" x14ac:dyDescent="0.3">
      <c r="A1197" t="s">
        <v>8530</v>
      </c>
      <c r="B1197" t="s">
        <v>8531</v>
      </c>
      <c r="C1197" t="s">
        <v>8532</v>
      </c>
      <c r="D1197" t="s">
        <v>8306</v>
      </c>
      <c r="E1197" t="s">
        <v>8533</v>
      </c>
      <c r="F1197" t="s">
        <v>8534</v>
      </c>
      <c r="G1197">
        <v>206</v>
      </c>
      <c r="H1197">
        <v>200</v>
      </c>
      <c r="I1197" s="5" t="s">
        <v>8535</v>
      </c>
      <c r="J1197" s="5" t="s">
        <v>8536</v>
      </c>
      <c r="K1197" s="5" t="str">
        <f t="shared" si="36"/>
        <v>https://www.google.com/maps?q=-11.173908, -41.428830</v>
      </c>
      <c r="L1197" s="5" t="str">
        <f t="shared" si="37"/>
        <v>Abrir no Maps</v>
      </c>
      <c r="M1197" t="s">
        <v>8537</v>
      </c>
      <c r="N1197" s="5"/>
      <c r="O1197" t="str">
        <f>VLOOKUP(G1197,'[1]CONFIG.'!$B:$C,2,0)</f>
        <v>ROBERTO</v>
      </c>
      <c r="P1197" t="str">
        <f>VLOOKUP(O1197,'[1]CONFIG.'!$C:$D,2,0)</f>
        <v>74 99551147</v>
      </c>
    </row>
    <row r="1198" spans="1:16" x14ac:dyDescent="0.3">
      <c r="A1198" t="s">
        <v>8538</v>
      </c>
      <c r="B1198" t="s">
        <v>8539</v>
      </c>
      <c r="C1198" t="s">
        <v>8540</v>
      </c>
      <c r="D1198" t="s">
        <v>8306</v>
      </c>
      <c r="E1198" t="s">
        <v>8541</v>
      </c>
      <c r="F1198" t="s">
        <v>6914</v>
      </c>
      <c r="G1198">
        <v>206</v>
      </c>
      <c r="H1198">
        <v>200</v>
      </c>
      <c r="I1198" s="5" t="s">
        <v>8542</v>
      </c>
      <c r="J1198" s="5" t="s">
        <v>8543</v>
      </c>
      <c r="K1198" s="5" t="str">
        <f t="shared" si="36"/>
        <v>https://www.google.com/maps?q=-11.347555, -41.655827</v>
      </c>
      <c r="L1198" s="5" t="str">
        <f t="shared" si="37"/>
        <v>Abrir no Maps</v>
      </c>
      <c r="M1198" t="s">
        <v>8544</v>
      </c>
      <c r="N1198" s="5"/>
      <c r="O1198" t="str">
        <f>VLOOKUP(G1198,'[1]CONFIG.'!$B:$C,2,0)</f>
        <v>ROBERTO</v>
      </c>
      <c r="P1198" t="str">
        <f>VLOOKUP(O1198,'[1]CONFIG.'!$C:$D,2,0)</f>
        <v>74 99551147</v>
      </c>
    </row>
    <row r="1199" spans="1:16" x14ac:dyDescent="0.3">
      <c r="A1199" t="s">
        <v>8545</v>
      </c>
      <c r="B1199" t="s">
        <v>8546</v>
      </c>
      <c r="C1199" t="s">
        <v>8547</v>
      </c>
      <c r="D1199" t="s">
        <v>8306</v>
      </c>
      <c r="E1199" t="s">
        <v>8548</v>
      </c>
      <c r="F1199" t="s">
        <v>137</v>
      </c>
      <c r="G1199">
        <v>206</v>
      </c>
      <c r="H1199">
        <v>200</v>
      </c>
      <c r="I1199" s="5" t="s">
        <v>8549</v>
      </c>
      <c r="J1199" s="5" t="s">
        <v>8550</v>
      </c>
      <c r="K1199" s="5" t="str">
        <f t="shared" si="36"/>
        <v>https://www.google.com/maps?q=-11.343892, -41.657734</v>
      </c>
      <c r="L1199" s="5" t="str">
        <f t="shared" si="37"/>
        <v>Abrir no Maps</v>
      </c>
      <c r="M1199" t="s">
        <v>8551</v>
      </c>
      <c r="N1199" s="5"/>
      <c r="O1199" t="str">
        <f>VLOOKUP(G1199,'[1]CONFIG.'!$B:$C,2,0)</f>
        <v>ROBERTO</v>
      </c>
      <c r="P1199" t="str">
        <f>VLOOKUP(O1199,'[1]CONFIG.'!$C:$D,2,0)</f>
        <v>74 99551147</v>
      </c>
    </row>
    <row r="1200" spans="1:16" x14ac:dyDescent="0.3">
      <c r="A1200" t="s">
        <v>8552</v>
      </c>
      <c r="B1200" t="s">
        <v>8553</v>
      </c>
      <c r="C1200" t="s">
        <v>8554</v>
      </c>
      <c r="D1200" t="s">
        <v>8306</v>
      </c>
      <c r="E1200" t="s">
        <v>8555</v>
      </c>
      <c r="F1200" t="s">
        <v>137</v>
      </c>
      <c r="G1200">
        <v>206</v>
      </c>
      <c r="H1200">
        <v>200</v>
      </c>
      <c r="I1200" s="5" t="s">
        <v>8556</v>
      </c>
      <c r="J1200" s="5" t="s">
        <v>8557</v>
      </c>
      <c r="K1200" s="5" t="str">
        <f t="shared" si="36"/>
        <v>https://www.google.com/maps?q=-11.351911, -41.664852</v>
      </c>
      <c r="L1200" s="5" t="str">
        <f t="shared" si="37"/>
        <v>Abrir no Maps</v>
      </c>
      <c r="M1200" t="s">
        <v>8558</v>
      </c>
      <c r="N1200" s="5"/>
      <c r="O1200" t="str">
        <f>VLOOKUP(G1200,'[1]CONFIG.'!$B:$C,2,0)</f>
        <v>ROBERTO</v>
      </c>
      <c r="P1200" t="str">
        <f>VLOOKUP(O1200,'[1]CONFIG.'!$C:$D,2,0)</f>
        <v>74 99551147</v>
      </c>
    </row>
    <row r="1201" spans="1:16" x14ac:dyDescent="0.3">
      <c r="A1201" t="s">
        <v>8559</v>
      </c>
      <c r="B1201" t="s">
        <v>8560</v>
      </c>
      <c r="C1201" t="s">
        <v>8561</v>
      </c>
      <c r="D1201" t="s">
        <v>8306</v>
      </c>
      <c r="E1201" t="s">
        <v>8562</v>
      </c>
      <c r="F1201" t="s">
        <v>8563</v>
      </c>
      <c r="G1201">
        <v>206</v>
      </c>
      <c r="H1201">
        <v>200</v>
      </c>
      <c r="I1201" s="5" t="s">
        <v>8564</v>
      </c>
      <c r="J1201" s="5" t="s">
        <v>8565</v>
      </c>
      <c r="K1201" s="5" t="str">
        <f t="shared" si="36"/>
        <v>https://www.google.com/maps?q=-11.340544, -41.667908</v>
      </c>
      <c r="L1201" s="5" t="str">
        <f t="shared" si="37"/>
        <v>Abrir no Maps</v>
      </c>
      <c r="M1201" t="s">
        <v>8566</v>
      </c>
      <c r="N1201" s="5"/>
      <c r="O1201" t="str">
        <f>VLOOKUP(G1201,'[1]CONFIG.'!$B:$C,2,0)</f>
        <v>ROBERTO</v>
      </c>
      <c r="P1201" t="str">
        <f>VLOOKUP(O1201,'[1]CONFIG.'!$C:$D,2,0)</f>
        <v>74 99551147</v>
      </c>
    </row>
    <row r="1202" spans="1:16" x14ac:dyDescent="0.3">
      <c r="A1202" t="s">
        <v>8567</v>
      </c>
      <c r="B1202" t="s">
        <v>8568</v>
      </c>
      <c r="C1202" t="s">
        <v>8569</v>
      </c>
      <c r="D1202" t="s">
        <v>8306</v>
      </c>
      <c r="E1202" t="s">
        <v>8570</v>
      </c>
      <c r="F1202" t="s">
        <v>137</v>
      </c>
      <c r="G1202">
        <v>206</v>
      </c>
      <c r="H1202">
        <v>200</v>
      </c>
      <c r="I1202" s="5" t="s">
        <v>8571</v>
      </c>
      <c r="J1202" s="5" t="s">
        <v>8572</v>
      </c>
      <c r="K1202" s="5" t="str">
        <f t="shared" si="36"/>
        <v>https://www.google.com/maps?q=-11.346786, -41.651390</v>
      </c>
      <c r="L1202" s="5" t="str">
        <f t="shared" si="37"/>
        <v>Abrir no Maps</v>
      </c>
      <c r="M1202" t="s">
        <v>8573</v>
      </c>
      <c r="N1202" s="5"/>
      <c r="O1202" t="str">
        <f>VLOOKUP(G1202,'[1]CONFIG.'!$B:$C,2,0)</f>
        <v>ROBERTO</v>
      </c>
      <c r="P1202" t="str">
        <f>VLOOKUP(O1202,'[1]CONFIG.'!$C:$D,2,0)</f>
        <v>74 99551147</v>
      </c>
    </row>
    <row r="1203" spans="1:16" x14ac:dyDescent="0.3">
      <c r="A1203" t="s">
        <v>8574</v>
      </c>
      <c r="B1203" t="s">
        <v>8575</v>
      </c>
      <c r="C1203" t="s">
        <v>8576</v>
      </c>
      <c r="D1203" t="s">
        <v>8306</v>
      </c>
      <c r="E1203" t="s">
        <v>8577</v>
      </c>
      <c r="F1203" t="s">
        <v>137</v>
      </c>
      <c r="G1203">
        <v>203</v>
      </c>
      <c r="H1203">
        <v>200</v>
      </c>
      <c r="I1203" s="5" t="s">
        <v>8578</v>
      </c>
      <c r="J1203" s="5" t="s">
        <v>8579</v>
      </c>
      <c r="K1203" s="5" t="str">
        <f t="shared" si="36"/>
        <v>https://www.google.com/maps?q=-11.350237, -41.661470</v>
      </c>
      <c r="L1203" s="5" t="str">
        <f t="shared" si="37"/>
        <v>Abrir no Maps</v>
      </c>
      <c r="M1203" t="s">
        <v>8580</v>
      </c>
      <c r="N1203" s="5"/>
      <c r="O1203" t="str">
        <f>VLOOKUP(G1203,'[1]CONFIG.'!$B:$C,2,0)</f>
        <v>ALEXANDRE</v>
      </c>
      <c r="P1203" t="str">
        <f>VLOOKUP(O1203,'[1]CONFIG.'!$C:$D,2,0)</f>
        <v>74 99653478</v>
      </c>
    </row>
    <row r="1204" spans="1:16" x14ac:dyDescent="0.3">
      <c r="A1204" t="s">
        <v>8581</v>
      </c>
      <c r="B1204" t="s">
        <v>8582</v>
      </c>
      <c r="C1204" t="s">
        <v>8583</v>
      </c>
      <c r="D1204" t="s">
        <v>8306</v>
      </c>
      <c r="E1204" t="s">
        <v>8584</v>
      </c>
      <c r="F1204" t="s">
        <v>137</v>
      </c>
      <c r="G1204">
        <v>206</v>
      </c>
      <c r="H1204">
        <v>200</v>
      </c>
      <c r="I1204" s="5" t="s">
        <v>8585</v>
      </c>
      <c r="J1204" s="5" t="s">
        <v>8586</v>
      </c>
      <c r="K1204" s="5" t="str">
        <f t="shared" si="36"/>
        <v>https://www.google.com/maps?q=-11.346802, -41.658413</v>
      </c>
      <c r="L1204" s="5" t="str">
        <f t="shared" si="37"/>
        <v>Abrir no Maps</v>
      </c>
      <c r="M1204" t="s">
        <v>8587</v>
      </c>
      <c r="N1204" s="5"/>
      <c r="O1204" t="str">
        <f>VLOOKUP(G1204,'[1]CONFIG.'!$B:$C,2,0)</f>
        <v>ROBERTO</v>
      </c>
      <c r="P1204" t="str">
        <f>VLOOKUP(O1204,'[1]CONFIG.'!$C:$D,2,0)</f>
        <v>74 99551147</v>
      </c>
    </row>
    <row r="1205" spans="1:16" x14ac:dyDescent="0.3">
      <c r="A1205" t="s">
        <v>8588</v>
      </c>
      <c r="B1205" t="s">
        <v>8589</v>
      </c>
      <c r="C1205" t="s">
        <v>8590</v>
      </c>
      <c r="D1205" t="s">
        <v>8306</v>
      </c>
      <c r="E1205" t="s">
        <v>8591</v>
      </c>
      <c r="F1205" t="s">
        <v>137</v>
      </c>
      <c r="G1205">
        <v>203</v>
      </c>
      <c r="H1205">
        <v>200</v>
      </c>
      <c r="I1205" s="5" t="s">
        <v>8592</v>
      </c>
      <c r="J1205" s="5" t="s">
        <v>8593</v>
      </c>
      <c r="K1205" s="5" t="str">
        <f t="shared" si="36"/>
        <v>https://www.google.com/maps?q=-11.349421, -41.659405</v>
      </c>
      <c r="L1205" s="5" t="str">
        <f t="shared" si="37"/>
        <v>Abrir no Maps</v>
      </c>
      <c r="M1205" t="s">
        <v>8594</v>
      </c>
      <c r="N1205" s="5"/>
      <c r="O1205" t="str">
        <f>VLOOKUP(G1205,'[1]CONFIG.'!$B:$C,2,0)</f>
        <v>ALEXANDRE</v>
      </c>
      <c r="P1205" t="str">
        <f>VLOOKUP(O1205,'[1]CONFIG.'!$C:$D,2,0)</f>
        <v>74 99653478</v>
      </c>
    </row>
    <row r="1206" spans="1:16" x14ac:dyDescent="0.3">
      <c r="A1206" t="s">
        <v>8595</v>
      </c>
      <c r="B1206" t="s">
        <v>8596</v>
      </c>
      <c r="C1206" t="s">
        <v>8597</v>
      </c>
      <c r="D1206" t="s">
        <v>8306</v>
      </c>
      <c r="E1206" t="s">
        <v>8598</v>
      </c>
      <c r="F1206" t="s">
        <v>137</v>
      </c>
      <c r="G1206">
        <v>206</v>
      </c>
      <c r="H1206">
        <v>200</v>
      </c>
      <c r="I1206" s="5" t="s">
        <v>8599</v>
      </c>
      <c r="J1206" s="5" t="s">
        <v>8600</v>
      </c>
      <c r="K1206" s="5" t="str">
        <f t="shared" si="36"/>
        <v>https://www.google.com/maps?q=-11.183816, -41.425262</v>
      </c>
      <c r="L1206" s="5" t="str">
        <f t="shared" si="37"/>
        <v>Abrir no Maps</v>
      </c>
      <c r="M1206" t="s">
        <v>8601</v>
      </c>
      <c r="N1206" s="5"/>
      <c r="O1206" t="str">
        <f>VLOOKUP(G1206,'[1]CONFIG.'!$B:$C,2,0)</f>
        <v>ROBERTO</v>
      </c>
      <c r="P1206" t="str">
        <f>VLOOKUP(O1206,'[1]CONFIG.'!$C:$D,2,0)</f>
        <v>74 99551147</v>
      </c>
    </row>
    <row r="1207" spans="1:16" x14ac:dyDescent="0.3">
      <c r="A1207" t="s">
        <v>8602</v>
      </c>
      <c r="B1207" t="s">
        <v>8603</v>
      </c>
      <c r="C1207" t="s">
        <v>8604</v>
      </c>
      <c r="D1207" t="s">
        <v>8306</v>
      </c>
      <c r="E1207" t="s">
        <v>8605</v>
      </c>
      <c r="F1207" t="s">
        <v>137</v>
      </c>
      <c r="G1207">
        <v>206</v>
      </c>
      <c r="H1207">
        <v>200</v>
      </c>
      <c r="I1207" s="5" t="s">
        <v>8606</v>
      </c>
      <c r="J1207" s="5" t="s">
        <v>8607</v>
      </c>
      <c r="K1207" s="5" t="str">
        <f t="shared" si="36"/>
        <v>https://www.google.com/maps?q=-11.342696, -41.656807</v>
      </c>
      <c r="L1207" s="5" t="str">
        <f t="shared" si="37"/>
        <v>Abrir no Maps</v>
      </c>
      <c r="M1207" t="s">
        <v>8608</v>
      </c>
      <c r="N1207" s="5"/>
      <c r="O1207" t="str">
        <f>VLOOKUP(G1207,'[1]CONFIG.'!$B:$C,2,0)</f>
        <v>ROBERTO</v>
      </c>
      <c r="P1207" t="str">
        <f>VLOOKUP(O1207,'[1]CONFIG.'!$C:$D,2,0)</f>
        <v>74 99551147</v>
      </c>
    </row>
    <row r="1208" spans="1:16" x14ac:dyDescent="0.3">
      <c r="A1208" t="s">
        <v>8609</v>
      </c>
      <c r="B1208" t="s">
        <v>8610</v>
      </c>
      <c r="C1208" t="s">
        <v>8611</v>
      </c>
      <c r="D1208" t="s">
        <v>8306</v>
      </c>
      <c r="E1208" t="s">
        <v>8612</v>
      </c>
      <c r="F1208" t="s">
        <v>137</v>
      </c>
      <c r="G1208">
        <v>206</v>
      </c>
      <c r="H1208">
        <v>200</v>
      </c>
      <c r="I1208" s="5" t="s">
        <v>8613</v>
      </c>
      <c r="J1208" s="5" t="s">
        <v>8614</v>
      </c>
      <c r="K1208" s="5" t="str">
        <f t="shared" si="36"/>
        <v>https://www.google.com/maps?q=-11.347627, -41.660160</v>
      </c>
      <c r="L1208" s="5" t="str">
        <f t="shared" si="37"/>
        <v>Abrir no Maps</v>
      </c>
      <c r="M1208" t="s">
        <v>8615</v>
      </c>
      <c r="N1208" s="5"/>
      <c r="O1208" t="str">
        <f>VLOOKUP(G1208,'[1]CONFIG.'!$B:$C,2,0)</f>
        <v>ROBERTO</v>
      </c>
      <c r="P1208" t="str">
        <f>VLOOKUP(O1208,'[1]CONFIG.'!$C:$D,2,0)</f>
        <v>74 99551147</v>
      </c>
    </row>
    <row r="1209" spans="1:16" x14ac:dyDescent="0.3">
      <c r="A1209" t="s">
        <v>8616</v>
      </c>
      <c r="B1209" t="s">
        <v>8617</v>
      </c>
      <c r="C1209" t="s">
        <v>8618</v>
      </c>
      <c r="D1209" t="s">
        <v>8306</v>
      </c>
      <c r="E1209" t="s">
        <v>8619</v>
      </c>
      <c r="F1209" t="s">
        <v>8620</v>
      </c>
      <c r="G1209">
        <v>206</v>
      </c>
      <c r="H1209">
        <v>200</v>
      </c>
      <c r="I1209" s="5" t="s">
        <v>8621</v>
      </c>
      <c r="J1209" s="5" t="s">
        <v>8622</v>
      </c>
      <c r="K1209" s="5" t="str">
        <f t="shared" si="36"/>
        <v>https://www.google.com/maps?q=-11.356015, -41.601970</v>
      </c>
      <c r="L1209" s="5" t="str">
        <f t="shared" si="37"/>
        <v>Abrir no Maps</v>
      </c>
      <c r="M1209" t="s">
        <v>8623</v>
      </c>
      <c r="N1209" s="5"/>
      <c r="O1209" t="str">
        <f>VLOOKUP(G1209,'[1]CONFIG.'!$B:$C,2,0)</f>
        <v>ROBERTO</v>
      </c>
      <c r="P1209" t="str">
        <f>VLOOKUP(O1209,'[1]CONFIG.'!$C:$D,2,0)</f>
        <v>74 99551147</v>
      </c>
    </row>
    <row r="1210" spans="1:16" x14ac:dyDescent="0.3">
      <c r="A1210" t="s">
        <v>8624</v>
      </c>
      <c r="B1210" t="s">
        <v>8625</v>
      </c>
      <c r="C1210" t="s">
        <v>8626</v>
      </c>
      <c r="D1210" t="s">
        <v>8306</v>
      </c>
      <c r="E1210" t="s">
        <v>8627</v>
      </c>
      <c r="F1210" t="s">
        <v>8628</v>
      </c>
      <c r="G1210">
        <v>206</v>
      </c>
      <c r="H1210">
        <v>200</v>
      </c>
      <c r="I1210" s="5" t="s">
        <v>8629</v>
      </c>
      <c r="J1210" s="5" t="s">
        <v>8630</v>
      </c>
      <c r="K1210" s="5" t="str">
        <f t="shared" si="36"/>
        <v>https://www.google.com/maps?q=-11.347213, -41.646250</v>
      </c>
      <c r="L1210" s="5" t="str">
        <f t="shared" si="37"/>
        <v>Abrir no Maps</v>
      </c>
      <c r="M1210" t="s">
        <v>8631</v>
      </c>
      <c r="N1210" s="5"/>
      <c r="O1210" t="str">
        <f>VLOOKUP(G1210,'[1]CONFIG.'!$B:$C,2,0)</f>
        <v>ROBERTO</v>
      </c>
      <c r="P1210" t="str">
        <f>VLOOKUP(O1210,'[1]CONFIG.'!$C:$D,2,0)</f>
        <v>74 99551147</v>
      </c>
    </row>
    <row r="1211" spans="1:16" x14ac:dyDescent="0.3">
      <c r="A1211" t="s">
        <v>8632</v>
      </c>
      <c r="B1211" t="s">
        <v>8633</v>
      </c>
      <c r="C1211" t="s">
        <v>8634</v>
      </c>
      <c r="D1211" t="s">
        <v>8306</v>
      </c>
      <c r="E1211" t="s">
        <v>8635</v>
      </c>
      <c r="F1211" t="s">
        <v>137</v>
      </c>
      <c r="G1211">
        <v>206</v>
      </c>
      <c r="H1211">
        <v>200</v>
      </c>
      <c r="I1211" s="5" t="s">
        <v>8636</v>
      </c>
      <c r="J1211" s="5" t="s">
        <v>8637</v>
      </c>
      <c r="K1211" s="5" t="str">
        <f t="shared" si="36"/>
        <v>https://www.google.com/maps?q=-11.339748, -41.668530</v>
      </c>
      <c r="L1211" s="5" t="str">
        <f t="shared" si="37"/>
        <v>Abrir no Maps</v>
      </c>
      <c r="M1211" t="s">
        <v>8638</v>
      </c>
      <c r="N1211" s="5"/>
      <c r="O1211" t="str">
        <f>VLOOKUP(G1211,'[1]CONFIG.'!$B:$C,2,0)</f>
        <v>ROBERTO</v>
      </c>
      <c r="P1211" t="str">
        <f>VLOOKUP(O1211,'[1]CONFIG.'!$C:$D,2,0)</f>
        <v>74 99551147</v>
      </c>
    </row>
    <row r="1212" spans="1:16" x14ac:dyDescent="0.3">
      <c r="A1212" t="s">
        <v>8639</v>
      </c>
      <c r="B1212" t="s">
        <v>8640</v>
      </c>
      <c r="C1212" t="s">
        <v>8641</v>
      </c>
      <c r="D1212" t="s">
        <v>8306</v>
      </c>
      <c r="E1212" t="s">
        <v>8642</v>
      </c>
      <c r="F1212" t="s">
        <v>137</v>
      </c>
      <c r="G1212">
        <v>206</v>
      </c>
      <c r="H1212">
        <v>200</v>
      </c>
      <c r="I1212" s="5" t="s">
        <v>8643</v>
      </c>
      <c r="J1212" s="5" t="s">
        <v>8644</v>
      </c>
      <c r="K1212" s="5" t="str">
        <f t="shared" si="36"/>
        <v>https://www.google.com/maps?q=-11.350193, -41.661575</v>
      </c>
      <c r="L1212" s="5" t="str">
        <f t="shared" si="37"/>
        <v>Abrir no Maps</v>
      </c>
      <c r="M1212" t="s">
        <v>8645</v>
      </c>
      <c r="N1212" s="5"/>
      <c r="O1212" t="str">
        <f>VLOOKUP(G1212,'[1]CONFIG.'!$B:$C,2,0)</f>
        <v>ROBERTO</v>
      </c>
      <c r="P1212" t="str">
        <f>VLOOKUP(O1212,'[1]CONFIG.'!$C:$D,2,0)</f>
        <v>74 99551147</v>
      </c>
    </row>
    <row r="1213" spans="1:16" x14ac:dyDescent="0.3">
      <c r="A1213" t="s">
        <v>8646</v>
      </c>
      <c r="B1213" t="s">
        <v>8647</v>
      </c>
      <c r="C1213" t="s">
        <v>8648</v>
      </c>
      <c r="D1213" t="s">
        <v>429</v>
      </c>
      <c r="E1213" t="s">
        <v>8649</v>
      </c>
      <c r="F1213" t="s">
        <v>137</v>
      </c>
      <c r="G1213">
        <v>201</v>
      </c>
      <c r="H1213">
        <v>300</v>
      </c>
      <c r="I1213" s="5" t="s">
        <v>8650</v>
      </c>
      <c r="J1213" s="5" t="s">
        <v>8651</v>
      </c>
      <c r="K1213" s="5" t="str">
        <f t="shared" si="36"/>
        <v>https://www.google.com/maps?q=-11.549292, -41.163570</v>
      </c>
      <c r="L1213" s="5" t="str">
        <f t="shared" si="37"/>
        <v>Abrir no Maps</v>
      </c>
      <c r="M1213" t="s">
        <v>8652</v>
      </c>
      <c r="N1213" s="5"/>
      <c r="O1213" t="str">
        <f>VLOOKUP(G1213,'[1]CONFIG.'!$B:$C,2,0)</f>
        <v>EDSON</v>
      </c>
      <c r="P1213" t="str">
        <f>VLOOKUP(O1213,'[1]CONFIG.'!$C:$D,2,0)</f>
        <v>74 99403278</v>
      </c>
    </row>
    <row r="1214" spans="1:16" x14ac:dyDescent="0.3">
      <c r="A1214" t="s">
        <v>8653</v>
      </c>
      <c r="B1214" t="s">
        <v>8654</v>
      </c>
      <c r="C1214" t="s">
        <v>8655</v>
      </c>
      <c r="D1214" t="s">
        <v>8306</v>
      </c>
      <c r="E1214" t="s">
        <v>8656</v>
      </c>
      <c r="F1214" t="s">
        <v>137</v>
      </c>
      <c r="G1214">
        <v>206</v>
      </c>
      <c r="H1214">
        <v>200</v>
      </c>
      <c r="I1214" s="5" t="s">
        <v>8657</v>
      </c>
      <c r="J1214" s="5" t="s">
        <v>8658</v>
      </c>
      <c r="K1214" s="5" t="str">
        <f t="shared" si="36"/>
        <v>https://www.google.com/maps?q=-11.344149, -41.666576</v>
      </c>
      <c r="L1214" s="5" t="str">
        <f t="shared" si="37"/>
        <v>Abrir no Maps</v>
      </c>
      <c r="M1214" t="s">
        <v>8659</v>
      </c>
      <c r="N1214" s="5"/>
      <c r="O1214" t="str">
        <f>VLOOKUP(G1214,'[1]CONFIG.'!$B:$C,2,0)</f>
        <v>ROBERTO</v>
      </c>
      <c r="P1214" t="str">
        <f>VLOOKUP(O1214,'[1]CONFIG.'!$C:$D,2,0)</f>
        <v>74 99551147</v>
      </c>
    </row>
    <row r="1215" spans="1:16" x14ac:dyDescent="0.3">
      <c r="A1215" t="s">
        <v>8660</v>
      </c>
      <c r="B1215" t="s">
        <v>8661</v>
      </c>
      <c r="C1215" t="s">
        <v>8662</v>
      </c>
      <c r="D1215" t="s">
        <v>8306</v>
      </c>
      <c r="E1215" t="s">
        <v>8663</v>
      </c>
      <c r="F1215" t="s">
        <v>137</v>
      </c>
      <c r="G1215">
        <v>206</v>
      </c>
      <c r="H1215">
        <v>200</v>
      </c>
      <c r="I1215" s="5" t="s">
        <v>8664</v>
      </c>
      <c r="J1215" s="5" t="s">
        <v>8665</v>
      </c>
      <c r="K1215" s="5" t="str">
        <f t="shared" si="36"/>
        <v>https://www.google.com/maps?q=-11.347387, -41.663493</v>
      </c>
      <c r="L1215" s="5" t="str">
        <f t="shared" si="37"/>
        <v>Abrir no Maps</v>
      </c>
      <c r="M1215" t="s">
        <v>8666</v>
      </c>
      <c r="N1215" s="5"/>
      <c r="O1215" t="str">
        <f>VLOOKUP(G1215,'[1]CONFIG.'!$B:$C,2,0)</f>
        <v>ROBERTO</v>
      </c>
      <c r="P1215" t="str">
        <f>VLOOKUP(O1215,'[1]CONFIG.'!$C:$D,2,0)</f>
        <v>74 99551147</v>
      </c>
    </row>
    <row r="1216" spans="1:16" x14ac:dyDescent="0.3">
      <c r="A1216" t="s">
        <v>8667</v>
      </c>
      <c r="B1216" t="s">
        <v>8668</v>
      </c>
      <c r="C1216" t="s">
        <v>8669</v>
      </c>
      <c r="D1216" t="s">
        <v>8306</v>
      </c>
      <c r="E1216" t="s">
        <v>8670</v>
      </c>
      <c r="F1216" t="s">
        <v>137</v>
      </c>
      <c r="G1216">
        <v>206</v>
      </c>
      <c r="H1216">
        <v>200</v>
      </c>
      <c r="I1216" s="5" t="s">
        <v>8671</v>
      </c>
      <c r="J1216" s="5" t="s">
        <v>8672</v>
      </c>
      <c r="K1216" s="5" t="str">
        <f t="shared" si="36"/>
        <v>https://www.google.com/maps?q=-11.345206, -41.666664</v>
      </c>
      <c r="L1216" s="5" t="str">
        <f t="shared" si="37"/>
        <v>Abrir no Maps</v>
      </c>
      <c r="M1216" t="s">
        <v>8673</v>
      </c>
      <c r="N1216" s="5"/>
      <c r="O1216" t="str">
        <f>VLOOKUP(G1216,'[1]CONFIG.'!$B:$C,2,0)</f>
        <v>ROBERTO</v>
      </c>
      <c r="P1216" t="str">
        <f>VLOOKUP(O1216,'[1]CONFIG.'!$C:$D,2,0)</f>
        <v>74 99551147</v>
      </c>
    </row>
    <row r="1217" spans="1:16" x14ac:dyDescent="0.3">
      <c r="A1217" t="s">
        <v>8674</v>
      </c>
      <c r="B1217" t="s">
        <v>8675</v>
      </c>
      <c r="C1217" t="s">
        <v>8676</v>
      </c>
      <c r="D1217" t="s">
        <v>8306</v>
      </c>
      <c r="E1217" t="s">
        <v>8677</v>
      </c>
      <c r="F1217" t="s">
        <v>137</v>
      </c>
      <c r="G1217">
        <v>206</v>
      </c>
      <c r="H1217">
        <v>200</v>
      </c>
      <c r="I1217" s="5" t="s">
        <v>8678</v>
      </c>
      <c r="J1217" s="5" t="s">
        <v>8331</v>
      </c>
      <c r="K1217" s="5" t="str">
        <f t="shared" si="36"/>
        <v>https://www.google.com/maps?q=-11.347665, -41.663116</v>
      </c>
      <c r="L1217" s="5" t="str">
        <f t="shared" si="37"/>
        <v>Abrir no Maps</v>
      </c>
      <c r="M1217" t="s">
        <v>8679</v>
      </c>
      <c r="N1217" s="5"/>
      <c r="O1217" t="str">
        <f>VLOOKUP(G1217,'[1]CONFIG.'!$B:$C,2,0)</f>
        <v>ROBERTO</v>
      </c>
      <c r="P1217" t="str">
        <f>VLOOKUP(O1217,'[1]CONFIG.'!$C:$D,2,0)</f>
        <v>74 99551147</v>
      </c>
    </row>
    <row r="1218" spans="1:16" x14ac:dyDescent="0.3">
      <c r="A1218" t="s">
        <v>8680</v>
      </c>
      <c r="B1218" t="s">
        <v>8681</v>
      </c>
      <c r="C1218" t="s">
        <v>8682</v>
      </c>
      <c r="D1218" t="s">
        <v>8306</v>
      </c>
      <c r="E1218" t="s">
        <v>8683</v>
      </c>
      <c r="F1218" t="s">
        <v>137</v>
      </c>
      <c r="G1218">
        <v>206</v>
      </c>
      <c r="H1218">
        <v>200</v>
      </c>
      <c r="I1218" s="5" t="s">
        <v>8684</v>
      </c>
      <c r="J1218" s="5" t="s">
        <v>8685</v>
      </c>
      <c r="K1218" s="5" t="str">
        <f t="shared" si="36"/>
        <v>https://www.google.com/maps?q=-11.347227, -41.663080</v>
      </c>
      <c r="L1218" s="5" t="str">
        <f t="shared" si="37"/>
        <v>Abrir no Maps</v>
      </c>
      <c r="M1218" t="s">
        <v>8686</v>
      </c>
      <c r="N1218" s="5"/>
      <c r="O1218" t="str">
        <f>VLOOKUP(G1218,'[1]CONFIG.'!$B:$C,2,0)</f>
        <v>ROBERTO</v>
      </c>
      <c r="P1218" t="str">
        <f>VLOOKUP(O1218,'[1]CONFIG.'!$C:$D,2,0)</f>
        <v>74 99551147</v>
      </c>
    </row>
    <row r="1219" spans="1:16" x14ac:dyDescent="0.3">
      <c r="A1219" t="s">
        <v>8687</v>
      </c>
      <c r="B1219" t="s">
        <v>8688</v>
      </c>
      <c r="C1219" t="s">
        <v>8689</v>
      </c>
      <c r="D1219" t="s">
        <v>8306</v>
      </c>
      <c r="E1219" t="s">
        <v>8690</v>
      </c>
      <c r="F1219" t="s">
        <v>4659</v>
      </c>
      <c r="G1219">
        <v>206</v>
      </c>
      <c r="H1219">
        <v>200</v>
      </c>
      <c r="I1219" s="5" t="s">
        <v>8691</v>
      </c>
      <c r="J1219" s="5" t="s">
        <v>8692</v>
      </c>
      <c r="K1219" s="5" t="str">
        <f t="shared" si="36"/>
        <v>https://www.google.com/maps?q=-11.393826, -41.696346</v>
      </c>
      <c r="L1219" s="5" t="str">
        <f t="shared" si="37"/>
        <v>Abrir no Maps</v>
      </c>
      <c r="M1219" t="s">
        <v>8693</v>
      </c>
      <c r="N1219" s="5"/>
      <c r="O1219" t="str">
        <f>VLOOKUP(G1219,'[1]CONFIG.'!$B:$C,2,0)</f>
        <v>ROBERTO</v>
      </c>
      <c r="P1219" t="str">
        <f>VLOOKUP(O1219,'[1]CONFIG.'!$C:$D,2,0)</f>
        <v>74 99551147</v>
      </c>
    </row>
    <row r="1220" spans="1:16" x14ac:dyDescent="0.3">
      <c r="A1220" t="s">
        <v>8694</v>
      </c>
      <c r="B1220" t="s">
        <v>8695</v>
      </c>
      <c r="C1220" t="s">
        <v>8696</v>
      </c>
      <c r="D1220" t="s">
        <v>8306</v>
      </c>
      <c r="E1220" t="s">
        <v>8697</v>
      </c>
      <c r="F1220" t="s">
        <v>137</v>
      </c>
      <c r="G1220">
        <v>206</v>
      </c>
      <c r="H1220">
        <v>200</v>
      </c>
      <c r="I1220" s="5" t="s">
        <v>8698</v>
      </c>
      <c r="J1220" s="5" t="s">
        <v>8699</v>
      </c>
      <c r="K1220" s="5" t="str">
        <f t="shared" ref="K1220:K1283" si="38">"https://www.google.com/maps?q="&amp;""&amp;LEFT(I1220,3)&amp;"."&amp;RIGHT(I1220,6)&amp;", "&amp;LEFT(J1220,3)&amp;"."&amp;RIGHT(J1220,6)</f>
        <v>https://www.google.com/maps?q=-11.342671, -41.663290</v>
      </c>
      <c r="L1220" s="5" t="str">
        <f t="shared" ref="L1220:L1283" si="39">HYPERLINK(K1220,"Abrir no Maps")</f>
        <v>Abrir no Maps</v>
      </c>
      <c r="M1220" t="s">
        <v>8700</v>
      </c>
      <c r="N1220" s="5"/>
      <c r="O1220" t="str">
        <f>VLOOKUP(G1220,'[1]CONFIG.'!$B:$C,2,0)</f>
        <v>ROBERTO</v>
      </c>
      <c r="P1220" t="str">
        <f>VLOOKUP(O1220,'[1]CONFIG.'!$C:$D,2,0)</f>
        <v>74 99551147</v>
      </c>
    </row>
    <row r="1221" spans="1:16" x14ac:dyDescent="0.3">
      <c r="A1221" t="s">
        <v>8701</v>
      </c>
      <c r="B1221" t="s">
        <v>8702</v>
      </c>
      <c r="C1221" t="s">
        <v>8703</v>
      </c>
      <c r="D1221" t="s">
        <v>8306</v>
      </c>
      <c r="E1221" t="s">
        <v>8704</v>
      </c>
      <c r="F1221" t="s">
        <v>137</v>
      </c>
      <c r="G1221">
        <v>206</v>
      </c>
      <c r="H1221">
        <v>200</v>
      </c>
      <c r="I1221" s="5" t="s">
        <v>8705</v>
      </c>
      <c r="J1221" s="5" t="s">
        <v>8706</v>
      </c>
      <c r="K1221" s="5" t="str">
        <f t="shared" si="38"/>
        <v>https://www.google.com/maps?q=-11.347811, -41.645730</v>
      </c>
      <c r="L1221" s="5" t="str">
        <f t="shared" si="39"/>
        <v>Abrir no Maps</v>
      </c>
      <c r="M1221" t="s">
        <v>8707</v>
      </c>
      <c r="N1221" s="5"/>
      <c r="O1221" t="str">
        <f>VLOOKUP(G1221,'[1]CONFIG.'!$B:$C,2,0)</f>
        <v>ROBERTO</v>
      </c>
      <c r="P1221" t="str">
        <f>VLOOKUP(O1221,'[1]CONFIG.'!$C:$D,2,0)</f>
        <v>74 99551147</v>
      </c>
    </row>
    <row r="1222" spans="1:16" x14ac:dyDescent="0.3">
      <c r="A1222" t="s">
        <v>8708</v>
      </c>
      <c r="B1222" t="s">
        <v>8709</v>
      </c>
      <c r="C1222" t="s">
        <v>8710</v>
      </c>
      <c r="D1222" t="s">
        <v>8306</v>
      </c>
      <c r="E1222" t="s">
        <v>8711</v>
      </c>
      <c r="F1222" t="s">
        <v>137</v>
      </c>
      <c r="G1222">
        <v>206</v>
      </c>
      <c r="H1222">
        <v>200</v>
      </c>
      <c r="I1222" s="5" t="s">
        <v>8712</v>
      </c>
      <c r="J1222" s="5" t="s">
        <v>8713</v>
      </c>
      <c r="K1222" s="5" t="str">
        <f t="shared" si="38"/>
        <v>https://www.google.com/maps?q=-11.341332, -41.662926</v>
      </c>
      <c r="L1222" s="5" t="str">
        <f t="shared" si="39"/>
        <v>Abrir no Maps</v>
      </c>
      <c r="M1222" t="s">
        <v>8714</v>
      </c>
      <c r="N1222" s="5"/>
      <c r="O1222" t="str">
        <f>VLOOKUP(G1222,'[1]CONFIG.'!$B:$C,2,0)</f>
        <v>ROBERTO</v>
      </c>
      <c r="P1222" t="str">
        <f>VLOOKUP(O1222,'[1]CONFIG.'!$C:$D,2,0)</f>
        <v>74 99551147</v>
      </c>
    </row>
    <row r="1223" spans="1:16" x14ac:dyDescent="0.3">
      <c r="A1223" t="s">
        <v>8715</v>
      </c>
      <c r="B1223" t="s">
        <v>8716</v>
      </c>
      <c r="C1223" t="s">
        <v>8717</v>
      </c>
      <c r="D1223" t="s">
        <v>8306</v>
      </c>
      <c r="E1223" t="s">
        <v>8718</v>
      </c>
      <c r="F1223" t="s">
        <v>137</v>
      </c>
      <c r="G1223">
        <v>206</v>
      </c>
      <c r="H1223">
        <v>200</v>
      </c>
      <c r="I1223" s="5" t="s">
        <v>8719</v>
      </c>
      <c r="J1223" s="5" t="s">
        <v>8720</v>
      </c>
      <c r="K1223" s="5" t="str">
        <f t="shared" si="38"/>
        <v>https://www.google.com/maps?q=-11.348080, -41.651660</v>
      </c>
      <c r="L1223" s="5" t="str">
        <f t="shared" si="39"/>
        <v>Abrir no Maps</v>
      </c>
      <c r="M1223" t="s">
        <v>8721</v>
      </c>
      <c r="N1223" s="5"/>
      <c r="O1223" t="str">
        <f>VLOOKUP(G1223,'[1]CONFIG.'!$B:$C,2,0)</f>
        <v>ROBERTO</v>
      </c>
      <c r="P1223" t="str">
        <f>VLOOKUP(O1223,'[1]CONFIG.'!$C:$D,2,0)</f>
        <v>74 99551147</v>
      </c>
    </row>
    <row r="1224" spans="1:16" x14ac:dyDescent="0.3">
      <c r="A1224" t="s">
        <v>8722</v>
      </c>
      <c r="B1224" t="s">
        <v>8723</v>
      </c>
      <c r="C1224" t="s">
        <v>8724</v>
      </c>
      <c r="D1224" t="s">
        <v>8306</v>
      </c>
      <c r="E1224" t="s">
        <v>8725</v>
      </c>
      <c r="F1224" t="s">
        <v>137</v>
      </c>
      <c r="G1224">
        <v>206</v>
      </c>
      <c r="H1224">
        <v>200</v>
      </c>
      <c r="I1224" s="5" t="s">
        <v>8726</v>
      </c>
      <c r="J1224" s="5" t="s">
        <v>8727</v>
      </c>
      <c r="K1224" s="5" t="str">
        <f t="shared" si="38"/>
        <v>https://www.google.com/maps?q=-11.340868, -41.657250</v>
      </c>
      <c r="L1224" s="5" t="str">
        <f t="shared" si="39"/>
        <v>Abrir no Maps</v>
      </c>
      <c r="M1224" t="s">
        <v>8728</v>
      </c>
      <c r="N1224" s="5"/>
      <c r="O1224" t="str">
        <f>VLOOKUP(G1224,'[1]CONFIG.'!$B:$C,2,0)</f>
        <v>ROBERTO</v>
      </c>
      <c r="P1224" t="str">
        <f>VLOOKUP(O1224,'[1]CONFIG.'!$C:$D,2,0)</f>
        <v>74 99551147</v>
      </c>
    </row>
    <row r="1225" spans="1:16" x14ac:dyDescent="0.3">
      <c r="A1225" t="s">
        <v>8729</v>
      </c>
      <c r="B1225" t="s">
        <v>8730</v>
      </c>
      <c r="C1225" t="s">
        <v>8731</v>
      </c>
      <c r="D1225" t="s">
        <v>8306</v>
      </c>
      <c r="E1225" t="s">
        <v>8732</v>
      </c>
      <c r="F1225" t="s">
        <v>137</v>
      </c>
      <c r="G1225">
        <v>206</v>
      </c>
      <c r="H1225">
        <v>200</v>
      </c>
      <c r="I1225" s="5" t="s">
        <v>8733</v>
      </c>
      <c r="J1225" s="5" t="s">
        <v>8734</v>
      </c>
      <c r="K1225" s="5" t="str">
        <f t="shared" si="38"/>
        <v>https://www.google.com/maps?q=-11.351087, -41.665035</v>
      </c>
      <c r="L1225" s="5" t="str">
        <f t="shared" si="39"/>
        <v>Abrir no Maps</v>
      </c>
      <c r="M1225" t="s">
        <v>8735</v>
      </c>
      <c r="N1225" s="5"/>
      <c r="O1225" t="str">
        <f>VLOOKUP(G1225,'[1]CONFIG.'!$B:$C,2,0)</f>
        <v>ROBERTO</v>
      </c>
      <c r="P1225" t="str">
        <f>VLOOKUP(O1225,'[1]CONFIG.'!$C:$D,2,0)</f>
        <v>74 99551147</v>
      </c>
    </row>
    <row r="1226" spans="1:16" x14ac:dyDescent="0.3">
      <c r="A1226" t="s">
        <v>8736</v>
      </c>
      <c r="B1226" t="s">
        <v>8737</v>
      </c>
      <c r="C1226" t="s">
        <v>8738</v>
      </c>
      <c r="D1226" t="s">
        <v>8306</v>
      </c>
      <c r="E1226" t="s">
        <v>8739</v>
      </c>
      <c r="F1226" t="s">
        <v>137</v>
      </c>
      <c r="G1226">
        <v>206</v>
      </c>
      <c r="H1226">
        <v>200</v>
      </c>
      <c r="I1226" s="5" t="s">
        <v>8740</v>
      </c>
      <c r="J1226" s="5" t="s">
        <v>8741</v>
      </c>
      <c r="K1226" s="5" t="str">
        <f t="shared" si="38"/>
        <v>https://www.google.com/maps?q=-11.346805, -41.651512</v>
      </c>
      <c r="L1226" s="5" t="str">
        <f t="shared" si="39"/>
        <v>Abrir no Maps</v>
      </c>
      <c r="M1226" t="s">
        <v>8742</v>
      </c>
      <c r="N1226" s="5"/>
      <c r="O1226" t="str">
        <f>VLOOKUP(G1226,'[1]CONFIG.'!$B:$C,2,0)</f>
        <v>ROBERTO</v>
      </c>
      <c r="P1226" t="str">
        <f>VLOOKUP(O1226,'[1]CONFIG.'!$C:$D,2,0)</f>
        <v>74 99551147</v>
      </c>
    </row>
    <row r="1227" spans="1:16" x14ac:dyDescent="0.3">
      <c r="A1227" t="s">
        <v>8743</v>
      </c>
      <c r="B1227" t="s">
        <v>8744</v>
      </c>
      <c r="C1227" t="s">
        <v>8745</v>
      </c>
      <c r="D1227" t="s">
        <v>8306</v>
      </c>
      <c r="E1227" t="s">
        <v>8746</v>
      </c>
      <c r="F1227" t="s">
        <v>137</v>
      </c>
      <c r="G1227">
        <v>206</v>
      </c>
      <c r="H1227">
        <v>200</v>
      </c>
      <c r="I1227" s="5" t="s">
        <v>8747</v>
      </c>
      <c r="J1227" s="5" t="s">
        <v>8748</v>
      </c>
      <c r="K1227" s="5" t="str">
        <f t="shared" si="38"/>
        <v>https://www.google.com/maps?q=-11.344002, -41.666626</v>
      </c>
      <c r="L1227" s="5" t="str">
        <f t="shared" si="39"/>
        <v>Abrir no Maps</v>
      </c>
      <c r="M1227" t="s">
        <v>8749</v>
      </c>
      <c r="N1227" s="5"/>
      <c r="O1227" t="str">
        <f>VLOOKUP(G1227,'[1]CONFIG.'!$B:$C,2,0)</f>
        <v>ROBERTO</v>
      </c>
      <c r="P1227" t="str">
        <f>VLOOKUP(O1227,'[1]CONFIG.'!$C:$D,2,0)</f>
        <v>74 99551147</v>
      </c>
    </row>
    <row r="1228" spans="1:16" x14ac:dyDescent="0.3">
      <c r="A1228" t="s">
        <v>8750</v>
      </c>
      <c r="B1228" t="s">
        <v>8751</v>
      </c>
      <c r="C1228" t="s">
        <v>8752</v>
      </c>
      <c r="D1228" t="s">
        <v>8306</v>
      </c>
      <c r="E1228" t="s">
        <v>8753</v>
      </c>
      <c r="F1228" t="s">
        <v>137</v>
      </c>
      <c r="G1228">
        <v>203</v>
      </c>
      <c r="H1228">
        <v>200</v>
      </c>
      <c r="I1228" s="5" t="s">
        <v>8754</v>
      </c>
      <c r="J1228" s="5" t="s">
        <v>8755</v>
      </c>
      <c r="K1228" s="5" t="str">
        <f t="shared" si="38"/>
        <v>https://www.google.com/maps?q=-11.342965, -41.665005</v>
      </c>
      <c r="L1228" s="5" t="str">
        <f t="shared" si="39"/>
        <v>Abrir no Maps</v>
      </c>
      <c r="M1228" t="s">
        <v>8756</v>
      </c>
      <c r="N1228" s="5"/>
      <c r="O1228" t="str">
        <f>VLOOKUP(G1228,'[1]CONFIG.'!$B:$C,2,0)</f>
        <v>ALEXANDRE</v>
      </c>
      <c r="P1228" t="str">
        <f>VLOOKUP(O1228,'[1]CONFIG.'!$C:$D,2,0)</f>
        <v>74 99653478</v>
      </c>
    </row>
    <row r="1229" spans="1:16" x14ac:dyDescent="0.3">
      <c r="A1229" t="s">
        <v>8757</v>
      </c>
      <c r="B1229" t="s">
        <v>8758</v>
      </c>
      <c r="C1229" t="s">
        <v>8759</v>
      </c>
      <c r="D1229" t="s">
        <v>8306</v>
      </c>
      <c r="E1229" t="s">
        <v>8760</v>
      </c>
      <c r="F1229" t="s">
        <v>8761</v>
      </c>
      <c r="G1229">
        <v>206</v>
      </c>
      <c r="H1229">
        <v>200</v>
      </c>
      <c r="I1229" s="5" t="s">
        <v>8762</v>
      </c>
      <c r="J1229" s="5" t="s">
        <v>8763</v>
      </c>
      <c r="K1229" s="5" t="str">
        <f t="shared" si="38"/>
        <v>https://www.google.com/maps?q=-11.341763, -41.657140</v>
      </c>
      <c r="L1229" s="5" t="str">
        <f t="shared" si="39"/>
        <v>Abrir no Maps</v>
      </c>
      <c r="M1229" t="s">
        <v>8764</v>
      </c>
      <c r="N1229" s="5"/>
      <c r="O1229" t="str">
        <f>VLOOKUP(G1229,'[1]CONFIG.'!$B:$C,2,0)</f>
        <v>ROBERTO</v>
      </c>
      <c r="P1229" t="str">
        <f>VLOOKUP(O1229,'[1]CONFIG.'!$C:$D,2,0)</f>
        <v>74 99551147</v>
      </c>
    </row>
    <row r="1230" spans="1:16" x14ac:dyDescent="0.3">
      <c r="A1230" t="s">
        <v>8765</v>
      </c>
      <c r="B1230" t="s">
        <v>8766</v>
      </c>
      <c r="C1230" t="s">
        <v>8767</v>
      </c>
      <c r="D1230" t="s">
        <v>8306</v>
      </c>
      <c r="E1230" t="s">
        <v>8768</v>
      </c>
      <c r="F1230" t="s">
        <v>8761</v>
      </c>
      <c r="G1230">
        <v>206</v>
      </c>
      <c r="H1230">
        <v>200</v>
      </c>
      <c r="I1230" s="5" t="s">
        <v>8769</v>
      </c>
      <c r="J1230" s="5" t="s">
        <v>8770</v>
      </c>
      <c r="K1230" s="5" t="str">
        <f t="shared" si="38"/>
        <v>https://www.google.com/maps?q=-11.340826, -41.656994</v>
      </c>
      <c r="L1230" s="5" t="str">
        <f t="shared" si="39"/>
        <v>Abrir no Maps</v>
      </c>
      <c r="M1230" t="s">
        <v>8771</v>
      </c>
      <c r="N1230" s="5"/>
      <c r="O1230" t="str">
        <f>VLOOKUP(G1230,'[1]CONFIG.'!$B:$C,2,0)</f>
        <v>ROBERTO</v>
      </c>
      <c r="P1230" t="str">
        <f>VLOOKUP(O1230,'[1]CONFIG.'!$C:$D,2,0)</f>
        <v>74 99551147</v>
      </c>
    </row>
    <row r="1231" spans="1:16" x14ac:dyDescent="0.3">
      <c r="A1231" t="s">
        <v>8772</v>
      </c>
      <c r="B1231" t="s">
        <v>8773</v>
      </c>
      <c r="C1231" t="s">
        <v>8774</v>
      </c>
      <c r="D1231" t="s">
        <v>8306</v>
      </c>
      <c r="E1231" t="s">
        <v>8775</v>
      </c>
      <c r="F1231" t="s">
        <v>137</v>
      </c>
      <c r="G1231">
        <v>206</v>
      </c>
      <c r="H1231">
        <v>200</v>
      </c>
      <c r="I1231" s="5" t="s">
        <v>8776</v>
      </c>
      <c r="J1231" s="5" t="s">
        <v>8777</v>
      </c>
      <c r="K1231" s="5" t="str">
        <f t="shared" si="38"/>
        <v>https://www.google.com/maps?q=-11.346868, -41.663390</v>
      </c>
      <c r="L1231" s="5" t="str">
        <f t="shared" si="39"/>
        <v>Abrir no Maps</v>
      </c>
      <c r="M1231" t="s">
        <v>8778</v>
      </c>
      <c r="N1231" s="5"/>
      <c r="O1231" t="str">
        <f>VLOOKUP(G1231,'[1]CONFIG.'!$B:$C,2,0)</f>
        <v>ROBERTO</v>
      </c>
      <c r="P1231" t="str">
        <f>VLOOKUP(O1231,'[1]CONFIG.'!$C:$D,2,0)</f>
        <v>74 99551147</v>
      </c>
    </row>
    <row r="1232" spans="1:16" x14ac:dyDescent="0.3">
      <c r="A1232" t="s">
        <v>8779</v>
      </c>
      <c r="B1232" t="s">
        <v>8780</v>
      </c>
      <c r="C1232" t="s">
        <v>8781</v>
      </c>
      <c r="D1232" t="s">
        <v>8306</v>
      </c>
      <c r="E1232" t="s">
        <v>8782</v>
      </c>
      <c r="F1232" t="s">
        <v>137</v>
      </c>
      <c r="G1232">
        <v>206</v>
      </c>
      <c r="H1232">
        <v>200</v>
      </c>
      <c r="I1232" s="5" t="s">
        <v>8783</v>
      </c>
      <c r="J1232" s="5" t="s">
        <v>8784</v>
      </c>
      <c r="K1232" s="5" t="str">
        <f t="shared" si="38"/>
        <v>https://www.google.com/maps?q=-11.347008, -41.663557</v>
      </c>
      <c r="L1232" s="5" t="str">
        <f t="shared" si="39"/>
        <v>Abrir no Maps</v>
      </c>
      <c r="M1232" t="s">
        <v>8785</v>
      </c>
      <c r="N1232" s="5"/>
      <c r="O1232" t="str">
        <f>VLOOKUP(G1232,'[1]CONFIG.'!$B:$C,2,0)</f>
        <v>ROBERTO</v>
      </c>
      <c r="P1232" t="str">
        <f>VLOOKUP(O1232,'[1]CONFIG.'!$C:$D,2,0)</f>
        <v>74 99551147</v>
      </c>
    </row>
    <row r="1233" spans="1:16" x14ac:dyDescent="0.3">
      <c r="A1233" t="s">
        <v>8786</v>
      </c>
      <c r="B1233" t="s">
        <v>8787</v>
      </c>
      <c r="C1233" t="s">
        <v>8788</v>
      </c>
      <c r="D1233" t="s">
        <v>8306</v>
      </c>
      <c r="E1233" t="s">
        <v>8789</v>
      </c>
      <c r="F1233" t="s">
        <v>137</v>
      </c>
      <c r="G1233">
        <v>206</v>
      </c>
      <c r="H1233">
        <v>200</v>
      </c>
      <c r="I1233" s="5" t="s">
        <v>8790</v>
      </c>
      <c r="J1233" s="5" t="s">
        <v>8791</v>
      </c>
      <c r="K1233" s="5" t="str">
        <f t="shared" si="38"/>
        <v>https://www.google.com/maps?q=-11.341315, -41.661854</v>
      </c>
      <c r="L1233" s="5" t="str">
        <f t="shared" si="39"/>
        <v>Abrir no Maps</v>
      </c>
      <c r="M1233" t="s">
        <v>8792</v>
      </c>
      <c r="N1233" s="5"/>
      <c r="O1233" t="str">
        <f>VLOOKUP(G1233,'[1]CONFIG.'!$B:$C,2,0)</f>
        <v>ROBERTO</v>
      </c>
      <c r="P1233" t="str">
        <f>VLOOKUP(O1233,'[1]CONFIG.'!$C:$D,2,0)</f>
        <v>74 99551147</v>
      </c>
    </row>
    <row r="1234" spans="1:16" x14ac:dyDescent="0.3">
      <c r="A1234" t="s">
        <v>8793</v>
      </c>
      <c r="B1234" t="s">
        <v>8794</v>
      </c>
      <c r="C1234" t="s">
        <v>8795</v>
      </c>
      <c r="D1234" t="s">
        <v>8306</v>
      </c>
      <c r="E1234" t="s">
        <v>8796</v>
      </c>
      <c r="F1234" t="s">
        <v>137</v>
      </c>
      <c r="G1234">
        <v>206</v>
      </c>
      <c r="H1234">
        <v>200</v>
      </c>
      <c r="I1234" s="5" t="s">
        <v>8797</v>
      </c>
      <c r="J1234" s="5" t="s">
        <v>8798</v>
      </c>
      <c r="K1234" s="5" t="str">
        <f t="shared" si="38"/>
        <v>https://www.google.com/maps?q=-11.346237, -41.663060</v>
      </c>
      <c r="L1234" s="5" t="str">
        <f t="shared" si="39"/>
        <v>Abrir no Maps</v>
      </c>
      <c r="M1234" t="s">
        <v>2616</v>
      </c>
      <c r="N1234" s="5"/>
      <c r="O1234" t="str">
        <f>VLOOKUP(G1234,'[1]CONFIG.'!$B:$C,2,0)</f>
        <v>ROBERTO</v>
      </c>
      <c r="P1234" t="str">
        <f>VLOOKUP(O1234,'[1]CONFIG.'!$C:$D,2,0)</f>
        <v>74 99551147</v>
      </c>
    </row>
    <row r="1235" spans="1:16" x14ac:dyDescent="0.3">
      <c r="A1235" t="s">
        <v>8799</v>
      </c>
      <c r="B1235" t="s">
        <v>8800</v>
      </c>
      <c r="C1235" t="s">
        <v>8801</v>
      </c>
      <c r="D1235" t="s">
        <v>8306</v>
      </c>
      <c r="E1235" t="s">
        <v>8802</v>
      </c>
      <c r="F1235" t="s">
        <v>8803</v>
      </c>
      <c r="G1235">
        <v>206</v>
      </c>
      <c r="H1235">
        <v>200</v>
      </c>
      <c r="I1235" s="5" t="s">
        <v>8804</v>
      </c>
      <c r="J1235" s="5" t="s">
        <v>8805</v>
      </c>
      <c r="K1235" s="5" t="str">
        <f t="shared" si="38"/>
        <v>https://www.google.com/maps?q=-11.211498, -41.655000</v>
      </c>
      <c r="L1235" s="5" t="str">
        <f t="shared" si="39"/>
        <v>Abrir no Maps</v>
      </c>
      <c r="M1235" t="s">
        <v>8806</v>
      </c>
      <c r="N1235" s="5"/>
      <c r="O1235" t="str">
        <f>VLOOKUP(G1235,'[1]CONFIG.'!$B:$C,2,0)</f>
        <v>ROBERTO</v>
      </c>
      <c r="P1235" t="str">
        <f>VLOOKUP(O1235,'[1]CONFIG.'!$C:$D,2,0)</f>
        <v>74 99551147</v>
      </c>
    </row>
    <row r="1236" spans="1:16" x14ac:dyDescent="0.3">
      <c r="A1236" t="s">
        <v>8807</v>
      </c>
      <c r="B1236" t="s">
        <v>8808</v>
      </c>
      <c r="C1236" t="s">
        <v>8809</v>
      </c>
      <c r="D1236" t="s">
        <v>8306</v>
      </c>
      <c r="E1236" t="s">
        <v>8810</v>
      </c>
      <c r="F1236" t="s">
        <v>137</v>
      </c>
      <c r="G1236">
        <v>206</v>
      </c>
      <c r="H1236">
        <v>200</v>
      </c>
      <c r="I1236" s="5" t="s">
        <v>8811</v>
      </c>
      <c r="J1236" s="5" t="s">
        <v>8812</v>
      </c>
      <c r="K1236" s="5" t="str">
        <f t="shared" si="38"/>
        <v>https://www.google.com/maps?q=-11.341630, -41.657207</v>
      </c>
      <c r="L1236" s="5" t="str">
        <f t="shared" si="39"/>
        <v>Abrir no Maps</v>
      </c>
      <c r="M1236" t="s">
        <v>8813</v>
      </c>
      <c r="N1236" s="5"/>
      <c r="O1236" t="str">
        <f>VLOOKUP(G1236,'[1]CONFIG.'!$B:$C,2,0)</f>
        <v>ROBERTO</v>
      </c>
      <c r="P1236" t="str">
        <f>VLOOKUP(O1236,'[1]CONFIG.'!$C:$D,2,0)</f>
        <v>74 99551147</v>
      </c>
    </row>
    <row r="1237" spans="1:16" x14ac:dyDescent="0.3">
      <c r="A1237" t="s">
        <v>8814</v>
      </c>
      <c r="B1237" t="s">
        <v>8815</v>
      </c>
      <c r="C1237" t="s">
        <v>8816</v>
      </c>
      <c r="D1237" t="s">
        <v>8306</v>
      </c>
      <c r="E1237" t="s">
        <v>8817</v>
      </c>
      <c r="F1237" t="s">
        <v>137</v>
      </c>
      <c r="G1237">
        <v>206</v>
      </c>
      <c r="H1237">
        <v>200</v>
      </c>
      <c r="I1237" s="5" t="s">
        <v>8818</v>
      </c>
      <c r="J1237" s="5" t="s">
        <v>8819</v>
      </c>
      <c r="K1237" s="5" t="str">
        <f t="shared" si="38"/>
        <v>https://www.google.com/maps?q=-11.346679, -41.659800</v>
      </c>
      <c r="L1237" s="5" t="str">
        <f t="shared" si="39"/>
        <v>Abrir no Maps</v>
      </c>
      <c r="M1237" t="s">
        <v>8820</v>
      </c>
      <c r="N1237" s="5"/>
      <c r="O1237" t="str">
        <f>VLOOKUP(G1237,'[1]CONFIG.'!$B:$C,2,0)</f>
        <v>ROBERTO</v>
      </c>
      <c r="P1237" t="str">
        <f>VLOOKUP(O1237,'[1]CONFIG.'!$C:$D,2,0)</f>
        <v>74 99551147</v>
      </c>
    </row>
    <row r="1238" spans="1:16" x14ac:dyDescent="0.3">
      <c r="A1238" t="s">
        <v>8821</v>
      </c>
      <c r="B1238" t="s">
        <v>8822</v>
      </c>
      <c r="C1238" t="s">
        <v>8823</v>
      </c>
      <c r="D1238" t="s">
        <v>8306</v>
      </c>
      <c r="E1238" t="s">
        <v>8824</v>
      </c>
      <c r="F1238" t="s">
        <v>137</v>
      </c>
      <c r="G1238">
        <v>206</v>
      </c>
      <c r="H1238">
        <v>200</v>
      </c>
      <c r="I1238" s="5" t="s">
        <v>8825</v>
      </c>
      <c r="J1238" s="5" t="s">
        <v>8826</v>
      </c>
      <c r="K1238" s="5" t="str">
        <f t="shared" si="38"/>
        <v>https://www.google.com/maps?q=-11.346335, -41.663162</v>
      </c>
      <c r="L1238" s="5" t="str">
        <f t="shared" si="39"/>
        <v>Abrir no Maps</v>
      </c>
      <c r="M1238" t="s">
        <v>8827</v>
      </c>
      <c r="N1238" s="5"/>
      <c r="O1238" t="str">
        <f>VLOOKUP(G1238,'[1]CONFIG.'!$B:$C,2,0)</f>
        <v>ROBERTO</v>
      </c>
      <c r="P1238" t="str">
        <f>VLOOKUP(O1238,'[1]CONFIG.'!$C:$D,2,0)</f>
        <v>74 99551147</v>
      </c>
    </row>
    <row r="1239" spans="1:16" x14ac:dyDescent="0.3">
      <c r="A1239" t="s">
        <v>8828</v>
      </c>
      <c r="B1239" t="s">
        <v>8829</v>
      </c>
      <c r="C1239" t="s">
        <v>8830</v>
      </c>
      <c r="D1239" t="s">
        <v>8306</v>
      </c>
      <c r="E1239" t="s">
        <v>8831</v>
      </c>
      <c r="F1239" t="s">
        <v>137</v>
      </c>
      <c r="G1239">
        <v>206</v>
      </c>
      <c r="H1239">
        <v>200</v>
      </c>
      <c r="I1239" s="5" t="s">
        <v>8832</v>
      </c>
      <c r="J1239" s="5" t="s">
        <v>8672</v>
      </c>
      <c r="K1239" s="5" t="str">
        <f t="shared" si="38"/>
        <v>https://www.google.com/maps?q=-11.338794, -41.666664</v>
      </c>
      <c r="L1239" s="5" t="str">
        <f t="shared" si="39"/>
        <v>Abrir no Maps</v>
      </c>
      <c r="M1239" t="s">
        <v>8833</v>
      </c>
      <c r="N1239" s="5"/>
      <c r="O1239" t="str">
        <f>VLOOKUP(G1239,'[1]CONFIG.'!$B:$C,2,0)</f>
        <v>ROBERTO</v>
      </c>
      <c r="P1239" t="str">
        <f>VLOOKUP(O1239,'[1]CONFIG.'!$C:$D,2,0)</f>
        <v>74 99551147</v>
      </c>
    </row>
    <row r="1240" spans="1:16" x14ac:dyDescent="0.3">
      <c r="A1240" t="s">
        <v>8834</v>
      </c>
      <c r="B1240" t="s">
        <v>8835</v>
      </c>
      <c r="C1240" t="s">
        <v>8836</v>
      </c>
      <c r="D1240" t="s">
        <v>8306</v>
      </c>
      <c r="E1240" t="s">
        <v>8837</v>
      </c>
      <c r="F1240" t="s">
        <v>137</v>
      </c>
      <c r="G1240">
        <v>206</v>
      </c>
      <c r="H1240">
        <v>200</v>
      </c>
      <c r="I1240" s="5" t="s">
        <v>8838</v>
      </c>
      <c r="J1240" s="5" t="s">
        <v>8839</v>
      </c>
      <c r="K1240" s="5" t="str">
        <f t="shared" si="38"/>
        <v>https://www.google.com/maps?q=-11.347856, -41.660010</v>
      </c>
      <c r="L1240" s="5" t="str">
        <f t="shared" si="39"/>
        <v>Abrir no Maps</v>
      </c>
      <c r="M1240" t="s">
        <v>8840</v>
      </c>
      <c r="N1240" s="5"/>
      <c r="O1240" t="str">
        <f>VLOOKUP(G1240,'[1]CONFIG.'!$B:$C,2,0)</f>
        <v>ROBERTO</v>
      </c>
      <c r="P1240" t="str">
        <f>VLOOKUP(O1240,'[1]CONFIG.'!$C:$D,2,0)</f>
        <v>74 99551147</v>
      </c>
    </row>
    <row r="1241" spans="1:16" x14ac:dyDescent="0.3">
      <c r="A1241" t="s">
        <v>8841</v>
      </c>
      <c r="B1241" t="s">
        <v>8842</v>
      </c>
      <c r="C1241" t="s">
        <v>8843</v>
      </c>
      <c r="D1241" t="s">
        <v>8306</v>
      </c>
      <c r="E1241" t="s">
        <v>8844</v>
      </c>
      <c r="F1241" t="s">
        <v>137</v>
      </c>
      <c r="G1241">
        <v>203</v>
      </c>
      <c r="H1241">
        <v>200</v>
      </c>
      <c r="I1241" s="5" t="s">
        <v>8845</v>
      </c>
      <c r="J1241" s="5" t="s">
        <v>8846</v>
      </c>
      <c r="K1241" s="5" t="str">
        <f t="shared" si="38"/>
        <v>https://www.google.com/maps?q=-11.351145, -41.667900</v>
      </c>
      <c r="L1241" s="5" t="str">
        <f t="shared" si="39"/>
        <v>Abrir no Maps</v>
      </c>
      <c r="M1241" t="s">
        <v>8847</v>
      </c>
      <c r="N1241" s="5"/>
      <c r="O1241" t="str">
        <f>VLOOKUP(G1241,'[1]CONFIG.'!$B:$C,2,0)</f>
        <v>ALEXANDRE</v>
      </c>
      <c r="P1241" t="str">
        <f>VLOOKUP(O1241,'[1]CONFIG.'!$C:$D,2,0)</f>
        <v>74 99653478</v>
      </c>
    </row>
    <row r="1242" spans="1:16" x14ac:dyDescent="0.3">
      <c r="A1242" t="s">
        <v>8848</v>
      </c>
      <c r="B1242" t="s">
        <v>8849</v>
      </c>
      <c r="C1242" t="s">
        <v>8850</v>
      </c>
      <c r="D1242" t="s">
        <v>8306</v>
      </c>
      <c r="E1242" t="s">
        <v>8851</v>
      </c>
      <c r="F1242" t="s">
        <v>137</v>
      </c>
      <c r="G1242">
        <v>206</v>
      </c>
      <c r="H1242">
        <v>200</v>
      </c>
      <c r="I1242" s="5" t="s">
        <v>8852</v>
      </c>
      <c r="J1242" s="5" t="s">
        <v>8853</v>
      </c>
      <c r="K1242" s="5" t="str">
        <f t="shared" si="38"/>
        <v>https://www.google.com/maps?q=-11.342797, -41.659290</v>
      </c>
      <c r="L1242" s="5" t="str">
        <f t="shared" si="39"/>
        <v>Abrir no Maps</v>
      </c>
      <c r="M1242" t="s">
        <v>8854</v>
      </c>
      <c r="N1242" s="5"/>
      <c r="O1242" t="str">
        <f>VLOOKUP(G1242,'[1]CONFIG.'!$B:$C,2,0)</f>
        <v>ROBERTO</v>
      </c>
      <c r="P1242" t="str">
        <f>VLOOKUP(O1242,'[1]CONFIG.'!$C:$D,2,0)</f>
        <v>74 99551147</v>
      </c>
    </row>
    <row r="1243" spans="1:16" x14ac:dyDescent="0.3">
      <c r="A1243" t="s">
        <v>8855</v>
      </c>
      <c r="B1243" t="s">
        <v>8856</v>
      </c>
      <c r="C1243" t="s">
        <v>8857</v>
      </c>
      <c r="D1243" t="s">
        <v>8306</v>
      </c>
      <c r="E1243" t="s">
        <v>8858</v>
      </c>
      <c r="F1243" t="s">
        <v>137</v>
      </c>
      <c r="G1243">
        <v>206</v>
      </c>
      <c r="H1243">
        <v>200</v>
      </c>
      <c r="I1243" s="5" t="s">
        <v>8859</v>
      </c>
      <c r="J1243" s="5" t="s">
        <v>8860</v>
      </c>
      <c r="K1243" s="5" t="str">
        <f t="shared" si="38"/>
        <v>https://www.google.com/maps?q=-11.347424, -41.658386</v>
      </c>
      <c r="L1243" s="5" t="str">
        <f t="shared" si="39"/>
        <v>Abrir no Maps</v>
      </c>
      <c r="M1243" t="s">
        <v>8861</v>
      </c>
      <c r="N1243" s="5"/>
      <c r="O1243" t="str">
        <f>VLOOKUP(G1243,'[1]CONFIG.'!$B:$C,2,0)</f>
        <v>ROBERTO</v>
      </c>
      <c r="P1243" t="str">
        <f>VLOOKUP(O1243,'[1]CONFIG.'!$C:$D,2,0)</f>
        <v>74 99551147</v>
      </c>
    </row>
    <row r="1244" spans="1:16" x14ac:dyDescent="0.3">
      <c r="A1244" t="s">
        <v>8862</v>
      </c>
      <c r="B1244" t="s">
        <v>8863</v>
      </c>
      <c r="C1244" t="s">
        <v>8864</v>
      </c>
      <c r="D1244" t="s">
        <v>8306</v>
      </c>
      <c r="E1244" t="s">
        <v>8865</v>
      </c>
      <c r="F1244" t="s">
        <v>137</v>
      </c>
      <c r="G1244">
        <v>206</v>
      </c>
      <c r="H1244">
        <v>200</v>
      </c>
      <c r="I1244" s="5" t="s">
        <v>8866</v>
      </c>
      <c r="J1244" s="5" t="s">
        <v>8867</v>
      </c>
      <c r="K1244" s="5" t="str">
        <f t="shared" si="38"/>
        <v>https://www.google.com/maps?q=-11.350432, -41.661423</v>
      </c>
      <c r="L1244" s="5" t="str">
        <f t="shared" si="39"/>
        <v>Abrir no Maps</v>
      </c>
      <c r="M1244" t="s">
        <v>8868</v>
      </c>
      <c r="N1244" s="5"/>
      <c r="O1244" t="str">
        <f>VLOOKUP(G1244,'[1]CONFIG.'!$B:$C,2,0)</f>
        <v>ROBERTO</v>
      </c>
      <c r="P1244" t="str">
        <f>VLOOKUP(O1244,'[1]CONFIG.'!$C:$D,2,0)</f>
        <v>74 99551147</v>
      </c>
    </row>
    <row r="1245" spans="1:16" x14ac:dyDescent="0.3">
      <c r="A1245" t="s">
        <v>8869</v>
      </c>
      <c r="B1245" t="s">
        <v>8870</v>
      </c>
      <c r="C1245" t="s">
        <v>8871</v>
      </c>
      <c r="D1245" t="s">
        <v>8306</v>
      </c>
      <c r="E1245" t="s">
        <v>8872</v>
      </c>
      <c r="F1245" t="s">
        <v>137</v>
      </c>
      <c r="G1245">
        <v>206</v>
      </c>
      <c r="H1245">
        <v>200</v>
      </c>
      <c r="I1245" s="5" t="s">
        <v>8873</v>
      </c>
      <c r="J1245" s="5" t="s">
        <v>8874</v>
      </c>
      <c r="K1245" s="5" t="str">
        <f t="shared" si="38"/>
        <v>https://www.google.com/maps?q=-11.346870, -41.651590</v>
      </c>
      <c r="L1245" s="5" t="str">
        <f t="shared" si="39"/>
        <v>Abrir no Maps</v>
      </c>
      <c r="M1245" t="s">
        <v>8875</v>
      </c>
      <c r="N1245" s="5"/>
      <c r="O1245" t="str">
        <f>VLOOKUP(G1245,'[1]CONFIG.'!$B:$C,2,0)</f>
        <v>ROBERTO</v>
      </c>
      <c r="P1245" t="str">
        <f>VLOOKUP(O1245,'[1]CONFIG.'!$C:$D,2,0)</f>
        <v>74 99551147</v>
      </c>
    </row>
    <row r="1246" spans="1:16" x14ac:dyDescent="0.3">
      <c r="A1246" t="s">
        <v>8876</v>
      </c>
      <c r="B1246" t="s">
        <v>8877</v>
      </c>
      <c r="C1246" t="s">
        <v>8878</v>
      </c>
      <c r="D1246" t="s">
        <v>8306</v>
      </c>
      <c r="E1246" t="s">
        <v>8879</v>
      </c>
      <c r="F1246" t="s">
        <v>137</v>
      </c>
      <c r="G1246">
        <v>206</v>
      </c>
      <c r="H1246">
        <v>200</v>
      </c>
      <c r="I1246" s="5" t="s">
        <v>8880</v>
      </c>
      <c r="J1246" s="5" t="s">
        <v>8881</v>
      </c>
      <c r="K1246" s="5" t="str">
        <f t="shared" si="38"/>
        <v>https://www.google.com/maps?q=-11.347846, -41.662950</v>
      </c>
      <c r="L1246" s="5" t="str">
        <f t="shared" si="39"/>
        <v>Abrir no Maps</v>
      </c>
      <c r="M1246" t="s">
        <v>8882</v>
      </c>
      <c r="N1246" s="5"/>
      <c r="O1246" t="str">
        <f>VLOOKUP(G1246,'[1]CONFIG.'!$B:$C,2,0)</f>
        <v>ROBERTO</v>
      </c>
      <c r="P1246" t="str">
        <f>VLOOKUP(O1246,'[1]CONFIG.'!$C:$D,2,0)</f>
        <v>74 99551147</v>
      </c>
    </row>
    <row r="1247" spans="1:16" x14ac:dyDescent="0.3">
      <c r="A1247" t="s">
        <v>8883</v>
      </c>
      <c r="B1247" t="s">
        <v>8884</v>
      </c>
      <c r="C1247" t="s">
        <v>8885</v>
      </c>
      <c r="D1247" t="s">
        <v>8306</v>
      </c>
      <c r="E1247" t="s">
        <v>8886</v>
      </c>
      <c r="F1247" t="s">
        <v>4659</v>
      </c>
      <c r="G1247">
        <v>206</v>
      </c>
      <c r="H1247">
        <v>200</v>
      </c>
      <c r="I1247" s="5" t="s">
        <v>8887</v>
      </c>
      <c r="J1247" s="5" t="s">
        <v>8888</v>
      </c>
      <c r="K1247" s="5" t="str">
        <f t="shared" si="38"/>
        <v>https://www.google.com/maps?q=-11.392015, -41.699420</v>
      </c>
      <c r="L1247" s="5" t="str">
        <f t="shared" si="39"/>
        <v>Abrir no Maps</v>
      </c>
      <c r="M1247" t="s">
        <v>8889</v>
      </c>
      <c r="N1247" s="5"/>
      <c r="O1247" t="str">
        <f>VLOOKUP(G1247,'[1]CONFIG.'!$B:$C,2,0)</f>
        <v>ROBERTO</v>
      </c>
      <c r="P1247" t="str">
        <f>VLOOKUP(O1247,'[1]CONFIG.'!$C:$D,2,0)</f>
        <v>74 99551147</v>
      </c>
    </row>
    <row r="1248" spans="1:16" x14ac:dyDescent="0.3">
      <c r="A1248" t="s">
        <v>8890</v>
      </c>
      <c r="B1248" t="s">
        <v>8891</v>
      </c>
      <c r="C1248" t="s">
        <v>8892</v>
      </c>
      <c r="D1248" t="s">
        <v>8306</v>
      </c>
      <c r="E1248" t="s">
        <v>8893</v>
      </c>
      <c r="F1248" t="s">
        <v>137</v>
      </c>
      <c r="G1248">
        <v>206</v>
      </c>
      <c r="H1248">
        <v>200</v>
      </c>
      <c r="I1248" s="5" t="s">
        <v>8894</v>
      </c>
      <c r="J1248" s="5" t="s">
        <v>8895</v>
      </c>
      <c r="K1248" s="5" t="str">
        <f t="shared" si="38"/>
        <v>https://www.google.com/maps?q=-11.343933, -41.663395</v>
      </c>
      <c r="L1248" s="5" t="str">
        <f t="shared" si="39"/>
        <v>Abrir no Maps</v>
      </c>
      <c r="M1248" t="s">
        <v>8896</v>
      </c>
      <c r="N1248" s="5"/>
      <c r="O1248" t="str">
        <f>VLOOKUP(G1248,'[1]CONFIG.'!$B:$C,2,0)</f>
        <v>ROBERTO</v>
      </c>
      <c r="P1248" t="str">
        <f>VLOOKUP(O1248,'[1]CONFIG.'!$C:$D,2,0)</f>
        <v>74 99551147</v>
      </c>
    </row>
    <row r="1249" spans="1:16" x14ac:dyDescent="0.3">
      <c r="A1249" t="s">
        <v>8897</v>
      </c>
      <c r="B1249" t="s">
        <v>8898</v>
      </c>
      <c r="C1249" t="s">
        <v>8899</v>
      </c>
      <c r="D1249" t="s">
        <v>8306</v>
      </c>
      <c r="E1249" t="s">
        <v>8900</v>
      </c>
      <c r="F1249" t="s">
        <v>137</v>
      </c>
      <c r="G1249">
        <v>206</v>
      </c>
      <c r="H1249">
        <v>200</v>
      </c>
      <c r="I1249" s="5" t="s">
        <v>8901</v>
      </c>
      <c r="J1249" s="5" t="s">
        <v>8902</v>
      </c>
      <c r="K1249" s="5" t="str">
        <f t="shared" si="38"/>
        <v>https://www.google.com/maps?q=-11.349391, -41.664555</v>
      </c>
      <c r="L1249" s="5" t="str">
        <f t="shared" si="39"/>
        <v>Abrir no Maps</v>
      </c>
      <c r="M1249" t="s">
        <v>8903</v>
      </c>
      <c r="N1249" s="5"/>
      <c r="O1249" t="str">
        <f>VLOOKUP(G1249,'[1]CONFIG.'!$B:$C,2,0)</f>
        <v>ROBERTO</v>
      </c>
      <c r="P1249" t="str">
        <f>VLOOKUP(O1249,'[1]CONFIG.'!$C:$D,2,0)</f>
        <v>74 99551147</v>
      </c>
    </row>
    <row r="1250" spans="1:16" x14ac:dyDescent="0.3">
      <c r="A1250" t="s">
        <v>8904</v>
      </c>
      <c r="B1250" t="s">
        <v>8905</v>
      </c>
      <c r="C1250" t="s">
        <v>8906</v>
      </c>
      <c r="D1250" t="s">
        <v>8306</v>
      </c>
      <c r="E1250" t="s">
        <v>8907</v>
      </c>
      <c r="F1250" t="s">
        <v>1353</v>
      </c>
      <c r="G1250">
        <v>206</v>
      </c>
      <c r="H1250">
        <v>200</v>
      </c>
      <c r="I1250" s="5" t="s">
        <v>8908</v>
      </c>
      <c r="J1250" s="5" t="s">
        <v>8909</v>
      </c>
      <c r="K1250" s="5" t="str">
        <f t="shared" si="38"/>
        <v>https://www.google.com/maps?q=-11.342362, -41.645367</v>
      </c>
      <c r="L1250" s="5" t="str">
        <f t="shared" si="39"/>
        <v>Abrir no Maps</v>
      </c>
      <c r="M1250" t="s">
        <v>8910</v>
      </c>
      <c r="N1250" s="5"/>
      <c r="O1250" t="str">
        <f>VLOOKUP(G1250,'[1]CONFIG.'!$B:$C,2,0)</f>
        <v>ROBERTO</v>
      </c>
      <c r="P1250" t="str">
        <f>VLOOKUP(O1250,'[1]CONFIG.'!$C:$D,2,0)</f>
        <v>74 99551147</v>
      </c>
    </row>
    <row r="1251" spans="1:16" x14ac:dyDescent="0.3">
      <c r="A1251" t="s">
        <v>8911</v>
      </c>
      <c r="B1251" t="s">
        <v>8912</v>
      </c>
      <c r="C1251" t="s">
        <v>8913</v>
      </c>
      <c r="D1251" t="s">
        <v>8306</v>
      </c>
      <c r="E1251" t="s">
        <v>8914</v>
      </c>
      <c r="F1251" t="s">
        <v>8395</v>
      </c>
      <c r="G1251">
        <v>206</v>
      </c>
      <c r="H1251">
        <v>200</v>
      </c>
      <c r="I1251" s="5" t="s">
        <v>8915</v>
      </c>
      <c r="J1251" s="5" t="s">
        <v>8916</v>
      </c>
      <c r="K1251" s="5" t="str">
        <f t="shared" si="38"/>
        <v>https://www.google.com/maps?q=-11.353034, -41.598460</v>
      </c>
      <c r="L1251" s="5" t="str">
        <f t="shared" si="39"/>
        <v>Abrir no Maps</v>
      </c>
      <c r="M1251" t="s">
        <v>8917</v>
      </c>
      <c r="N1251" s="5"/>
      <c r="O1251" t="str">
        <f>VLOOKUP(G1251,'[1]CONFIG.'!$B:$C,2,0)</f>
        <v>ROBERTO</v>
      </c>
      <c r="P1251" t="str">
        <f>VLOOKUP(O1251,'[1]CONFIG.'!$C:$D,2,0)</f>
        <v>74 99551147</v>
      </c>
    </row>
    <row r="1252" spans="1:16" x14ac:dyDescent="0.3">
      <c r="A1252" t="s">
        <v>8918</v>
      </c>
      <c r="B1252" t="s">
        <v>8919</v>
      </c>
      <c r="C1252" t="s">
        <v>8920</v>
      </c>
      <c r="D1252" t="s">
        <v>8306</v>
      </c>
      <c r="E1252" t="s">
        <v>8921</v>
      </c>
      <c r="F1252" t="s">
        <v>137</v>
      </c>
      <c r="G1252">
        <v>206</v>
      </c>
      <c r="H1252">
        <v>200</v>
      </c>
      <c r="I1252" s="5" t="s">
        <v>8922</v>
      </c>
      <c r="J1252" s="5" t="s">
        <v>8923</v>
      </c>
      <c r="K1252" s="5" t="str">
        <f t="shared" si="38"/>
        <v>https://www.google.com/maps?q=-11.344671, -41.663260</v>
      </c>
      <c r="L1252" s="5" t="str">
        <f t="shared" si="39"/>
        <v>Abrir no Maps</v>
      </c>
      <c r="M1252" t="s">
        <v>8924</v>
      </c>
      <c r="N1252" s="5"/>
      <c r="O1252" t="str">
        <f>VLOOKUP(G1252,'[1]CONFIG.'!$B:$C,2,0)</f>
        <v>ROBERTO</v>
      </c>
      <c r="P1252" t="str">
        <f>VLOOKUP(O1252,'[1]CONFIG.'!$C:$D,2,0)</f>
        <v>74 99551147</v>
      </c>
    </row>
    <row r="1253" spans="1:16" x14ac:dyDescent="0.3">
      <c r="A1253" t="s">
        <v>8925</v>
      </c>
      <c r="B1253" t="s">
        <v>8926</v>
      </c>
      <c r="C1253" t="s">
        <v>8927</v>
      </c>
      <c r="D1253" t="s">
        <v>8306</v>
      </c>
      <c r="E1253" t="s">
        <v>8928</v>
      </c>
      <c r="F1253" t="s">
        <v>137</v>
      </c>
      <c r="G1253">
        <v>206</v>
      </c>
      <c r="H1253">
        <v>200</v>
      </c>
      <c r="I1253" s="5" t="s">
        <v>8929</v>
      </c>
      <c r="J1253" s="5" t="s">
        <v>8930</v>
      </c>
      <c r="K1253" s="5" t="str">
        <f t="shared" si="38"/>
        <v>https://www.google.com/maps?q=-11.343001, -41.661285</v>
      </c>
      <c r="L1253" s="5" t="str">
        <f t="shared" si="39"/>
        <v>Abrir no Maps</v>
      </c>
      <c r="M1253" t="s">
        <v>8931</v>
      </c>
      <c r="N1253" s="5"/>
      <c r="O1253" t="str">
        <f>VLOOKUP(G1253,'[1]CONFIG.'!$B:$C,2,0)</f>
        <v>ROBERTO</v>
      </c>
      <c r="P1253" t="str">
        <f>VLOOKUP(O1253,'[1]CONFIG.'!$C:$D,2,0)</f>
        <v>74 99551147</v>
      </c>
    </row>
    <row r="1254" spans="1:16" x14ac:dyDescent="0.3">
      <c r="A1254" t="s">
        <v>8932</v>
      </c>
      <c r="B1254" t="s">
        <v>8933</v>
      </c>
      <c r="C1254" t="s">
        <v>8934</v>
      </c>
      <c r="D1254" t="s">
        <v>8306</v>
      </c>
      <c r="E1254" t="s">
        <v>8935</v>
      </c>
      <c r="F1254" t="s">
        <v>137</v>
      </c>
      <c r="G1254">
        <v>206</v>
      </c>
      <c r="H1254">
        <v>200</v>
      </c>
      <c r="I1254" s="5" t="s">
        <v>8936</v>
      </c>
      <c r="J1254" s="5" t="s">
        <v>8937</v>
      </c>
      <c r="K1254" s="5" t="str">
        <f t="shared" si="38"/>
        <v>https://www.google.com/maps?q=-11.352247, -41.663307</v>
      </c>
      <c r="L1254" s="5" t="str">
        <f t="shared" si="39"/>
        <v>Abrir no Maps</v>
      </c>
      <c r="M1254" t="s">
        <v>8938</v>
      </c>
      <c r="N1254" s="5"/>
      <c r="O1254" t="str">
        <f>VLOOKUP(G1254,'[1]CONFIG.'!$B:$C,2,0)</f>
        <v>ROBERTO</v>
      </c>
      <c r="P1254" t="str">
        <f>VLOOKUP(O1254,'[1]CONFIG.'!$C:$D,2,0)</f>
        <v>74 99551147</v>
      </c>
    </row>
    <row r="1255" spans="1:16" x14ac:dyDescent="0.3">
      <c r="A1255" t="s">
        <v>8939</v>
      </c>
      <c r="B1255" t="s">
        <v>8940</v>
      </c>
      <c r="C1255" t="s">
        <v>8941</v>
      </c>
      <c r="D1255" t="s">
        <v>8306</v>
      </c>
      <c r="E1255" t="s">
        <v>8942</v>
      </c>
      <c r="F1255" t="s">
        <v>137</v>
      </c>
      <c r="G1255">
        <v>203</v>
      </c>
      <c r="H1255">
        <v>200</v>
      </c>
      <c r="I1255" s="5" t="s">
        <v>8943</v>
      </c>
      <c r="J1255" s="5" t="s">
        <v>8944</v>
      </c>
      <c r="K1255" s="5" t="str">
        <f t="shared" si="38"/>
        <v>https://www.google.com/maps?q=-11.349560, -41.659462</v>
      </c>
      <c r="L1255" s="5" t="str">
        <f t="shared" si="39"/>
        <v>Abrir no Maps</v>
      </c>
      <c r="M1255" t="s">
        <v>8945</v>
      </c>
      <c r="N1255" s="5"/>
      <c r="O1255" t="str">
        <f>VLOOKUP(G1255,'[1]CONFIG.'!$B:$C,2,0)</f>
        <v>ALEXANDRE</v>
      </c>
      <c r="P1255" t="str">
        <f>VLOOKUP(O1255,'[1]CONFIG.'!$C:$D,2,0)</f>
        <v>74 99653478</v>
      </c>
    </row>
    <row r="1256" spans="1:16" x14ac:dyDescent="0.3">
      <c r="A1256" t="s">
        <v>8946</v>
      </c>
      <c r="B1256" t="s">
        <v>8947</v>
      </c>
      <c r="C1256" t="s">
        <v>8948</v>
      </c>
      <c r="D1256" t="s">
        <v>8306</v>
      </c>
      <c r="E1256" t="s">
        <v>8949</v>
      </c>
      <c r="F1256" t="s">
        <v>137</v>
      </c>
      <c r="G1256">
        <v>206</v>
      </c>
      <c r="H1256">
        <v>200</v>
      </c>
      <c r="I1256" s="5" t="s">
        <v>8950</v>
      </c>
      <c r="J1256" s="5" t="s">
        <v>8951</v>
      </c>
      <c r="K1256" s="5" t="str">
        <f t="shared" si="38"/>
        <v>https://www.google.com/maps?q=-11.350516, -41.664660</v>
      </c>
      <c r="L1256" s="5" t="str">
        <f t="shared" si="39"/>
        <v>Abrir no Maps</v>
      </c>
      <c r="M1256" t="s">
        <v>8952</v>
      </c>
      <c r="N1256" s="5"/>
      <c r="O1256" t="str">
        <f>VLOOKUP(G1256,'[1]CONFIG.'!$B:$C,2,0)</f>
        <v>ROBERTO</v>
      </c>
      <c r="P1256" t="str">
        <f>VLOOKUP(O1256,'[1]CONFIG.'!$C:$D,2,0)</f>
        <v>74 99551147</v>
      </c>
    </row>
    <row r="1257" spans="1:16" x14ac:dyDescent="0.3">
      <c r="A1257" t="s">
        <v>8953</v>
      </c>
      <c r="B1257" t="s">
        <v>8954</v>
      </c>
      <c r="C1257" t="s">
        <v>8955</v>
      </c>
      <c r="D1257" t="s">
        <v>8306</v>
      </c>
      <c r="E1257" t="s">
        <v>8956</v>
      </c>
      <c r="F1257" t="s">
        <v>8957</v>
      </c>
      <c r="G1257">
        <v>206</v>
      </c>
      <c r="H1257">
        <v>200</v>
      </c>
      <c r="I1257" s="5" t="s">
        <v>8958</v>
      </c>
      <c r="J1257" s="5" t="s">
        <v>8959</v>
      </c>
      <c r="K1257" s="5" t="str">
        <f t="shared" si="38"/>
        <v>https://www.google.com/maps?q=-11.340326, -41.662983</v>
      </c>
      <c r="L1257" s="5" t="str">
        <f t="shared" si="39"/>
        <v>Abrir no Maps</v>
      </c>
      <c r="M1257" t="s">
        <v>8960</v>
      </c>
      <c r="N1257" s="5"/>
      <c r="O1257" t="str">
        <f>VLOOKUP(G1257,'[1]CONFIG.'!$B:$C,2,0)</f>
        <v>ROBERTO</v>
      </c>
      <c r="P1257" t="str">
        <f>VLOOKUP(O1257,'[1]CONFIG.'!$C:$D,2,0)</f>
        <v>74 99551147</v>
      </c>
    </row>
    <row r="1258" spans="1:16" x14ac:dyDescent="0.3">
      <c r="A1258" t="s">
        <v>8961</v>
      </c>
      <c r="B1258" t="s">
        <v>8962</v>
      </c>
      <c r="C1258" t="s">
        <v>8963</v>
      </c>
      <c r="D1258" t="s">
        <v>8306</v>
      </c>
      <c r="E1258" t="s">
        <v>8964</v>
      </c>
      <c r="F1258" t="s">
        <v>8965</v>
      </c>
      <c r="G1258">
        <v>206</v>
      </c>
      <c r="H1258">
        <v>200</v>
      </c>
      <c r="I1258" s="5" t="s">
        <v>8966</v>
      </c>
      <c r="J1258" s="5" t="s">
        <v>8967</v>
      </c>
      <c r="K1258" s="5" t="str">
        <f t="shared" si="38"/>
        <v>https://www.google.com/maps?q=-11.259687, -41.687927</v>
      </c>
      <c r="L1258" s="5" t="str">
        <f t="shared" si="39"/>
        <v>Abrir no Maps</v>
      </c>
      <c r="M1258" t="s">
        <v>8968</v>
      </c>
      <c r="N1258" s="5"/>
      <c r="O1258" t="str">
        <f>VLOOKUP(G1258,'[1]CONFIG.'!$B:$C,2,0)</f>
        <v>ROBERTO</v>
      </c>
      <c r="P1258" t="str">
        <f>VLOOKUP(O1258,'[1]CONFIG.'!$C:$D,2,0)</f>
        <v>74 99551147</v>
      </c>
    </row>
    <row r="1259" spans="1:16" x14ac:dyDescent="0.3">
      <c r="A1259" t="s">
        <v>8969</v>
      </c>
      <c r="B1259" t="s">
        <v>8970</v>
      </c>
      <c r="C1259" t="s">
        <v>8971</v>
      </c>
      <c r="D1259" t="s">
        <v>8306</v>
      </c>
      <c r="E1259" t="s">
        <v>8972</v>
      </c>
      <c r="F1259" t="s">
        <v>137</v>
      </c>
      <c r="G1259">
        <v>206</v>
      </c>
      <c r="H1259">
        <v>200</v>
      </c>
      <c r="I1259" s="5" t="s">
        <v>8973</v>
      </c>
      <c r="J1259" s="5" t="s">
        <v>8974</v>
      </c>
      <c r="K1259" s="5" t="str">
        <f t="shared" si="38"/>
        <v>https://www.google.com/maps?q=-11.346085, -41.661080</v>
      </c>
      <c r="L1259" s="5" t="str">
        <f t="shared" si="39"/>
        <v>Abrir no Maps</v>
      </c>
      <c r="M1259" t="s">
        <v>8975</v>
      </c>
      <c r="N1259" s="5"/>
      <c r="O1259" t="str">
        <f>VLOOKUP(G1259,'[1]CONFIG.'!$B:$C,2,0)</f>
        <v>ROBERTO</v>
      </c>
      <c r="P1259" t="str">
        <f>VLOOKUP(O1259,'[1]CONFIG.'!$C:$D,2,0)</f>
        <v>74 99551147</v>
      </c>
    </row>
    <row r="1260" spans="1:16" x14ac:dyDescent="0.3">
      <c r="A1260" t="s">
        <v>8976</v>
      </c>
      <c r="B1260" t="s">
        <v>8977</v>
      </c>
      <c r="C1260" t="s">
        <v>8978</v>
      </c>
      <c r="D1260" t="s">
        <v>8306</v>
      </c>
      <c r="E1260" t="s">
        <v>8979</v>
      </c>
      <c r="F1260" t="s">
        <v>137</v>
      </c>
      <c r="G1260">
        <v>206</v>
      </c>
      <c r="H1260">
        <v>200</v>
      </c>
      <c r="I1260" s="5" t="s">
        <v>8980</v>
      </c>
      <c r="J1260" s="5" t="s">
        <v>8981</v>
      </c>
      <c r="K1260" s="5" t="str">
        <f t="shared" si="38"/>
        <v>https://www.google.com/maps?q=-11.342257, -41.666695</v>
      </c>
      <c r="L1260" s="5" t="str">
        <f t="shared" si="39"/>
        <v>Abrir no Maps</v>
      </c>
      <c r="M1260" t="s">
        <v>8982</v>
      </c>
      <c r="N1260" s="5"/>
      <c r="O1260" t="str">
        <f>VLOOKUP(G1260,'[1]CONFIG.'!$B:$C,2,0)</f>
        <v>ROBERTO</v>
      </c>
      <c r="P1260" t="str">
        <f>VLOOKUP(O1260,'[1]CONFIG.'!$C:$D,2,0)</f>
        <v>74 99551147</v>
      </c>
    </row>
    <row r="1261" spans="1:16" x14ac:dyDescent="0.3">
      <c r="A1261" t="s">
        <v>8983</v>
      </c>
      <c r="B1261" t="s">
        <v>8984</v>
      </c>
      <c r="C1261" t="s">
        <v>8985</v>
      </c>
      <c r="D1261" t="s">
        <v>8306</v>
      </c>
      <c r="E1261" t="s">
        <v>8986</v>
      </c>
      <c r="F1261" t="s">
        <v>137</v>
      </c>
      <c r="G1261">
        <v>206</v>
      </c>
      <c r="H1261">
        <v>200</v>
      </c>
      <c r="I1261" s="5" t="s">
        <v>8987</v>
      </c>
      <c r="J1261" s="5" t="s">
        <v>8988</v>
      </c>
      <c r="K1261" s="5" t="str">
        <f t="shared" si="38"/>
        <v>https://www.google.com/maps?q=-11.343510, -41.663715</v>
      </c>
      <c r="L1261" s="5" t="str">
        <f t="shared" si="39"/>
        <v>Abrir no Maps</v>
      </c>
      <c r="M1261" t="s">
        <v>8989</v>
      </c>
      <c r="N1261" s="5"/>
      <c r="O1261" t="str">
        <f>VLOOKUP(G1261,'[1]CONFIG.'!$B:$C,2,0)</f>
        <v>ROBERTO</v>
      </c>
      <c r="P1261" t="str">
        <f>VLOOKUP(O1261,'[1]CONFIG.'!$C:$D,2,0)</f>
        <v>74 99551147</v>
      </c>
    </row>
    <row r="1262" spans="1:16" x14ac:dyDescent="0.3">
      <c r="A1262" t="s">
        <v>8990</v>
      </c>
      <c r="B1262" t="s">
        <v>8991</v>
      </c>
      <c r="C1262" t="s">
        <v>8992</v>
      </c>
      <c r="D1262" t="s">
        <v>8306</v>
      </c>
      <c r="E1262" t="s">
        <v>8993</v>
      </c>
      <c r="F1262" t="s">
        <v>137</v>
      </c>
      <c r="G1262">
        <v>206</v>
      </c>
      <c r="H1262">
        <v>200</v>
      </c>
      <c r="I1262" s="5" t="s">
        <v>8994</v>
      </c>
      <c r="J1262" s="5" t="s">
        <v>8995</v>
      </c>
      <c r="K1262" s="5" t="str">
        <f t="shared" si="38"/>
        <v>https://www.google.com/maps?q=-11.344715, -41.668190</v>
      </c>
      <c r="L1262" s="5" t="str">
        <f t="shared" si="39"/>
        <v>Abrir no Maps</v>
      </c>
      <c r="M1262" t="s">
        <v>8996</v>
      </c>
      <c r="N1262" s="5"/>
      <c r="O1262" t="str">
        <f>VLOOKUP(G1262,'[1]CONFIG.'!$B:$C,2,0)</f>
        <v>ROBERTO</v>
      </c>
      <c r="P1262" t="str">
        <f>VLOOKUP(O1262,'[1]CONFIG.'!$C:$D,2,0)</f>
        <v>74 99551147</v>
      </c>
    </row>
    <row r="1263" spans="1:16" x14ac:dyDescent="0.3">
      <c r="A1263" t="s">
        <v>8997</v>
      </c>
      <c r="B1263" t="s">
        <v>8998</v>
      </c>
      <c r="C1263" t="s">
        <v>8999</v>
      </c>
      <c r="D1263" t="s">
        <v>8306</v>
      </c>
      <c r="E1263" t="s">
        <v>9000</v>
      </c>
      <c r="F1263" t="s">
        <v>137</v>
      </c>
      <c r="G1263">
        <v>206</v>
      </c>
      <c r="H1263">
        <v>200</v>
      </c>
      <c r="I1263" s="5" t="s">
        <v>9001</v>
      </c>
      <c r="J1263" s="5" t="s">
        <v>9002</v>
      </c>
      <c r="K1263" s="5" t="str">
        <f t="shared" si="38"/>
        <v>https://www.google.com/maps?q=-11.345355, -41.662830</v>
      </c>
      <c r="L1263" s="5" t="str">
        <f t="shared" si="39"/>
        <v>Abrir no Maps</v>
      </c>
      <c r="M1263" t="s">
        <v>9003</v>
      </c>
      <c r="N1263" s="5"/>
      <c r="O1263" t="str">
        <f>VLOOKUP(G1263,'[1]CONFIG.'!$B:$C,2,0)</f>
        <v>ROBERTO</v>
      </c>
      <c r="P1263" t="str">
        <f>VLOOKUP(O1263,'[1]CONFIG.'!$C:$D,2,0)</f>
        <v>74 99551147</v>
      </c>
    </row>
    <row r="1264" spans="1:16" x14ac:dyDescent="0.3">
      <c r="A1264" t="s">
        <v>9004</v>
      </c>
      <c r="B1264" t="s">
        <v>9005</v>
      </c>
      <c r="C1264" t="s">
        <v>9006</v>
      </c>
      <c r="D1264" t="s">
        <v>8306</v>
      </c>
      <c r="E1264" t="s">
        <v>9007</v>
      </c>
      <c r="F1264" t="s">
        <v>137</v>
      </c>
      <c r="G1264">
        <v>206</v>
      </c>
      <c r="H1264">
        <v>200</v>
      </c>
      <c r="I1264" s="5" t="s">
        <v>9008</v>
      </c>
      <c r="J1264" s="5" t="s">
        <v>9009</v>
      </c>
      <c r="K1264" s="5" t="str">
        <f t="shared" si="38"/>
        <v>https://www.google.com/maps?q=-11.344700, -41.663338</v>
      </c>
      <c r="L1264" s="5" t="str">
        <f t="shared" si="39"/>
        <v>Abrir no Maps</v>
      </c>
      <c r="M1264" t="s">
        <v>9010</v>
      </c>
      <c r="N1264" s="5"/>
      <c r="O1264" t="str">
        <f>VLOOKUP(G1264,'[1]CONFIG.'!$B:$C,2,0)</f>
        <v>ROBERTO</v>
      </c>
      <c r="P1264" t="str">
        <f>VLOOKUP(O1264,'[1]CONFIG.'!$C:$D,2,0)</f>
        <v>74 99551147</v>
      </c>
    </row>
    <row r="1265" spans="1:16" x14ac:dyDescent="0.3">
      <c r="A1265" t="s">
        <v>9011</v>
      </c>
      <c r="B1265" t="s">
        <v>9012</v>
      </c>
      <c r="C1265" t="s">
        <v>9013</v>
      </c>
      <c r="D1265" t="s">
        <v>8306</v>
      </c>
      <c r="E1265" t="s">
        <v>9014</v>
      </c>
      <c r="F1265" t="s">
        <v>137</v>
      </c>
      <c r="G1265">
        <v>206</v>
      </c>
      <c r="H1265">
        <v>200</v>
      </c>
      <c r="I1265" s="5" t="s">
        <v>9015</v>
      </c>
      <c r="J1265" s="5" t="s">
        <v>9016</v>
      </c>
      <c r="K1265" s="5" t="str">
        <f t="shared" si="38"/>
        <v>https://www.google.com/maps?q=-11.347616, -41.657637</v>
      </c>
      <c r="L1265" s="5" t="str">
        <f t="shared" si="39"/>
        <v>Abrir no Maps</v>
      </c>
      <c r="M1265" t="s">
        <v>9017</v>
      </c>
      <c r="N1265" s="5"/>
      <c r="O1265" t="str">
        <f>VLOOKUP(G1265,'[1]CONFIG.'!$B:$C,2,0)</f>
        <v>ROBERTO</v>
      </c>
      <c r="P1265" t="str">
        <f>VLOOKUP(O1265,'[1]CONFIG.'!$C:$D,2,0)</f>
        <v>74 99551147</v>
      </c>
    </row>
    <row r="1266" spans="1:16" x14ac:dyDescent="0.3">
      <c r="A1266" t="s">
        <v>9018</v>
      </c>
      <c r="B1266" t="s">
        <v>9019</v>
      </c>
      <c r="C1266" t="s">
        <v>9020</v>
      </c>
      <c r="D1266" t="s">
        <v>8306</v>
      </c>
      <c r="E1266" t="s">
        <v>9021</v>
      </c>
      <c r="F1266" t="s">
        <v>4659</v>
      </c>
      <c r="G1266">
        <v>206</v>
      </c>
      <c r="H1266">
        <v>200</v>
      </c>
      <c r="I1266" s="5" t="s">
        <v>9022</v>
      </c>
      <c r="J1266" s="5" t="s">
        <v>9023</v>
      </c>
      <c r="K1266" s="5" t="str">
        <f t="shared" si="38"/>
        <v>https://www.google.com/maps?q=-11.392387, -41.698103</v>
      </c>
      <c r="L1266" s="5" t="str">
        <f t="shared" si="39"/>
        <v>Abrir no Maps</v>
      </c>
      <c r="M1266" t="s">
        <v>9024</v>
      </c>
      <c r="N1266" s="5"/>
      <c r="O1266" t="str">
        <f>VLOOKUP(G1266,'[1]CONFIG.'!$B:$C,2,0)</f>
        <v>ROBERTO</v>
      </c>
      <c r="P1266" t="str">
        <f>VLOOKUP(O1266,'[1]CONFIG.'!$C:$D,2,0)</f>
        <v>74 99551147</v>
      </c>
    </row>
    <row r="1267" spans="1:16" x14ac:dyDescent="0.3">
      <c r="A1267" t="s">
        <v>9025</v>
      </c>
      <c r="B1267" t="s">
        <v>9026</v>
      </c>
      <c r="C1267" t="s">
        <v>9027</v>
      </c>
      <c r="D1267" t="s">
        <v>8306</v>
      </c>
      <c r="E1267" t="s">
        <v>9028</v>
      </c>
      <c r="F1267" t="s">
        <v>9029</v>
      </c>
      <c r="G1267">
        <v>206</v>
      </c>
      <c r="H1267">
        <v>200</v>
      </c>
      <c r="I1267" s="5" t="s">
        <v>9030</v>
      </c>
      <c r="J1267" s="5" t="s">
        <v>9031</v>
      </c>
      <c r="K1267" s="5" t="str">
        <f t="shared" si="38"/>
        <v>https://www.google.com/maps?q=-11.375625, -41.741565</v>
      </c>
      <c r="L1267" s="5" t="str">
        <f t="shared" si="39"/>
        <v>Abrir no Maps</v>
      </c>
      <c r="M1267" t="s">
        <v>9032</v>
      </c>
      <c r="N1267" s="5"/>
      <c r="O1267" t="str">
        <f>VLOOKUP(G1267,'[1]CONFIG.'!$B:$C,2,0)</f>
        <v>ROBERTO</v>
      </c>
      <c r="P1267" t="str">
        <f>VLOOKUP(O1267,'[1]CONFIG.'!$C:$D,2,0)</f>
        <v>74 99551147</v>
      </c>
    </row>
    <row r="1268" spans="1:16" x14ac:dyDescent="0.3">
      <c r="A1268" t="s">
        <v>9033</v>
      </c>
      <c r="B1268" t="s">
        <v>9034</v>
      </c>
      <c r="C1268" t="s">
        <v>9035</v>
      </c>
      <c r="D1268" t="s">
        <v>8306</v>
      </c>
      <c r="E1268" t="s">
        <v>9036</v>
      </c>
      <c r="F1268" t="s">
        <v>137</v>
      </c>
      <c r="G1268">
        <v>206</v>
      </c>
      <c r="H1268">
        <v>200</v>
      </c>
      <c r="I1268" s="5" t="s">
        <v>9037</v>
      </c>
      <c r="J1268" s="5" t="s">
        <v>9038</v>
      </c>
      <c r="K1268" s="5" t="str">
        <f t="shared" si="38"/>
        <v>https://www.google.com/maps?q=-11.342557, -41.663407</v>
      </c>
      <c r="L1268" s="5" t="str">
        <f t="shared" si="39"/>
        <v>Abrir no Maps</v>
      </c>
      <c r="M1268" t="s">
        <v>9039</v>
      </c>
      <c r="N1268" s="5"/>
      <c r="O1268" t="str">
        <f>VLOOKUP(G1268,'[1]CONFIG.'!$B:$C,2,0)</f>
        <v>ROBERTO</v>
      </c>
      <c r="P1268" t="str">
        <f>VLOOKUP(O1268,'[1]CONFIG.'!$C:$D,2,0)</f>
        <v>74 99551147</v>
      </c>
    </row>
    <row r="1269" spans="1:16" x14ac:dyDescent="0.3">
      <c r="A1269" t="s">
        <v>9040</v>
      </c>
      <c r="B1269" t="s">
        <v>9041</v>
      </c>
      <c r="C1269" t="s">
        <v>9042</v>
      </c>
      <c r="D1269" t="s">
        <v>8306</v>
      </c>
      <c r="E1269" t="s">
        <v>9043</v>
      </c>
      <c r="F1269" t="s">
        <v>137</v>
      </c>
      <c r="G1269">
        <v>206</v>
      </c>
      <c r="H1269">
        <v>200</v>
      </c>
      <c r="I1269" s="5" t="s">
        <v>9044</v>
      </c>
      <c r="J1269" s="5" t="s">
        <v>9045</v>
      </c>
      <c r="K1269" s="5" t="str">
        <f t="shared" si="38"/>
        <v>https://www.google.com/maps?q=-11.339332, -41.669077</v>
      </c>
      <c r="L1269" s="5" t="str">
        <f t="shared" si="39"/>
        <v>Abrir no Maps</v>
      </c>
      <c r="M1269" t="s">
        <v>9046</v>
      </c>
      <c r="N1269" s="5"/>
      <c r="O1269" t="str">
        <f>VLOOKUP(G1269,'[1]CONFIG.'!$B:$C,2,0)</f>
        <v>ROBERTO</v>
      </c>
      <c r="P1269" t="str">
        <f>VLOOKUP(O1269,'[1]CONFIG.'!$C:$D,2,0)</f>
        <v>74 99551147</v>
      </c>
    </row>
    <row r="1270" spans="1:16" x14ac:dyDescent="0.3">
      <c r="A1270" t="s">
        <v>9047</v>
      </c>
      <c r="B1270" t="s">
        <v>9048</v>
      </c>
      <c r="C1270" t="s">
        <v>9049</v>
      </c>
      <c r="D1270" t="s">
        <v>8306</v>
      </c>
      <c r="E1270" t="s">
        <v>9050</v>
      </c>
      <c r="F1270" t="s">
        <v>9051</v>
      </c>
      <c r="G1270">
        <v>206</v>
      </c>
      <c r="H1270">
        <v>200</v>
      </c>
      <c r="I1270" s="5" t="s">
        <v>9052</v>
      </c>
      <c r="J1270" s="5" t="s">
        <v>9053</v>
      </c>
      <c r="K1270" s="5" t="str">
        <f t="shared" si="38"/>
        <v>https://www.google.com/maps?q=-11.335857, -41.667091</v>
      </c>
      <c r="L1270" s="5" t="str">
        <f t="shared" si="39"/>
        <v>Abrir no Maps</v>
      </c>
      <c r="M1270" t="s">
        <v>9054</v>
      </c>
      <c r="N1270" s="5"/>
      <c r="O1270" t="str">
        <f>VLOOKUP(G1270,'[1]CONFIG.'!$B:$C,2,0)</f>
        <v>ROBERTO</v>
      </c>
      <c r="P1270" t="str">
        <f>VLOOKUP(O1270,'[1]CONFIG.'!$C:$D,2,0)</f>
        <v>74 99551147</v>
      </c>
    </row>
    <row r="1271" spans="1:16" x14ac:dyDescent="0.3">
      <c r="A1271" t="s">
        <v>9055</v>
      </c>
      <c r="B1271" t="s">
        <v>9056</v>
      </c>
      <c r="C1271" t="s">
        <v>9057</v>
      </c>
      <c r="D1271" t="s">
        <v>8306</v>
      </c>
      <c r="E1271" t="s">
        <v>9058</v>
      </c>
      <c r="F1271" t="s">
        <v>137</v>
      </c>
      <c r="G1271">
        <v>206</v>
      </c>
      <c r="H1271">
        <v>200</v>
      </c>
      <c r="I1271" s="5" t="s">
        <v>9059</v>
      </c>
      <c r="J1271" s="5" t="s">
        <v>9060</v>
      </c>
      <c r="K1271" s="5" t="str">
        <f t="shared" si="38"/>
        <v>https://www.google.com/maps?q=-11.342893, -41.656809</v>
      </c>
      <c r="L1271" s="5" t="str">
        <f t="shared" si="39"/>
        <v>Abrir no Maps</v>
      </c>
      <c r="M1271" t="s">
        <v>9061</v>
      </c>
      <c r="N1271" s="5"/>
      <c r="O1271" t="str">
        <f>VLOOKUP(G1271,'[1]CONFIG.'!$B:$C,2,0)</f>
        <v>ROBERTO</v>
      </c>
      <c r="P1271" t="str">
        <f>VLOOKUP(O1271,'[1]CONFIG.'!$C:$D,2,0)</f>
        <v>74 99551147</v>
      </c>
    </row>
    <row r="1272" spans="1:16" x14ac:dyDescent="0.3">
      <c r="A1272" t="s">
        <v>9062</v>
      </c>
      <c r="B1272" t="s">
        <v>9063</v>
      </c>
      <c r="C1272" t="s">
        <v>9064</v>
      </c>
      <c r="D1272" t="s">
        <v>8306</v>
      </c>
      <c r="E1272" t="s">
        <v>9065</v>
      </c>
      <c r="F1272" t="s">
        <v>137</v>
      </c>
      <c r="G1272">
        <v>206</v>
      </c>
      <c r="H1272">
        <v>200</v>
      </c>
      <c r="I1272" s="5" t="s">
        <v>9066</v>
      </c>
      <c r="J1272" s="5" t="s">
        <v>8923</v>
      </c>
      <c r="K1272" s="5" t="str">
        <f t="shared" si="38"/>
        <v>https://www.google.com/maps?q=-11.349473, -41.663260</v>
      </c>
      <c r="L1272" s="5" t="str">
        <f t="shared" si="39"/>
        <v>Abrir no Maps</v>
      </c>
      <c r="M1272" t="s">
        <v>9067</v>
      </c>
      <c r="N1272" s="5"/>
      <c r="O1272" t="str">
        <f>VLOOKUP(G1272,'[1]CONFIG.'!$B:$C,2,0)</f>
        <v>ROBERTO</v>
      </c>
      <c r="P1272" t="str">
        <f>VLOOKUP(O1272,'[1]CONFIG.'!$C:$D,2,0)</f>
        <v>74 99551147</v>
      </c>
    </row>
    <row r="1273" spans="1:16" x14ac:dyDescent="0.3">
      <c r="A1273" t="s">
        <v>9068</v>
      </c>
      <c r="B1273" t="s">
        <v>9069</v>
      </c>
      <c r="C1273" t="s">
        <v>9070</v>
      </c>
      <c r="D1273" t="s">
        <v>8306</v>
      </c>
      <c r="E1273" t="s">
        <v>9071</v>
      </c>
      <c r="F1273" t="s">
        <v>137</v>
      </c>
      <c r="G1273">
        <v>206</v>
      </c>
      <c r="H1273">
        <v>200</v>
      </c>
      <c r="I1273" s="5" t="s">
        <v>9072</v>
      </c>
      <c r="J1273" s="5" t="s">
        <v>9073</v>
      </c>
      <c r="K1273" s="5" t="str">
        <f t="shared" si="38"/>
        <v>https://www.google.com/maps?q=-11.341071, -41.662640</v>
      </c>
      <c r="L1273" s="5" t="str">
        <f t="shared" si="39"/>
        <v>Abrir no Maps</v>
      </c>
      <c r="M1273" t="s">
        <v>8714</v>
      </c>
      <c r="N1273" s="5"/>
      <c r="O1273" t="str">
        <f>VLOOKUP(G1273,'[1]CONFIG.'!$B:$C,2,0)</f>
        <v>ROBERTO</v>
      </c>
      <c r="P1273" t="str">
        <f>VLOOKUP(O1273,'[1]CONFIG.'!$C:$D,2,0)</f>
        <v>74 99551147</v>
      </c>
    </row>
    <row r="1274" spans="1:16" x14ac:dyDescent="0.3">
      <c r="A1274" t="s">
        <v>9074</v>
      </c>
      <c r="B1274" t="s">
        <v>9075</v>
      </c>
      <c r="C1274" t="s">
        <v>9076</v>
      </c>
      <c r="D1274" t="s">
        <v>8306</v>
      </c>
      <c r="E1274" t="s">
        <v>9077</v>
      </c>
      <c r="F1274" t="s">
        <v>137</v>
      </c>
      <c r="G1274">
        <v>206</v>
      </c>
      <c r="H1274">
        <v>200</v>
      </c>
      <c r="I1274" s="5" t="s">
        <v>9078</v>
      </c>
      <c r="J1274" s="5" t="s">
        <v>9079</v>
      </c>
      <c r="K1274" s="5" t="str">
        <f t="shared" si="38"/>
        <v>https://www.google.com/maps?q=-11.344430, -41.664663</v>
      </c>
      <c r="L1274" s="5" t="str">
        <f t="shared" si="39"/>
        <v>Abrir no Maps</v>
      </c>
      <c r="M1274" t="s">
        <v>9080</v>
      </c>
      <c r="N1274" s="5"/>
      <c r="O1274" t="str">
        <f>VLOOKUP(G1274,'[1]CONFIG.'!$B:$C,2,0)</f>
        <v>ROBERTO</v>
      </c>
      <c r="P1274" t="str">
        <f>VLOOKUP(O1274,'[1]CONFIG.'!$C:$D,2,0)</f>
        <v>74 99551147</v>
      </c>
    </row>
    <row r="1275" spans="1:16" x14ac:dyDescent="0.3">
      <c r="A1275" t="s">
        <v>9081</v>
      </c>
      <c r="B1275" t="s">
        <v>9082</v>
      </c>
      <c r="C1275" t="s">
        <v>9083</v>
      </c>
      <c r="D1275" t="s">
        <v>8306</v>
      </c>
      <c r="E1275" t="s">
        <v>9084</v>
      </c>
      <c r="F1275" t="s">
        <v>9085</v>
      </c>
      <c r="G1275">
        <v>206</v>
      </c>
      <c r="H1275">
        <v>200</v>
      </c>
      <c r="I1275" s="5" t="s">
        <v>9086</v>
      </c>
      <c r="J1275" s="5" t="s">
        <v>9087</v>
      </c>
      <c r="K1275" s="5" t="str">
        <f t="shared" si="38"/>
        <v>https://www.google.com/maps?q=-11.344793, -41.665436</v>
      </c>
      <c r="L1275" s="5" t="str">
        <f t="shared" si="39"/>
        <v>Abrir no Maps</v>
      </c>
      <c r="M1275" t="s">
        <v>9088</v>
      </c>
      <c r="N1275" s="5"/>
      <c r="O1275" t="str">
        <f>VLOOKUP(G1275,'[1]CONFIG.'!$B:$C,2,0)</f>
        <v>ROBERTO</v>
      </c>
      <c r="P1275" t="str">
        <f>VLOOKUP(O1275,'[1]CONFIG.'!$C:$D,2,0)</f>
        <v>74 99551147</v>
      </c>
    </row>
    <row r="1276" spans="1:16" x14ac:dyDescent="0.3">
      <c r="A1276" t="s">
        <v>9089</v>
      </c>
      <c r="B1276" t="s">
        <v>9090</v>
      </c>
      <c r="C1276" t="s">
        <v>9091</v>
      </c>
      <c r="D1276" t="s">
        <v>9092</v>
      </c>
      <c r="E1276" t="s">
        <v>9093</v>
      </c>
      <c r="F1276" t="s">
        <v>137</v>
      </c>
      <c r="G1276">
        <v>207</v>
      </c>
      <c r="H1276">
        <v>500</v>
      </c>
      <c r="I1276" s="5" t="s">
        <v>9094</v>
      </c>
      <c r="J1276" s="5" t="s">
        <v>9095</v>
      </c>
      <c r="K1276" s="5" t="str">
        <f t="shared" si="38"/>
        <v>https://www.google.com/maps?q=-11.049309, -41.977566</v>
      </c>
      <c r="L1276" s="5" t="str">
        <f t="shared" si="39"/>
        <v>Abrir no Maps</v>
      </c>
      <c r="M1276" t="s">
        <v>9096</v>
      </c>
      <c r="N1276" s="5"/>
      <c r="O1276" t="str">
        <f>VLOOKUP(G1276,'[1]CONFIG.'!$B:$C,2,0)</f>
        <v>HIAGO</v>
      </c>
      <c r="P1276" t="str">
        <f>VLOOKUP(O1276,'[1]CONFIG.'!$C:$D,2,0)</f>
        <v>74 99872571</v>
      </c>
    </row>
    <row r="1277" spans="1:16" x14ac:dyDescent="0.3">
      <c r="A1277" t="s">
        <v>9097</v>
      </c>
      <c r="B1277" t="s">
        <v>9098</v>
      </c>
      <c r="C1277" t="s">
        <v>9099</v>
      </c>
      <c r="D1277" t="s">
        <v>9092</v>
      </c>
      <c r="E1277" t="s">
        <v>9100</v>
      </c>
      <c r="F1277" t="s">
        <v>137</v>
      </c>
      <c r="G1277">
        <v>207</v>
      </c>
      <c r="H1277">
        <v>500</v>
      </c>
      <c r="I1277" s="5" t="s">
        <v>9101</v>
      </c>
      <c r="J1277" s="5" t="s">
        <v>9102</v>
      </c>
      <c r="K1277" s="5" t="str">
        <f t="shared" si="38"/>
        <v>https://www.google.com/maps?q=-11.043430, -41.969370</v>
      </c>
      <c r="L1277" s="5" t="str">
        <f t="shared" si="39"/>
        <v>Abrir no Maps</v>
      </c>
      <c r="M1277" t="s">
        <v>9103</v>
      </c>
      <c r="N1277" s="5"/>
      <c r="O1277" t="str">
        <f>VLOOKUP(G1277,'[1]CONFIG.'!$B:$C,2,0)</f>
        <v>HIAGO</v>
      </c>
      <c r="P1277" t="str">
        <f>VLOOKUP(O1277,'[1]CONFIG.'!$C:$D,2,0)</f>
        <v>74 99872571</v>
      </c>
    </row>
    <row r="1278" spans="1:16" x14ac:dyDescent="0.3">
      <c r="A1278" t="s">
        <v>9104</v>
      </c>
      <c r="B1278" t="s">
        <v>9105</v>
      </c>
      <c r="C1278" t="s">
        <v>9106</v>
      </c>
      <c r="D1278" t="s">
        <v>9092</v>
      </c>
      <c r="E1278" t="s">
        <v>9107</v>
      </c>
      <c r="F1278" t="s">
        <v>137</v>
      </c>
      <c r="G1278">
        <v>207</v>
      </c>
      <c r="H1278">
        <v>500</v>
      </c>
      <c r="I1278" s="5" t="s">
        <v>9108</v>
      </c>
      <c r="J1278" s="5" t="s">
        <v>9109</v>
      </c>
      <c r="K1278" s="5" t="str">
        <f t="shared" si="38"/>
        <v>https://www.google.com/maps?q=-11.043359, -41.970650</v>
      </c>
      <c r="L1278" s="5" t="str">
        <f t="shared" si="39"/>
        <v>Abrir no Maps</v>
      </c>
      <c r="M1278" t="s">
        <v>5655</v>
      </c>
      <c r="N1278" s="5"/>
      <c r="O1278" t="str">
        <f>VLOOKUP(G1278,'[1]CONFIG.'!$B:$C,2,0)</f>
        <v>HIAGO</v>
      </c>
      <c r="P1278" t="str">
        <f>VLOOKUP(O1278,'[1]CONFIG.'!$C:$D,2,0)</f>
        <v>74 99872571</v>
      </c>
    </row>
    <row r="1279" spans="1:16" x14ac:dyDescent="0.3">
      <c r="A1279" t="s">
        <v>9110</v>
      </c>
      <c r="B1279" t="s">
        <v>9111</v>
      </c>
      <c r="C1279" t="s">
        <v>9112</v>
      </c>
      <c r="D1279" t="s">
        <v>9092</v>
      </c>
      <c r="E1279" t="s">
        <v>9113</v>
      </c>
      <c r="F1279" t="s">
        <v>137</v>
      </c>
      <c r="G1279">
        <v>207</v>
      </c>
      <c r="H1279">
        <v>500</v>
      </c>
      <c r="I1279" s="5" t="s">
        <v>9114</v>
      </c>
      <c r="J1279" s="5" t="s">
        <v>9115</v>
      </c>
      <c r="K1279" s="5" t="str">
        <f t="shared" si="38"/>
        <v>https://www.google.com/maps?q=-11.041483, -41.970264</v>
      </c>
      <c r="L1279" s="5" t="str">
        <f t="shared" si="39"/>
        <v>Abrir no Maps</v>
      </c>
      <c r="M1279" t="s">
        <v>9116</v>
      </c>
      <c r="N1279" s="5"/>
      <c r="O1279" t="str">
        <f>VLOOKUP(G1279,'[1]CONFIG.'!$B:$C,2,0)</f>
        <v>HIAGO</v>
      </c>
      <c r="P1279" t="str">
        <f>VLOOKUP(O1279,'[1]CONFIG.'!$C:$D,2,0)</f>
        <v>74 99872571</v>
      </c>
    </row>
    <row r="1280" spans="1:16" x14ac:dyDescent="0.3">
      <c r="A1280" t="s">
        <v>9117</v>
      </c>
      <c r="B1280" t="s">
        <v>9118</v>
      </c>
      <c r="C1280" t="s">
        <v>9119</v>
      </c>
      <c r="D1280" t="s">
        <v>9092</v>
      </c>
      <c r="E1280" t="s">
        <v>9120</v>
      </c>
      <c r="F1280" t="s">
        <v>137</v>
      </c>
      <c r="G1280">
        <v>207</v>
      </c>
      <c r="H1280">
        <v>500</v>
      </c>
      <c r="I1280" s="5" t="s">
        <v>9121</v>
      </c>
      <c r="J1280" s="5" t="s">
        <v>9122</v>
      </c>
      <c r="K1280" s="5" t="str">
        <f t="shared" si="38"/>
        <v>https://www.google.com/maps?q=-11.044235, -41.969627</v>
      </c>
      <c r="L1280" s="5" t="str">
        <f t="shared" si="39"/>
        <v>Abrir no Maps</v>
      </c>
      <c r="M1280" t="s">
        <v>9123</v>
      </c>
      <c r="N1280" s="5"/>
      <c r="O1280" t="str">
        <f>VLOOKUP(G1280,'[1]CONFIG.'!$B:$C,2,0)</f>
        <v>HIAGO</v>
      </c>
      <c r="P1280" t="str">
        <f>VLOOKUP(O1280,'[1]CONFIG.'!$C:$D,2,0)</f>
        <v>74 99872571</v>
      </c>
    </row>
    <row r="1281" spans="1:16" x14ac:dyDescent="0.3">
      <c r="A1281" t="s">
        <v>9124</v>
      </c>
      <c r="B1281" t="s">
        <v>843</v>
      </c>
      <c r="C1281" t="s">
        <v>9125</v>
      </c>
      <c r="D1281" t="s">
        <v>9092</v>
      </c>
      <c r="E1281" t="s">
        <v>9126</v>
      </c>
      <c r="F1281" t="s">
        <v>9127</v>
      </c>
      <c r="G1281">
        <v>207</v>
      </c>
      <c r="H1281">
        <v>500</v>
      </c>
      <c r="I1281" s="5" t="s">
        <v>9128</v>
      </c>
      <c r="J1281" s="5" t="s">
        <v>9129</v>
      </c>
      <c r="K1281" s="5" t="str">
        <f t="shared" si="38"/>
        <v>https://www.google.com/maps?q=-11.046957, -41.968918</v>
      </c>
      <c r="L1281" s="5" t="str">
        <f t="shared" si="39"/>
        <v>Abrir no Maps</v>
      </c>
      <c r="M1281" t="s">
        <v>9130</v>
      </c>
      <c r="N1281" s="5"/>
      <c r="O1281" t="str">
        <f>VLOOKUP(G1281,'[1]CONFIG.'!$B:$C,2,0)</f>
        <v>HIAGO</v>
      </c>
      <c r="P1281" t="str">
        <f>VLOOKUP(O1281,'[1]CONFIG.'!$C:$D,2,0)</f>
        <v>74 99872571</v>
      </c>
    </row>
    <row r="1282" spans="1:16" x14ac:dyDescent="0.3">
      <c r="A1282" t="s">
        <v>9131</v>
      </c>
      <c r="B1282" t="s">
        <v>9132</v>
      </c>
      <c r="C1282" t="s">
        <v>9133</v>
      </c>
      <c r="D1282" t="s">
        <v>9092</v>
      </c>
      <c r="E1282" t="s">
        <v>9134</v>
      </c>
      <c r="F1282" t="s">
        <v>9127</v>
      </c>
      <c r="G1282">
        <v>207</v>
      </c>
      <c r="H1282">
        <v>500</v>
      </c>
      <c r="I1282" s="5" t="s">
        <v>9135</v>
      </c>
      <c r="J1282" s="5" t="s">
        <v>9136</v>
      </c>
      <c r="K1282" s="5" t="str">
        <f t="shared" si="38"/>
        <v>https://www.google.com/maps?q=-11.047024, -41.971523</v>
      </c>
      <c r="L1282" s="5" t="str">
        <f t="shared" si="39"/>
        <v>Abrir no Maps</v>
      </c>
      <c r="M1282" t="s">
        <v>9137</v>
      </c>
      <c r="N1282" s="5"/>
      <c r="O1282" t="str">
        <f>VLOOKUP(G1282,'[1]CONFIG.'!$B:$C,2,0)</f>
        <v>HIAGO</v>
      </c>
      <c r="P1282" t="str">
        <f>VLOOKUP(O1282,'[1]CONFIG.'!$C:$D,2,0)</f>
        <v>74 99872571</v>
      </c>
    </row>
    <row r="1283" spans="1:16" x14ac:dyDescent="0.3">
      <c r="A1283" t="s">
        <v>9138</v>
      </c>
      <c r="B1283" t="s">
        <v>9139</v>
      </c>
      <c r="C1283" t="s">
        <v>9140</v>
      </c>
      <c r="D1283" t="s">
        <v>9092</v>
      </c>
      <c r="E1283" t="s">
        <v>9141</v>
      </c>
      <c r="F1283" t="s">
        <v>9127</v>
      </c>
      <c r="G1283">
        <v>207</v>
      </c>
      <c r="H1283">
        <v>500</v>
      </c>
      <c r="I1283" s="5" t="s">
        <v>9142</v>
      </c>
      <c r="J1283" s="5" t="s">
        <v>9143</v>
      </c>
      <c r="K1283" s="5" t="str">
        <f t="shared" si="38"/>
        <v>https://www.google.com/maps?q=-11.012515, -41.893326</v>
      </c>
      <c r="L1283" s="5" t="str">
        <f t="shared" si="39"/>
        <v>Abrir no Maps</v>
      </c>
      <c r="M1283" t="s">
        <v>9144</v>
      </c>
      <c r="N1283" s="5"/>
      <c r="O1283" t="str">
        <f>VLOOKUP(G1283,'[1]CONFIG.'!$B:$C,2,0)</f>
        <v>HIAGO</v>
      </c>
      <c r="P1283" t="str">
        <f>VLOOKUP(O1283,'[1]CONFIG.'!$C:$D,2,0)</f>
        <v>74 99872571</v>
      </c>
    </row>
    <row r="1284" spans="1:16" x14ac:dyDescent="0.3">
      <c r="A1284" t="s">
        <v>9145</v>
      </c>
      <c r="B1284" t="s">
        <v>9146</v>
      </c>
      <c r="C1284" t="s">
        <v>9147</v>
      </c>
      <c r="D1284" t="s">
        <v>9092</v>
      </c>
      <c r="E1284" t="s">
        <v>9148</v>
      </c>
      <c r="F1284" t="s">
        <v>137</v>
      </c>
      <c r="G1284">
        <v>207</v>
      </c>
      <c r="H1284">
        <v>500</v>
      </c>
      <c r="I1284" s="5" t="s">
        <v>9149</v>
      </c>
      <c r="J1284" s="5" t="s">
        <v>9150</v>
      </c>
      <c r="K1284" s="5" t="str">
        <f t="shared" ref="K1284:K1347" si="40">"https://www.google.com/maps?q="&amp;""&amp;LEFT(I1284,3)&amp;"."&amp;RIGHT(I1284,6)&amp;", "&amp;LEFT(J1284,3)&amp;"."&amp;RIGHT(J1284,6)</f>
        <v>https://www.google.com/maps?q=-11.048734, -41.973873</v>
      </c>
      <c r="L1284" s="5" t="str">
        <f t="shared" ref="L1284:L1347" si="41">HYPERLINK(K1284,"Abrir no Maps")</f>
        <v>Abrir no Maps</v>
      </c>
      <c r="M1284" t="s">
        <v>9151</v>
      </c>
      <c r="N1284" s="5"/>
      <c r="O1284" t="str">
        <f>VLOOKUP(G1284,'[1]CONFIG.'!$B:$C,2,0)</f>
        <v>HIAGO</v>
      </c>
      <c r="P1284" t="str">
        <f>VLOOKUP(O1284,'[1]CONFIG.'!$C:$D,2,0)</f>
        <v>74 99872571</v>
      </c>
    </row>
    <row r="1285" spans="1:16" x14ac:dyDescent="0.3">
      <c r="A1285" t="s">
        <v>9152</v>
      </c>
      <c r="B1285" t="s">
        <v>9153</v>
      </c>
      <c r="C1285" t="s">
        <v>9154</v>
      </c>
      <c r="D1285" t="s">
        <v>9092</v>
      </c>
      <c r="E1285" t="s">
        <v>9155</v>
      </c>
      <c r="F1285" t="s">
        <v>137</v>
      </c>
      <c r="G1285">
        <v>207</v>
      </c>
      <c r="H1285">
        <v>500</v>
      </c>
      <c r="I1285" s="5" t="s">
        <v>9156</v>
      </c>
      <c r="J1285" s="5" t="s">
        <v>9157</v>
      </c>
      <c r="K1285" s="5" t="str">
        <f t="shared" si="40"/>
        <v>https://www.google.com/maps?q=-11.046193, -41.969418</v>
      </c>
      <c r="L1285" s="5" t="str">
        <f t="shared" si="41"/>
        <v>Abrir no Maps</v>
      </c>
      <c r="M1285" t="s">
        <v>9158</v>
      </c>
      <c r="N1285" s="5"/>
      <c r="O1285" t="str">
        <f>VLOOKUP(G1285,'[1]CONFIG.'!$B:$C,2,0)</f>
        <v>HIAGO</v>
      </c>
      <c r="P1285" t="str">
        <f>VLOOKUP(O1285,'[1]CONFIG.'!$C:$D,2,0)</f>
        <v>74 99872571</v>
      </c>
    </row>
    <row r="1286" spans="1:16" x14ac:dyDescent="0.3">
      <c r="A1286" t="s">
        <v>9159</v>
      </c>
      <c r="B1286" t="s">
        <v>9160</v>
      </c>
      <c r="C1286" t="s">
        <v>9161</v>
      </c>
      <c r="D1286" t="s">
        <v>9092</v>
      </c>
      <c r="E1286" t="s">
        <v>9162</v>
      </c>
      <c r="F1286" t="s">
        <v>137</v>
      </c>
      <c r="G1286">
        <v>207</v>
      </c>
      <c r="H1286">
        <v>500</v>
      </c>
      <c r="I1286" s="5" t="s">
        <v>9163</v>
      </c>
      <c r="J1286" s="5" t="s">
        <v>9164</v>
      </c>
      <c r="K1286" s="5" t="str">
        <f t="shared" si="40"/>
        <v>https://www.google.com/maps?q=-11.044313, -41.971233</v>
      </c>
      <c r="L1286" s="5" t="str">
        <f t="shared" si="41"/>
        <v>Abrir no Maps</v>
      </c>
      <c r="M1286" t="s">
        <v>9165</v>
      </c>
      <c r="N1286" s="5"/>
      <c r="O1286" t="str">
        <f>VLOOKUP(G1286,'[1]CONFIG.'!$B:$C,2,0)</f>
        <v>HIAGO</v>
      </c>
      <c r="P1286" t="str">
        <f>VLOOKUP(O1286,'[1]CONFIG.'!$C:$D,2,0)</f>
        <v>74 99872571</v>
      </c>
    </row>
    <row r="1287" spans="1:16" x14ac:dyDescent="0.3">
      <c r="A1287" t="s">
        <v>9166</v>
      </c>
      <c r="B1287" t="s">
        <v>9167</v>
      </c>
      <c r="C1287" t="s">
        <v>9168</v>
      </c>
      <c r="D1287" t="s">
        <v>9092</v>
      </c>
      <c r="E1287" t="s">
        <v>9169</v>
      </c>
      <c r="F1287" t="s">
        <v>137</v>
      </c>
      <c r="G1287">
        <v>207</v>
      </c>
      <c r="H1287">
        <v>500</v>
      </c>
      <c r="I1287" s="5" t="s">
        <v>9170</v>
      </c>
      <c r="J1287" s="5" t="s">
        <v>9171</v>
      </c>
      <c r="K1287" s="5" t="str">
        <f t="shared" si="40"/>
        <v>https://www.google.com/maps?q=-11.044875, -41.969570</v>
      </c>
      <c r="L1287" s="5" t="str">
        <f t="shared" si="41"/>
        <v>Abrir no Maps</v>
      </c>
      <c r="M1287" t="s">
        <v>9172</v>
      </c>
      <c r="N1287" s="5"/>
      <c r="O1287" t="str">
        <f>VLOOKUP(G1287,'[1]CONFIG.'!$B:$C,2,0)</f>
        <v>HIAGO</v>
      </c>
      <c r="P1287" t="str">
        <f>VLOOKUP(O1287,'[1]CONFIG.'!$C:$D,2,0)</f>
        <v>74 99872571</v>
      </c>
    </row>
    <row r="1288" spans="1:16" x14ac:dyDescent="0.3">
      <c r="A1288" t="s">
        <v>9173</v>
      </c>
      <c r="B1288" t="s">
        <v>9174</v>
      </c>
      <c r="C1288" t="s">
        <v>9175</v>
      </c>
      <c r="D1288" t="s">
        <v>9092</v>
      </c>
      <c r="E1288" t="s">
        <v>9176</v>
      </c>
      <c r="F1288" t="s">
        <v>137</v>
      </c>
      <c r="G1288">
        <v>207</v>
      </c>
      <c r="H1288">
        <v>500</v>
      </c>
      <c r="I1288" s="5" t="s">
        <v>9177</v>
      </c>
      <c r="J1288" s="5" t="s">
        <v>9178</v>
      </c>
      <c r="K1288" s="5" t="str">
        <f t="shared" si="40"/>
        <v>https://www.google.com/maps?q=-11.047922, -41.972840</v>
      </c>
      <c r="L1288" s="5" t="str">
        <f t="shared" si="41"/>
        <v>Abrir no Maps</v>
      </c>
      <c r="M1288" t="s">
        <v>9179</v>
      </c>
      <c r="N1288" s="5"/>
      <c r="O1288" t="str">
        <f>VLOOKUP(G1288,'[1]CONFIG.'!$B:$C,2,0)</f>
        <v>HIAGO</v>
      </c>
      <c r="P1288" t="str">
        <f>VLOOKUP(O1288,'[1]CONFIG.'!$C:$D,2,0)</f>
        <v>74 99872571</v>
      </c>
    </row>
    <row r="1289" spans="1:16" x14ac:dyDescent="0.3">
      <c r="A1289" t="s">
        <v>9180</v>
      </c>
      <c r="B1289" t="s">
        <v>9181</v>
      </c>
      <c r="C1289" t="s">
        <v>9182</v>
      </c>
      <c r="D1289" t="s">
        <v>9092</v>
      </c>
      <c r="E1289" t="s">
        <v>9183</v>
      </c>
      <c r="F1289" t="s">
        <v>9184</v>
      </c>
      <c r="G1289">
        <v>207</v>
      </c>
      <c r="H1289">
        <v>500</v>
      </c>
      <c r="I1289" s="5" t="s">
        <v>9185</v>
      </c>
      <c r="J1289" s="5" t="s">
        <v>9186</v>
      </c>
      <c r="K1289" s="5" t="str">
        <f t="shared" si="40"/>
        <v>https://www.google.com/maps?q=-11.143424, -41.962520</v>
      </c>
      <c r="L1289" s="5" t="str">
        <f t="shared" si="41"/>
        <v>Abrir no Maps</v>
      </c>
      <c r="M1289" t="s">
        <v>9187</v>
      </c>
      <c r="N1289" s="5"/>
      <c r="O1289" t="str">
        <f>VLOOKUP(G1289,'[1]CONFIG.'!$B:$C,2,0)</f>
        <v>HIAGO</v>
      </c>
      <c r="P1289" t="str">
        <f>VLOOKUP(O1289,'[1]CONFIG.'!$C:$D,2,0)</f>
        <v>74 99872571</v>
      </c>
    </row>
    <row r="1290" spans="1:16" x14ac:dyDescent="0.3">
      <c r="A1290" t="s">
        <v>9188</v>
      </c>
      <c r="B1290" t="s">
        <v>9189</v>
      </c>
      <c r="C1290" t="s">
        <v>9190</v>
      </c>
      <c r="D1290" t="s">
        <v>9092</v>
      </c>
      <c r="E1290" t="s">
        <v>9191</v>
      </c>
      <c r="F1290" t="s">
        <v>137</v>
      </c>
      <c r="G1290">
        <v>207</v>
      </c>
      <c r="H1290">
        <v>500</v>
      </c>
      <c r="I1290" s="5" t="s">
        <v>9192</v>
      </c>
      <c r="J1290" s="5" t="s">
        <v>9193</v>
      </c>
      <c r="K1290" s="5" t="str">
        <f t="shared" si="40"/>
        <v>https://www.google.com/maps?q=-11.045165, -41.969467</v>
      </c>
      <c r="L1290" s="5" t="str">
        <f t="shared" si="41"/>
        <v>Abrir no Maps</v>
      </c>
      <c r="M1290" t="s">
        <v>9194</v>
      </c>
      <c r="N1290" s="5"/>
      <c r="O1290" t="str">
        <f>VLOOKUP(G1290,'[1]CONFIG.'!$B:$C,2,0)</f>
        <v>HIAGO</v>
      </c>
      <c r="P1290" t="str">
        <f>VLOOKUP(O1290,'[1]CONFIG.'!$C:$D,2,0)</f>
        <v>74 99872571</v>
      </c>
    </row>
    <row r="1291" spans="1:16" x14ac:dyDescent="0.3">
      <c r="A1291" t="s">
        <v>9195</v>
      </c>
      <c r="B1291" t="s">
        <v>9196</v>
      </c>
      <c r="C1291" t="s">
        <v>9197</v>
      </c>
      <c r="D1291" t="s">
        <v>9092</v>
      </c>
      <c r="E1291" t="s">
        <v>9198</v>
      </c>
      <c r="F1291" t="s">
        <v>137</v>
      </c>
      <c r="G1291">
        <v>207</v>
      </c>
      <c r="H1291">
        <v>500</v>
      </c>
      <c r="I1291" s="5" t="s">
        <v>9199</v>
      </c>
      <c r="J1291" s="5" t="s">
        <v>9200</v>
      </c>
      <c r="K1291" s="5" t="str">
        <f t="shared" si="40"/>
        <v>https://www.google.com/maps?q=-11.050536, -41.977154</v>
      </c>
      <c r="L1291" s="5" t="str">
        <f t="shared" si="41"/>
        <v>Abrir no Maps</v>
      </c>
      <c r="M1291" t="s">
        <v>9201</v>
      </c>
      <c r="N1291" s="5"/>
      <c r="O1291" t="str">
        <f>VLOOKUP(G1291,'[1]CONFIG.'!$B:$C,2,0)</f>
        <v>HIAGO</v>
      </c>
      <c r="P1291" t="str">
        <f>VLOOKUP(O1291,'[1]CONFIG.'!$C:$D,2,0)</f>
        <v>74 99872571</v>
      </c>
    </row>
    <row r="1292" spans="1:16" x14ac:dyDescent="0.3">
      <c r="A1292" t="s">
        <v>9202</v>
      </c>
      <c r="B1292" t="s">
        <v>9203</v>
      </c>
      <c r="C1292" t="s">
        <v>9204</v>
      </c>
      <c r="D1292" t="s">
        <v>9092</v>
      </c>
      <c r="E1292" t="s">
        <v>9205</v>
      </c>
      <c r="F1292" t="s">
        <v>137</v>
      </c>
      <c r="G1292">
        <v>207</v>
      </c>
      <c r="H1292">
        <v>500</v>
      </c>
      <c r="I1292" s="5" t="s">
        <v>9206</v>
      </c>
      <c r="J1292" s="5" t="s">
        <v>9207</v>
      </c>
      <c r="K1292" s="5" t="str">
        <f t="shared" si="40"/>
        <v>https://www.google.com/maps?q=-11.044312, -41.970890</v>
      </c>
      <c r="L1292" s="5" t="str">
        <f t="shared" si="41"/>
        <v>Abrir no Maps</v>
      </c>
      <c r="M1292" t="s">
        <v>9208</v>
      </c>
      <c r="N1292" s="5"/>
      <c r="O1292" t="str">
        <f>VLOOKUP(G1292,'[1]CONFIG.'!$B:$C,2,0)</f>
        <v>HIAGO</v>
      </c>
      <c r="P1292" t="str">
        <f>VLOOKUP(O1292,'[1]CONFIG.'!$C:$D,2,0)</f>
        <v>74 99872571</v>
      </c>
    </row>
    <row r="1293" spans="1:16" x14ac:dyDescent="0.3">
      <c r="A1293" t="s">
        <v>9209</v>
      </c>
      <c r="B1293" t="s">
        <v>9210</v>
      </c>
      <c r="C1293" t="s">
        <v>9211</v>
      </c>
      <c r="D1293" t="s">
        <v>9092</v>
      </c>
      <c r="E1293" t="s">
        <v>9212</v>
      </c>
      <c r="F1293" t="s">
        <v>137</v>
      </c>
      <c r="G1293">
        <v>207</v>
      </c>
      <c r="H1293">
        <v>500</v>
      </c>
      <c r="I1293" s="5" t="s">
        <v>9213</v>
      </c>
      <c r="J1293" s="5" t="s">
        <v>9214</v>
      </c>
      <c r="K1293" s="5" t="str">
        <f t="shared" si="40"/>
        <v>https://www.google.com/maps?q=-11.048367, -41.973590</v>
      </c>
      <c r="L1293" s="5" t="str">
        <f t="shared" si="41"/>
        <v>Abrir no Maps</v>
      </c>
      <c r="M1293" t="s">
        <v>9215</v>
      </c>
      <c r="N1293" s="5"/>
      <c r="O1293" t="str">
        <f>VLOOKUP(G1293,'[1]CONFIG.'!$B:$C,2,0)</f>
        <v>HIAGO</v>
      </c>
      <c r="P1293" t="str">
        <f>VLOOKUP(O1293,'[1]CONFIG.'!$C:$D,2,0)</f>
        <v>74 99872571</v>
      </c>
    </row>
    <row r="1294" spans="1:16" x14ac:dyDescent="0.3">
      <c r="A1294" t="s">
        <v>9216</v>
      </c>
      <c r="B1294" t="s">
        <v>9217</v>
      </c>
      <c r="C1294" t="s">
        <v>9218</v>
      </c>
      <c r="D1294" t="s">
        <v>9092</v>
      </c>
      <c r="E1294" t="s">
        <v>9219</v>
      </c>
      <c r="F1294" t="s">
        <v>9220</v>
      </c>
      <c r="G1294">
        <v>207</v>
      </c>
      <c r="H1294">
        <v>500</v>
      </c>
      <c r="I1294" s="5" t="s">
        <v>9221</v>
      </c>
      <c r="J1294" s="5" t="s">
        <v>9222</v>
      </c>
      <c r="K1294" s="5" t="str">
        <f t="shared" si="40"/>
        <v>https://www.google.com/maps?q=-11.014065, -41.895813</v>
      </c>
      <c r="L1294" s="5" t="str">
        <f t="shared" si="41"/>
        <v>Abrir no Maps</v>
      </c>
      <c r="M1294" t="s">
        <v>9223</v>
      </c>
      <c r="N1294" s="5"/>
      <c r="O1294" t="str">
        <f>VLOOKUP(G1294,'[1]CONFIG.'!$B:$C,2,0)</f>
        <v>HIAGO</v>
      </c>
      <c r="P1294" t="str">
        <f>VLOOKUP(O1294,'[1]CONFIG.'!$C:$D,2,0)</f>
        <v>74 99872571</v>
      </c>
    </row>
    <row r="1295" spans="1:16" x14ac:dyDescent="0.3">
      <c r="A1295" t="s">
        <v>9224</v>
      </c>
      <c r="B1295" t="s">
        <v>9225</v>
      </c>
      <c r="C1295" t="s">
        <v>9226</v>
      </c>
      <c r="D1295" t="s">
        <v>9092</v>
      </c>
      <c r="E1295" t="s">
        <v>9227</v>
      </c>
      <c r="F1295" t="s">
        <v>9127</v>
      </c>
      <c r="G1295">
        <v>207</v>
      </c>
      <c r="H1295">
        <v>500</v>
      </c>
      <c r="I1295" s="5" t="s">
        <v>9228</v>
      </c>
      <c r="J1295" s="5" t="s">
        <v>9229</v>
      </c>
      <c r="K1295" s="5" t="str">
        <f t="shared" si="40"/>
        <v>https://www.google.com/maps?q=-11.043618, -41.972416</v>
      </c>
      <c r="L1295" s="5" t="str">
        <f t="shared" si="41"/>
        <v>Abrir no Maps</v>
      </c>
      <c r="M1295">
        <v>0</v>
      </c>
      <c r="N1295" s="5"/>
      <c r="O1295" t="str">
        <f>VLOOKUP(G1295,'[1]CONFIG.'!$B:$C,2,0)</f>
        <v>HIAGO</v>
      </c>
      <c r="P1295" t="str">
        <f>VLOOKUP(O1295,'[1]CONFIG.'!$C:$D,2,0)</f>
        <v>74 99872571</v>
      </c>
    </row>
    <row r="1296" spans="1:16" x14ac:dyDescent="0.3">
      <c r="A1296" t="s">
        <v>9230</v>
      </c>
      <c r="B1296" t="s">
        <v>9231</v>
      </c>
      <c r="C1296" t="s">
        <v>9232</v>
      </c>
      <c r="D1296" t="s">
        <v>9092</v>
      </c>
      <c r="E1296" t="s">
        <v>9233</v>
      </c>
      <c r="F1296" t="s">
        <v>137</v>
      </c>
      <c r="G1296">
        <v>207</v>
      </c>
      <c r="H1296">
        <v>500</v>
      </c>
      <c r="I1296" s="5" t="s">
        <v>9234</v>
      </c>
      <c r="J1296" s="5" t="s">
        <v>9235</v>
      </c>
      <c r="K1296" s="5" t="str">
        <f t="shared" si="40"/>
        <v>https://www.google.com/maps?q=-11.045732, -41.971382</v>
      </c>
      <c r="L1296" s="5" t="str">
        <f t="shared" si="41"/>
        <v>Abrir no Maps</v>
      </c>
      <c r="M1296" t="s">
        <v>9236</v>
      </c>
      <c r="N1296" s="5"/>
      <c r="O1296" t="str">
        <f>VLOOKUP(G1296,'[1]CONFIG.'!$B:$C,2,0)</f>
        <v>HIAGO</v>
      </c>
      <c r="P1296" t="str">
        <f>VLOOKUP(O1296,'[1]CONFIG.'!$C:$D,2,0)</f>
        <v>74 99872571</v>
      </c>
    </row>
    <row r="1297" spans="1:16" x14ac:dyDescent="0.3">
      <c r="A1297" t="s">
        <v>9237</v>
      </c>
      <c r="B1297" t="s">
        <v>9238</v>
      </c>
      <c r="C1297" t="s">
        <v>9239</v>
      </c>
      <c r="D1297" t="s">
        <v>9092</v>
      </c>
      <c r="E1297" t="s">
        <v>9240</v>
      </c>
      <c r="F1297" t="s">
        <v>137</v>
      </c>
      <c r="G1297">
        <v>207</v>
      </c>
      <c r="H1297">
        <v>500</v>
      </c>
      <c r="I1297" s="5" t="s">
        <v>9241</v>
      </c>
      <c r="J1297" s="5" t="s">
        <v>9242</v>
      </c>
      <c r="K1297" s="5" t="str">
        <f t="shared" si="40"/>
        <v>https://www.google.com/maps?q=-11.041302, -41.970505</v>
      </c>
      <c r="L1297" s="5" t="str">
        <f t="shared" si="41"/>
        <v>Abrir no Maps</v>
      </c>
      <c r="M1297" t="s">
        <v>9243</v>
      </c>
      <c r="N1297" s="5"/>
      <c r="O1297" t="str">
        <f>VLOOKUP(G1297,'[1]CONFIG.'!$B:$C,2,0)</f>
        <v>HIAGO</v>
      </c>
      <c r="P1297" t="str">
        <f>VLOOKUP(O1297,'[1]CONFIG.'!$C:$D,2,0)</f>
        <v>74 99872571</v>
      </c>
    </row>
    <row r="1298" spans="1:16" x14ac:dyDescent="0.3">
      <c r="A1298" t="s">
        <v>9244</v>
      </c>
      <c r="B1298" t="s">
        <v>9245</v>
      </c>
      <c r="C1298" t="s">
        <v>9246</v>
      </c>
      <c r="D1298" t="s">
        <v>9092</v>
      </c>
      <c r="E1298" t="s">
        <v>9247</v>
      </c>
      <c r="F1298" t="s">
        <v>9248</v>
      </c>
      <c r="G1298">
        <v>207</v>
      </c>
      <c r="H1298">
        <v>500</v>
      </c>
      <c r="I1298" s="5" t="s">
        <v>9249</v>
      </c>
      <c r="J1298" s="5" t="s">
        <v>9250</v>
      </c>
      <c r="K1298" s="5" t="str">
        <f t="shared" si="40"/>
        <v>https://www.google.com/maps?q=-11.142748, -41.962917</v>
      </c>
      <c r="L1298" s="5" t="str">
        <f t="shared" si="41"/>
        <v>Abrir no Maps</v>
      </c>
      <c r="M1298" t="s">
        <v>9251</v>
      </c>
      <c r="N1298" s="5"/>
      <c r="O1298" t="str">
        <f>VLOOKUP(G1298,'[1]CONFIG.'!$B:$C,2,0)</f>
        <v>HIAGO</v>
      </c>
      <c r="P1298" t="str">
        <f>VLOOKUP(O1298,'[1]CONFIG.'!$C:$D,2,0)</f>
        <v>74 99872571</v>
      </c>
    </row>
    <row r="1299" spans="1:16" x14ac:dyDescent="0.3">
      <c r="A1299" t="s">
        <v>9252</v>
      </c>
      <c r="B1299" t="s">
        <v>9253</v>
      </c>
      <c r="C1299" t="s">
        <v>9254</v>
      </c>
      <c r="D1299" t="s">
        <v>9092</v>
      </c>
      <c r="E1299" t="s">
        <v>9255</v>
      </c>
      <c r="F1299" t="s">
        <v>137</v>
      </c>
      <c r="G1299">
        <v>207</v>
      </c>
      <c r="H1299">
        <v>500</v>
      </c>
      <c r="I1299" s="5" t="s">
        <v>9256</v>
      </c>
      <c r="J1299" s="5" t="s">
        <v>9257</v>
      </c>
      <c r="K1299" s="5" t="str">
        <f t="shared" si="40"/>
        <v>https://www.google.com/maps?q=-11.047025, -41.969757</v>
      </c>
      <c r="L1299" s="5" t="str">
        <f t="shared" si="41"/>
        <v>Abrir no Maps</v>
      </c>
      <c r="M1299" t="s">
        <v>9258</v>
      </c>
      <c r="N1299" s="5"/>
      <c r="O1299" t="str">
        <f>VLOOKUP(G1299,'[1]CONFIG.'!$B:$C,2,0)</f>
        <v>HIAGO</v>
      </c>
      <c r="P1299" t="str">
        <f>VLOOKUP(O1299,'[1]CONFIG.'!$C:$D,2,0)</f>
        <v>74 99872571</v>
      </c>
    </row>
    <row r="1300" spans="1:16" x14ac:dyDescent="0.3">
      <c r="A1300" t="s">
        <v>9259</v>
      </c>
      <c r="B1300" t="s">
        <v>9260</v>
      </c>
      <c r="C1300" t="s">
        <v>9261</v>
      </c>
      <c r="D1300" t="s">
        <v>9092</v>
      </c>
      <c r="E1300" t="s">
        <v>9262</v>
      </c>
      <c r="F1300" t="s">
        <v>137</v>
      </c>
      <c r="G1300">
        <v>207</v>
      </c>
      <c r="H1300">
        <v>500</v>
      </c>
      <c r="I1300" s="5" t="s">
        <v>9263</v>
      </c>
      <c r="J1300" s="5" t="s">
        <v>9264</v>
      </c>
      <c r="K1300" s="5" t="str">
        <f t="shared" si="40"/>
        <v>https://www.google.com/maps?q=-11.042702, -41.971890</v>
      </c>
      <c r="L1300" s="5" t="str">
        <f t="shared" si="41"/>
        <v>Abrir no Maps</v>
      </c>
      <c r="M1300" t="s">
        <v>9265</v>
      </c>
      <c r="N1300" s="5"/>
      <c r="O1300" t="str">
        <f>VLOOKUP(G1300,'[1]CONFIG.'!$B:$C,2,0)</f>
        <v>HIAGO</v>
      </c>
      <c r="P1300" t="str">
        <f>VLOOKUP(O1300,'[1]CONFIG.'!$C:$D,2,0)</f>
        <v>74 99872571</v>
      </c>
    </row>
    <row r="1301" spans="1:16" x14ac:dyDescent="0.3">
      <c r="A1301" t="s">
        <v>9266</v>
      </c>
      <c r="B1301" t="s">
        <v>9267</v>
      </c>
      <c r="C1301" t="s">
        <v>9268</v>
      </c>
      <c r="D1301" t="s">
        <v>9092</v>
      </c>
      <c r="E1301" t="s">
        <v>9269</v>
      </c>
      <c r="F1301" t="s">
        <v>137</v>
      </c>
      <c r="G1301">
        <v>207</v>
      </c>
      <c r="H1301">
        <v>500</v>
      </c>
      <c r="I1301" s="5" t="s">
        <v>9270</v>
      </c>
      <c r="J1301" s="5" t="s">
        <v>9271</v>
      </c>
      <c r="K1301" s="5" t="str">
        <f t="shared" si="40"/>
        <v>https://www.google.com/maps?q=-11.047778, -41.972220</v>
      </c>
      <c r="L1301" s="5" t="str">
        <f t="shared" si="41"/>
        <v>Abrir no Maps</v>
      </c>
      <c r="M1301" t="s">
        <v>9272</v>
      </c>
      <c r="N1301" s="5"/>
      <c r="O1301" t="str">
        <f>VLOOKUP(G1301,'[1]CONFIG.'!$B:$C,2,0)</f>
        <v>HIAGO</v>
      </c>
      <c r="P1301" t="str">
        <f>VLOOKUP(O1301,'[1]CONFIG.'!$C:$D,2,0)</f>
        <v>74 99872571</v>
      </c>
    </row>
    <row r="1302" spans="1:16" x14ac:dyDescent="0.3">
      <c r="A1302" t="s">
        <v>9273</v>
      </c>
      <c r="B1302" t="s">
        <v>9274</v>
      </c>
      <c r="C1302" t="s">
        <v>9275</v>
      </c>
      <c r="D1302" t="s">
        <v>1435</v>
      </c>
      <c r="E1302" t="s">
        <v>9276</v>
      </c>
      <c r="F1302" t="s">
        <v>1437</v>
      </c>
      <c r="G1302">
        <v>207</v>
      </c>
      <c r="H1302">
        <v>500</v>
      </c>
      <c r="I1302" s="5" t="s">
        <v>9277</v>
      </c>
      <c r="J1302" s="5" t="s">
        <v>9278</v>
      </c>
      <c r="K1302" s="5" t="str">
        <f t="shared" si="40"/>
        <v>https://www.google.com/maps?q=-11.227540, -41.870182</v>
      </c>
      <c r="L1302" s="5" t="str">
        <f t="shared" si="41"/>
        <v>Abrir no Maps</v>
      </c>
      <c r="M1302" t="s">
        <v>9279</v>
      </c>
      <c r="N1302" s="5"/>
      <c r="O1302" t="str">
        <f>VLOOKUP(G1302,'[1]CONFIG.'!$B:$C,2,0)</f>
        <v>HIAGO</v>
      </c>
      <c r="P1302" t="str">
        <f>VLOOKUP(O1302,'[1]CONFIG.'!$C:$D,2,0)</f>
        <v>74 99872571</v>
      </c>
    </row>
    <row r="1303" spans="1:16" x14ac:dyDescent="0.3">
      <c r="A1303" t="s">
        <v>9280</v>
      </c>
      <c r="B1303" t="s">
        <v>9281</v>
      </c>
      <c r="C1303" t="s">
        <v>9282</v>
      </c>
      <c r="D1303" t="s">
        <v>9092</v>
      </c>
      <c r="E1303" t="s">
        <v>9283</v>
      </c>
      <c r="F1303" t="s">
        <v>9284</v>
      </c>
      <c r="G1303">
        <v>207</v>
      </c>
      <c r="H1303">
        <v>500</v>
      </c>
      <c r="I1303" s="5" t="s">
        <v>9285</v>
      </c>
      <c r="J1303" s="5" t="s">
        <v>9286</v>
      </c>
      <c r="K1303" s="5" t="str">
        <f t="shared" si="40"/>
        <v>https://www.google.com/maps?q=-11.111653, -41.967321</v>
      </c>
      <c r="L1303" s="5" t="str">
        <f t="shared" si="41"/>
        <v>Abrir no Maps</v>
      </c>
      <c r="M1303" t="s">
        <v>9287</v>
      </c>
      <c r="N1303" s="5"/>
      <c r="O1303" t="str">
        <f>VLOOKUP(G1303,'[1]CONFIG.'!$B:$C,2,0)</f>
        <v>HIAGO</v>
      </c>
      <c r="P1303" t="str">
        <f>VLOOKUP(O1303,'[1]CONFIG.'!$C:$D,2,0)</f>
        <v>74 99872571</v>
      </c>
    </row>
    <row r="1304" spans="1:16" x14ac:dyDescent="0.3">
      <c r="A1304" t="s">
        <v>9288</v>
      </c>
      <c r="B1304" t="s">
        <v>9289</v>
      </c>
      <c r="C1304" t="s">
        <v>9290</v>
      </c>
      <c r="D1304" t="s">
        <v>9092</v>
      </c>
      <c r="E1304" t="s">
        <v>9291</v>
      </c>
      <c r="F1304" t="s">
        <v>137</v>
      </c>
      <c r="G1304">
        <v>207</v>
      </c>
      <c r="H1304">
        <v>500</v>
      </c>
      <c r="I1304" s="5" t="s">
        <v>9292</v>
      </c>
      <c r="J1304" s="5" t="s">
        <v>9293</v>
      </c>
      <c r="K1304" s="5" t="str">
        <f t="shared" si="40"/>
        <v>https://www.google.com/maps?q=-11.047860, -41.970540</v>
      </c>
      <c r="L1304" s="5" t="str">
        <f t="shared" si="41"/>
        <v>Abrir no Maps</v>
      </c>
      <c r="M1304" t="s">
        <v>9294</v>
      </c>
      <c r="N1304" s="5"/>
      <c r="O1304" t="str">
        <f>VLOOKUP(G1304,'[1]CONFIG.'!$B:$C,2,0)</f>
        <v>HIAGO</v>
      </c>
      <c r="P1304" t="str">
        <f>VLOOKUP(O1304,'[1]CONFIG.'!$C:$D,2,0)</f>
        <v>74 99872571</v>
      </c>
    </row>
    <row r="1305" spans="1:16" x14ac:dyDescent="0.3">
      <c r="A1305" t="s">
        <v>9295</v>
      </c>
      <c r="B1305" t="s">
        <v>9296</v>
      </c>
      <c r="C1305" t="s">
        <v>9297</v>
      </c>
      <c r="D1305" t="s">
        <v>9092</v>
      </c>
      <c r="E1305" t="s">
        <v>9298</v>
      </c>
      <c r="F1305" t="s">
        <v>9299</v>
      </c>
      <c r="G1305">
        <v>207</v>
      </c>
      <c r="H1305">
        <v>500</v>
      </c>
      <c r="I1305" s="5" t="s">
        <v>9300</v>
      </c>
      <c r="J1305" s="5" t="s">
        <v>9301</v>
      </c>
      <c r="K1305" s="5" t="str">
        <f t="shared" si="40"/>
        <v>https://www.google.com/maps?q=-11.011848, -41.894165</v>
      </c>
      <c r="L1305" s="5" t="str">
        <f t="shared" si="41"/>
        <v>Abrir no Maps</v>
      </c>
      <c r="M1305" t="s">
        <v>9302</v>
      </c>
      <c r="N1305" s="5"/>
      <c r="O1305" t="str">
        <f>VLOOKUP(G1305,'[1]CONFIG.'!$B:$C,2,0)</f>
        <v>HIAGO</v>
      </c>
      <c r="P1305" t="str">
        <f>VLOOKUP(O1305,'[1]CONFIG.'!$C:$D,2,0)</f>
        <v>74 99872571</v>
      </c>
    </row>
    <row r="1306" spans="1:16" x14ac:dyDescent="0.3">
      <c r="A1306" t="s">
        <v>9303</v>
      </c>
      <c r="B1306" t="s">
        <v>9304</v>
      </c>
      <c r="C1306" t="s">
        <v>9305</v>
      </c>
      <c r="D1306" t="s">
        <v>9092</v>
      </c>
      <c r="E1306" t="s">
        <v>9306</v>
      </c>
      <c r="F1306" t="s">
        <v>9307</v>
      </c>
      <c r="G1306">
        <v>207</v>
      </c>
      <c r="H1306">
        <v>500</v>
      </c>
      <c r="I1306" s="5" t="s">
        <v>9308</v>
      </c>
      <c r="J1306" s="5" t="s">
        <v>9309</v>
      </c>
      <c r="K1306" s="5" t="str">
        <f t="shared" si="40"/>
        <v>https://www.google.com/maps?q=-11.189673, -41.917890</v>
      </c>
      <c r="L1306" s="5" t="str">
        <f t="shared" si="41"/>
        <v>Abrir no Maps</v>
      </c>
      <c r="M1306" t="s">
        <v>9310</v>
      </c>
      <c r="N1306" s="5"/>
      <c r="O1306" t="str">
        <f>VLOOKUP(G1306,'[1]CONFIG.'!$B:$C,2,0)</f>
        <v>HIAGO</v>
      </c>
      <c r="P1306" t="str">
        <f>VLOOKUP(O1306,'[1]CONFIG.'!$C:$D,2,0)</f>
        <v>74 99872571</v>
      </c>
    </row>
    <row r="1307" spans="1:16" x14ac:dyDescent="0.3">
      <c r="A1307" t="s">
        <v>9311</v>
      </c>
      <c r="B1307" t="s">
        <v>9312</v>
      </c>
      <c r="C1307" t="s">
        <v>9313</v>
      </c>
      <c r="D1307" t="s">
        <v>9092</v>
      </c>
      <c r="E1307" t="s">
        <v>9314</v>
      </c>
      <c r="F1307" t="s">
        <v>137</v>
      </c>
      <c r="G1307">
        <v>207</v>
      </c>
      <c r="H1307">
        <v>500</v>
      </c>
      <c r="I1307" s="5" t="s">
        <v>9315</v>
      </c>
      <c r="J1307" s="5" t="s">
        <v>9316</v>
      </c>
      <c r="K1307" s="5" t="str">
        <f t="shared" si="40"/>
        <v>https://www.google.com/maps?q=-11.047197, -41.969883</v>
      </c>
      <c r="L1307" s="5" t="str">
        <f t="shared" si="41"/>
        <v>Abrir no Maps</v>
      </c>
      <c r="M1307" t="s">
        <v>9317</v>
      </c>
      <c r="N1307" s="5"/>
      <c r="O1307" t="str">
        <f>VLOOKUP(G1307,'[1]CONFIG.'!$B:$C,2,0)</f>
        <v>HIAGO</v>
      </c>
      <c r="P1307" t="str">
        <f>VLOOKUP(O1307,'[1]CONFIG.'!$C:$D,2,0)</f>
        <v>74 99872571</v>
      </c>
    </row>
    <row r="1308" spans="1:16" x14ac:dyDescent="0.3">
      <c r="A1308" t="s">
        <v>9318</v>
      </c>
      <c r="B1308" t="s">
        <v>9319</v>
      </c>
      <c r="C1308" t="s">
        <v>9320</v>
      </c>
      <c r="D1308" t="s">
        <v>9092</v>
      </c>
      <c r="E1308" t="s">
        <v>9321</v>
      </c>
      <c r="F1308" t="s">
        <v>137</v>
      </c>
      <c r="G1308">
        <v>207</v>
      </c>
      <c r="H1308">
        <v>500</v>
      </c>
      <c r="I1308" s="5" t="s">
        <v>9322</v>
      </c>
      <c r="J1308" s="5" t="s">
        <v>9323</v>
      </c>
      <c r="K1308" s="5" t="str">
        <f t="shared" si="40"/>
        <v>https://www.google.com/maps?q=-11.048757, -41.976044</v>
      </c>
      <c r="L1308" s="5" t="str">
        <f t="shared" si="41"/>
        <v>Abrir no Maps</v>
      </c>
      <c r="M1308" t="s">
        <v>9324</v>
      </c>
      <c r="N1308" s="5"/>
      <c r="O1308" t="str">
        <f>VLOOKUP(G1308,'[1]CONFIG.'!$B:$C,2,0)</f>
        <v>HIAGO</v>
      </c>
      <c r="P1308" t="str">
        <f>VLOOKUP(O1308,'[1]CONFIG.'!$C:$D,2,0)</f>
        <v>74 99872571</v>
      </c>
    </row>
    <row r="1309" spans="1:16" x14ac:dyDescent="0.3">
      <c r="A1309" t="s">
        <v>9325</v>
      </c>
      <c r="B1309" t="s">
        <v>9326</v>
      </c>
      <c r="C1309" t="s">
        <v>9327</v>
      </c>
      <c r="D1309" t="s">
        <v>688</v>
      </c>
      <c r="E1309" t="s">
        <v>9328</v>
      </c>
      <c r="F1309" t="s">
        <v>6683</v>
      </c>
      <c r="G1309">
        <v>207</v>
      </c>
      <c r="H1309">
        <v>500</v>
      </c>
      <c r="I1309" s="5" t="s">
        <v>9329</v>
      </c>
      <c r="J1309" s="5" t="s">
        <v>9330</v>
      </c>
      <c r="K1309" s="5" t="str">
        <f t="shared" si="40"/>
        <v>https://www.google.com/maps?q=-11.107492, -42.027009</v>
      </c>
      <c r="L1309" s="5" t="str">
        <f t="shared" si="41"/>
        <v>Abrir no Maps</v>
      </c>
      <c r="M1309" t="s">
        <v>9331</v>
      </c>
      <c r="N1309" s="5"/>
      <c r="O1309" t="str">
        <f>VLOOKUP(G1309,'[1]CONFIG.'!$B:$C,2,0)</f>
        <v>HIAGO</v>
      </c>
      <c r="P1309" t="str">
        <f>VLOOKUP(O1309,'[1]CONFIG.'!$C:$D,2,0)</f>
        <v>74 99872571</v>
      </c>
    </row>
    <row r="1310" spans="1:16" x14ac:dyDescent="0.3">
      <c r="A1310" t="s">
        <v>9332</v>
      </c>
      <c r="B1310" t="s">
        <v>9333</v>
      </c>
      <c r="C1310" t="s">
        <v>9334</v>
      </c>
      <c r="D1310" t="s">
        <v>9092</v>
      </c>
      <c r="E1310" t="s">
        <v>9335</v>
      </c>
      <c r="F1310" t="s">
        <v>137</v>
      </c>
      <c r="G1310">
        <v>207</v>
      </c>
      <c r="H1310">
        <v>500</v>
      </c>
      <c r="I1310" s="5" t="s">
        <v>9336</v>
      </c>
      <c r="J1310" s="5" t="s">
        <v>9337</v>
      </c>
      <c r="K1310" s="5" t="str">
        <f t="shared" si="40"/>
        <v>https://www.google.com/maps?q=-11.047759, -41.972725</v>
      </c>
      <c r="L1310" s="5" t="str">
        <f t="shared" si="41"/>
        <v>Abrir no Maps</v>
      </c>
      <c r="M1310" t="s">
        <v>9338</v>
      </c>
      <c r="N1310" s="5"/>
      <c r="O1310" t="str">
        <f>VLOOKUP(G1310,'[1]CONFIG.'!$B:$C,2,0)</f>
        <v>HIAGO</v>
      </c>
      <c r="P1310" t="str">
        <f>VLOOKUP(O1310,'[1]CONFIG.'!$C:$D,2,0)</f>
        <v>74 99872571</v>
      </c>
    </row>
    <row r="1311" spans="1:16" x14ac:dyDescent="0.3">
      <c r="A1311" t="s">
        <v>9339</v>
      </c>
      <c r="B1311" t="s">
        <v>9340</v>
      </c>
      <c r="C1311" t="s">
        <v>9341</v>
      </c>
      <c r="D1311" t="s">
        <v>9092</v>
      </c>
      <c r="E1311" t="s">
        <v>9342</v>
      </c>
      <c r="F1311" t="s">
        <v>137</v>
      </c>
      <c r="G1311">
        <v>207</v>
      </c>
      <c r="H1311">
        <v>500</v>
      </c>
      <c r="I1311" s="5" t="s">
        <v>9343</v>
      </c>
      <c r="J1311" s="5" t="s">
        <v>9344</v>
      </c>
      <c r="K1311" s="5" t="str">
        <f t="shared" si="40"/>
        <v>https://www.google.com/maps?q=-11.043248, -41.970688</v>
      </c>
      <c r="L1311" s="5" t="str">
        <f t="shared" si="41"/>
        <v>Abrir no Maps</v>
      </c>
      <c r="M1311" t="s">
        <v>9345</v>
      </c>
      <c r="N1311" s="5"/>
      <c r="O1311" t="str">
        <f>VLOOKUP(G1311,'[1]CONFIG.'!$B:$C,2,0)</f>
        <v>HIAGO</v>
      </c>
      <c r="P1311" t="str">
        <f>VLOOKUP(O1311,'[1]CONFIG.'!$C:$D,2,0)</f>
        <v>74 99872571</v>
      </c>
    </row>
    <row r="1312" spans="1:16" x14ac:dyDescent="0.3">
      <c r="A1312" t="s">
        <v>9346</v>
      </c>
      <c r="B1312" t="s">
        <v>9347</v>
      </c>
      <c r="C1312" t="s">
        <v>9348</v>
      </c>
      <c r="D1312" t="s">
        <v>9092</v>
      </c>
      <c r="E1312" t="s">
        <v>9349</v>
      </c>
      <c r="F1312" t="s">
        <v>9350</v>
      </c>
      <c r="G1312">
        <v>207</v>
      </c>
      <c r="H1312">
        <v>500</v>
      </c>
      <c r="I1312" s="5" t="s">
        <v>9351</v>
      </c>
      <c r="J1312" s="5" t="s">
        <v>9352</v>
      </c>
      <c r="K1312" s="5" t="str">
        <f t="shared" si="40"/>
        <v>https://www.google.com/maps?q=-11.142913, -41.963528</v>
      </c>
      <c r="L1312" s="5" t="str">
        <f t="shared" si="41"/>
        <v>Abrir no Maps</v>
      </c>
      <c r="M1312" t="s">
        <v>9353</v>
      </c>
      <c r="N1312" s="5"/>
      <c r="O1312" t="str">
        <f>VLOOKUP(G1312,'[1]CONFIG.'!$B:$C,2,0)</f>
        <v>HIAGO</v>
      </c>
      <c r="P1312" t="str">
        <f>VLOOKUP(O1312,'[1]CONFIG.'!$C:$D,2,0)</f>
        <v>74 99872571</v>
      </c>
    </row>
    <row r="1313" spans="1:16" x14ac:dyDescent="0.3">
      <c r="A1313" t="s">
        <v>9354</v>
      </c>
      <c r="B1313" t="s">
        <v>9355</v>
      </c>
      <c r="C1313" t="s">
        <v>9356</v>
      </c>
      <c r="D1313" t="s">
        <v>9092</v>
      </c>
      <c r="E1313" t="s">
        <v>9357</v>
      </c>
      <c r="F1313" t="s">
        <v>9358</v>
      </c>
      <c r="G1313">
        <v>207</v>
      </c>
      <c r="H1313">
        <v>500</v>
      </c>
      <c r="I1313" s="5" t="s">
        <v>9359</v>
      </c>
      <c r="J1313" s="5" t="s">
        <v>9360</v>
      </c>
      <c r="K1313" s="5" t="str">
        <f t="shared" si="40"/>
        <v>https://www.google.com/maps?q=-11.106044, -42.005547</v>
      </c>
      <c r="L1313" s="5" t="str">
        <f t="shared" si="41"/>
        <v>Abrir no Maps</v>
      </c>
      <c r="M1313" t="s">
        <v>9361</v>
      </c>
      <c r="N1313" s="5"/>
      <c r="O1313" t="str">
        <f>VLOOKUP(G1313,'[1]CONFIG.'!$B:$C,2,0)</f>
        <v>HIAGO</v>
      </c>
      <c r="P1313" t="str">
        <f>VLOOKUP(O1313,'[1]CONFIG.'!$C:$D,2,0)</f>
        <v>74 99872571</v>
      </c>
    </row>
    <row r="1314" spans="1:16" x14ac:dyDescent="0.3">
      <c r="A1314" t="s">
        <v>9362</v>
      </c>
      <c r="B1314" t="s">
        <v>9363</v>
      </c>
      <c r="C1314" t="s">
        <v>9364</v>
      </c>
      <c r="D1314" t="s">
        <v>9092</v>
      </c>
      <c r="E1314" t="s">
        <v>9365</v>
      </c>
      <c r="F1314" t="s">
        <v>137</v>
      </c>
      <c r="G1314">
        <v>207</v>
      </c>
      <c r="H1314">
        <v>500</v>
      </c>
      <c r="I1314" s="5" t="s">
        <v>9366</v>
      </c>
      <c r="J1314" s="5" t="s">
        <v>9367</v>
      </c>
      <c r="K1314" s="5" t="str">
        <f t="shared" si="40"/>
        <v>https://www.google.com/maps?q=-11.049863, -41.978943</v>
      </c>
      <c r="L1314" s="5" t="str">
        <f t="shared" si="41"/>
        <v>Abrir no Maps</v>
      </c>
      <c r="M1314" t="s">
        <v>9368</v>
      </c>
      <c r="N1314" s="5"/>
      <c r="O1314" t="str">
        <f>VLOOKUP(G1314,'[1]CONFIG.'!$B:$C,2,0)</f>
        <v>HIAGO</v>
      </c>
      <c r="P1314" t="str">
        <f>VLOOKUP(O1314,'[1]CONFIG.'!$C:$D,2,0)</f>
        <v>74 99872571</v>
      </c>
    </row>
    <row r="1315" spans="1:16" x14ac:dyDescent="0.3">
      <c r="A1315" t="s">
        <v>9369</v>
      </c>
      <c r="B1315" t="s">
        <v>9370</v>
      </c>
      <c r="C1315" t="s">
        <v>9371</v>
      </c>
      <c r="D1315" t="s">
        <v>9092</v>
      </c>
      <c r="E1315" t="s">
        <v>9372</v>
      </c>
      <c r="F1315" t="s">
        <v>9248</v>
      </c>
      <c r="G1315">
        <v>207</v>
      </c>
      <c r="H1315">
        <v>500</v>
      </c>
      <c r="I1315" s="5" t="s">
        <v>9373</v>
      </c>
      <c r="J1315" s="5" t="s">
        <v>9374</v>
      </c>
      <c r="K1315" s="5" t="str">
        <f t="shared" si="40"/>
        <v>https://www.google.com/maps?q=-11.143748, -41.961540</v>
      </c>
      <c r="L1315" s="5" t="str">
        <f t="shared" si="41"/>
        <v>Abrir no Maps</v>
      </c>
      <c r="M1315" t="s">
        <v>9375</v>
      </c>
      <c r="N1315" s="5"/>
      <c r="O1315" t="str">
        <f>VLOOKUP(G1315,'[1]CONFIG.'!$B:$C,2,0)</f>
        <v>HIAGO</v>
      </c>
      <c r="P1315" t="str">
        <f>VLOOKUP(O1315,'[1]CONFIG.'!$C:$D,2,0)</f>
        <v>74 99872571</v>
      </c>
    </row>
    <row r="1316" spans="1:16" x14ac:dyDescent="0.3">
      <c r="A1316" t="s">
        <v>9376</v>
      </c>
      <c r="B1316" t="s">
        <v>9377</v>
      </c>
      <c r="C1316" t="s">
        <v>9378</v>
      </c>
      <c r="D1316" t="s">
        <v>9092</v>
      </c>
      <c r="E1316" t="s">
        <v>9379</v>
      </c>
      <c r="F1316" t="s">
        <v>137</v>
      </c>
      <c r="G1316">
        <v>207</v>
      </c>
      <c r="H1316">
        <v>500</v>
      </c>
      <c r="I1316" s="5" t="s">
        <v>9380</v>
      </c>
      <c r="J1316" s="5" t="s">
        <v>9381</v>
      </c>
      <c r="K1316" s="5" t="str">
        <f t="shared" si="40"/>
        <v>https://www.google.com/maps?q=-11.047597, -41.972576</v>
      </c>
      <c r="L1316" s="5" t="str">
        <f t="shared" si="41"/>
        <v>Abrir no Maps</v>
      </c>
      <c r="M1316" t="s">
        <v>9382</v>
      </c>
      <c r="N1316" s="5"/>
      <c r="O1316" t="str">
        <f>VLOOKUP(G1316,'[1]CONFIG.'!$B:$C,2,0)</f>
        <v>HIAGO</v>
      </c>
      <c r="P1316" t="str">
        <f>VLOOKUP(O1316,'[1]CONFIG.'!$C:$D,2,0)</f>
        <v>74 99872571</v>
      </c>
    </row>
    <row r="1317" spans="1:16" x14ac:dyDescent="0.3">
      <c r="A1317" t="s">
        <v>9383</v>
      </c>
      <c r="B1317" t="s">
        <v>9384</v>
      </c>
      <c r="C1317" t="s">
        <v>9385</v>
      </c>
      <c r="D1317" t="s">
        <v>9092</v>
      </c>
      <c r="E1317" t="s">
        <v>9386</v>
      </c>
      <c r="F1317" t="s">
        <v>137</v>
      </c>
      <c r="G1317">
        <v>207</v>
      </c>
      <c r="H1317">
        <v>500</v>
      </c>
      <c r="I1317" s="5" t="s">
        <v>9387</v>
      </c>
      <c r="J1317" s="5" t="s">
        <v>9388</v>
      </c>
      <c r="K1317" s="5" t="str">
        <f t="shared" si="40"/>
        <v>https://www.google.com/maps?q=-11.044177, -41.969650</v>
      </c>
      <c r="L1317" s="5" t="str">
        <f t="shared" si="41"/>
        <v>Abrir no Maps</v>
      </c>
      <c r="M1317" t="s">
        <v>9123</v>
      </c>
      <c r="N1317" s="5"/>
      <c r="O1317" t="str">
        <f>VLOOKUP(G1317,'[1]CONFIG.'!$B:$C,2,0)</f>
        <v>HIAGO</v>
      </c>
      <c r="P1317" t="str">
        <f>VLOOKUP(O1317,'[1]CONFIG.'!$C:$D,2,0)</f>
        <v>74 99872571</v>
      </c>
    </row>
    <row r="1318" spans="1:16" x14ac:dyDescent="0.3">
      <c r="A1318" t="s">
        <v>9389</v>
      </c>
      <c r="B1318" t="s">
        <v>9390</v>
      </c>
      <c r="C1318" t="s">
        <v>9391</v>
      </c>
      <c r="D1318" t="s">
        <v>9092</v>
      </c>
      <c r="E1318" t="s">
        <v>9392</v>
      </c>
      <c r="F1318" t="s">
        <v>137</v>
      </c>
      <c r="G1318">
        <v>207</v>
      </c>
      <c r="H1318">
        <v>500</v>
      </c>
      <c r="I1318" s="5" t="s">
        <v>9393</v>
      </c>
      <c r="J1318" s="5" t="s">
        <v>9394</v>
      </c>
      <c r="K1318" s="5" t="str">
        <f t="shared" si="40"/>
        <v>https://www.google.com/maps?q=-11.045135, -41.966293</v>
      </c>
      <c r="L1318" s="5" t="str">
        <f t="shared" si="41"/>
        <v>Abrir no Maps</v>
      </c>
      <c r="M1318" t="s">
        <v>9395</v>
      </c>
      <c r="N1318" s="5"/>
      <c r="O1318" t="str">
        <f>VLOOKUP(G1318,'[1]CONFIG.'!$B:$C,2,0)</f>
        <v>HIAGO</v>
      </c>
      <c r="P1318" t="str">
        <f>VLOOKUP(O1318,'[1]CONFIG.'!$C:$D,2,0)</f>
        <v>74 99872571</v>
      </c>
    </row>
    <row r="1319" spans="1:16" x14ac:dyDescent="0.3">
      <c r="A1319" t="s">
        <v>9396</v>
      </c>
      <c r="B1319" t="s">
        <v>9397</v>
      </c>
      <c r="C1319" t="s">
        <v>9398</v>
      </c>
      <c r="D1319" t="s">
        <v>9092</v>
      </c>
      <c r="E1319" t="s">
        <v>9399</v>
      </c>
      <c r="F1319" t="s">
        <v>137</v>
      </c>
      <c r="G1319">
        <v>207</v>
      </c>
      <c r="H1319">
        <v>500</v>
      </c>
      <c r="I1319" s="5" t="s">
        <v>9400</v>
      </c>
      <c r="J1319" s="5" t="s">
        <v>9401</v>
      </c>
      <c r="K1319" s="5" t="str">
        <f t="shared" si="40"/>
        <v>https://www.google.com/maps?q=-11.047411, -41.969830</v>
      </c>
      <c r="L1319" s="5" t="str">
        <f t="shared" si="41"/>
        <v>Abrir no Maps</v>
      </c>
      <c r="M1319" t="s">
        <v>9402</v>
      </c>
      <c r="N1319" s="5"/>
      <c r="O1319" t="str">
        <f>VLOOKUP(G1319,'[1]CONFIG.'!$B:$C,2,0)</f>
        <v>HIAGO</v>
      </c>
      <c r="P1319" t="str">
        <f>VLOOKUP(O1319,'[1]CONFIG.'!$C:$D,2,0)</f>
        <v>74 99872571</v>
      </c>
    </row>
    <row r="1320" spans="1:16" x14ac:dyDescent="0.3">
      <c r="A1320" t="s">
        <v>9403</v>
      </c>
      <c r="B1320" t="s">
        <v>9404</v>
      </c>
      <c r="C1320" t="s">
        <v>9405</v>
      </c>
      <c r="D1320" t="s">
        <v>9092</v>
      </c>
      <c r="E1320" t="s">
        <v>9406</v>
      </c>
      <c r="F1320" t="s">
        <v>9407</v>
      </c>
      <c r="G1320">
        <v>207</v>
      </c>
      <c r="H1320">
        <v>500</v>
      </c>
      <c r="I1320" s="5" t="s">
        <v>9408</v>
      </c>
      <c r="J1320" s="5" t="s">
        <v>9409</v>
      </c>
      <c r="K1320" s="5" t="str">
        <f t="shared" si="40"/>
        <v>https://www.google.com/maps?q=-11.047500, -41.970276</v>
      </c>
      <c r="L1320" s="5" t="str">
        <f t="shared" si="41"/>
        <v>Abrir no Maps</v>
      </c>
      <c r="M1320" t="s">
        <v>9410</v>
      </c>
      <c r="N1320" s="5"/>
      <c r="O1320" t="str">
        <f>VLOOKUP(G1320,'[1]CONFIG.'!$B:$C,2,0)</f>
        <v>HIAGO</v>
      </c>
      <c r="P1320" t="str">
        <f>VLOOKUP(O1320,'[1]CONFIG.'!$C:$D,2,0)</f>
        <v>74 99872571</v>
      </c>
    </row>
    <row r="1321" spans="1:16" x14ac:dyDescent="0.3">
      <c r="A1321" t="s">
        <v>9411</v>
      </c>
      <c r="B1321" t="s">
        <v>9412</v>
      </c>
      <c r="C1321" t="s">
        <v>9413</v>
      </c>
      <c r="D1321" t="s">
        <v>9092</v>
      </c>
      <c r="E1321" t="s">
        <v>9414</v>
      </c>
      <c r="F1321" t="s">
        <v>137</v>
      </c>
      <c r="G1321">
        <v>207</v>
      </c>
      <c r="H1321">
        <v>500</v>
      </c>
      <c r="I1321" s="5" t="s">
        <v>9415</v>
      </c>
      <c r="J1321" s="5" t="s">
        <v>9416</v>
      </c>
      <c r="K1321" s="5" t="str">
        <f t="shared" si="40"/>
        <v>https://www.google.com/maps?q=-11.048889, -41.973610</v>
      </c>
      <c r="L1321" s="5" t="str">
        <f t="shared" si="41"/>
        <v>Abrir no Maps</v>
      </c>
      <c r="M1321" t="s">
        <v>9417</v>
      </c>
      <c r="N1321" s="5"/>
      <c r="O1321" t="str">
        <f>VLOOKUP(G1321,'[1]CONFIG.'!$B:$C,2,0)</f>
        <v>HIAGO</v>
      </c>
      <c r="P1321" t="str">
        <f>VLOOKUP(O1321,'[1]CONFIG.'!$C:$D,2,0)</f>
        <v>74 99872571</v>
      </c>
    </row>
    <row r="1322" spans="1:16" x14ac:dyDescent="0.3">
      <c r="A1322" t="s">
        <v>9418</v>
      </c>
      <c r="B1322" t="s">
        <v>9419</v>
      </c>
      <c r="C1322" t="s">
        <v>9420</v>
      </c>
      <c r="D1322" t="s">
        <v>9092</v>
      </c>
      <c r="E1322" t="s">
        <v>9421</v>
      </c>
      <c r="F1322" t="s">
        <v>137</v>
      </c>
      <c r="G1322">
        <v>207</v>
      </c>
      <c r="H1322">
        <v>500</v>
      </c>
      <c r="I1322" s="5" t="s">
        <v>9422</v>
      </c>
      <c r="J1322" s="5" t="s">
        <v>9423</v>
      </c>
      <c r="K1322" s="5" t="str">
        <f t="shared" si="40"/>
        <v>https://www.google.com/maps?q=-11.043056, -41.972500</v>
      </c>
      <c r="L1322" s="5" t="str">
        <f t="shared" si="41"/>
        <v>Abrir no Maps</v>
      </c>
      <c r="M1322" t="s">
        <v>9424</v>
      </c>
      <c r="N1322" s="5"/>
      <c r="O1322" t="str">
        <f>VLOOKUP(G1322,'[1]CONFIG.'!$B:$C,2,0)</f>
        <v>HIAGO</v>
      </c>
      <c r="P1322" t="str">
        <f>VLOOKUP(O1322,'[1]CONFIG.'!$C:$D,2,0)</f>
        <v>74 99872571</v>
      </c>
    </row>
    <row r="1323" spans="1:16" x14ac:dyDescent="0.3">
      <c r="A1323" t="s">
        <v>9425</v>
      </c>
      <c r="B1323" t="s">
        <v>9426</v>
      </c>
      <c r="C1323" t="s">
        <v>9427</v>
      </c>
      <c r="D1323" t="s">
        <v>9092</v>
      </c>
      <c r="E1323" t="s">
        <v>9428</v>
      </c>
      <c r="F1323" t="s">
        <v>9299</v>
      </c>
      <c r="G1323">
        <v>207</v>
      </c>
      <c r="H1323">
        <v>500</v>
      </c>
      <c r="I1323" s="5" t="s">
        <v>9429</v>
      </c>
      <c r="J1323" s="5" t="s">
        <v>9430</v>
      </c>
      <c r="K1323" s="5" t="str">
        <f t="shared" si="40"/>
        <v>https://www.google.com/maps?q=-11.009717, -41.890047</v>
      </c>
      <c r="L1323" s="5" t="str">
        <f t="shared" si="41"/>
        <v>Abrir no Maps</v>
      </c>
      <c r="M1323" t="s">
        <v>9431</v>
      </c>
      <c r="N1323" s="5"/>
      <c r="O1323" t="str">
        <f>VLOOKUP(G1323,'[1]CONFIG.'!$B:$C,2,0)</f>
        <v>HIAGO</v>
      </c>
      <c r="P1323" t="str">
        <f>VLOOKUP(O1323,'[1]CONFIG.'!$C:$D,2,0)</f>
        <v>74 99872571</v>
      </c>
    </row>
    <row r="1324" spans="1:16" x14ac:dyDescent="0.3">
      <c r="A1324" t="s">
        <v>9432</v>
      </c>
      <c r="B1324" t="s">
        <v>9433</v>
      </c>
      <c r="C1324" t="s">
        <v>9434</v>
      </c>
      <c r="D1324" t="s">
        <v>9092</v>
      </c>
      <c r="E1324" t="s">
        <v>9435</v>
      </c>
      <c r="F1324" t="s">
        <v>9284</v>
      </c>
      <c r="G1324">
        <v>207</v>
      </c>
      <c r="H1324">
        <v>500</v>
      </c>
      <c r="I1324" s="5" t="s">
        <v>9436</v>
      </c>
      <c r="J1324" s="5" t="s">
        <v>9437</v>
      </c>
      <c r="K1324" s="5" t="str">
        <f t="shared" si="40"/>
        <v>https://www.google.com/maps?q=-11.111889, -41.967740</v>
      </c>
      <c r="L1324" s="5" t="str">
        <f t="shared" si="41"/>
        <v>Abrir no Maps</v>
      </c>
      <c r="M1324" t="s">
        <v>9438</v>
      </c>
      <c r="N1324" s="5"/>
      <c r="O1324" t="str">
        <f>VLOOKUP(G1324,'[1]CONFIG.'!$B:$C,2,0)</f>
        <v>HIAGO</v>
      </c>
      <c r="P1324" t="str">
        <f>VLOOKUP(O1324,'[1]CONFIG.'!$C:$D,2,0)</f>
        <v>74 99872571</v>
      </c>
    </row>
    <row r="1325" spans="1:16" x14ac:dyDescent="0.3">
      <c r="A1325" t="s">
        <v>9439</v>
      </c>
      <c r="B1325" t="s">
        <v>9440</v>
      </c>
      <c r="C1325" t="s">
        <v>9441</v>
      </c>
      <c r="D1325" t="s">
        <v>9092</v>
      </c>
      <c r="E1325" t="s">
        <v>9442</v>
      </c>
      <c r="F1325" t="s">
        <v>9407</v>
      </c>
      <c r="G1325">
        <v>207</v>
      </c>
      <c r="H1325">
        <v>500</v>
      </c>
      <c r="I1325" s="5" t="s">
        <v>9443</v>
      </c>
      <c r="J1325" s="5" t="s">
        <v>9444</v>
      </c>
      <c r="K1325" s="5" t="str">
        <f t="shared" si="40"/>
        <v>https://www.google.com/maps?q=-11.048135, -41.973340</v>
      </c>
      <c r="L1325" s="5" t="str">
        <f t="shared" si="41"/>
        <v>Abrir no Maps</v>
      </c>
      <c r="M1325" t="s">
        <v>9445</v>
      </c>
      <c r="N1325" s="5"/>
      <c r="O1325" t="str">
        <f>VLOOKUP(G1325,'[1]CONFIG.'!$B:$C,2,0)</f>
        <v>HIAGO</v>
      </c>
      <c r="P1325" t="str">
        <f>VLOOKUP(O1325,'[1]CONFIG.'!$C:$D,2,0)</f>
        <v>74 99872571</v>
      </c>
    </row>
    <row r="1326" spans="1:16" x14ac:dyDescent="0.3">
      <c r="A1326" t="s">
        <v>9446</v>
      </c>
      <c r="B1326" t="s">
        <v>9447</v>
      </c>
      <c r="C1326" t="s">
        <v>9448</v>
      </c>
      <c r="D1326" t="s">
        <v>9092</v>
      </c>
      <c r="E1326" t="s">
        <v>9449</v>
      </c>
      <c r="F1326" t="s">
        <v>137</v>
      </c>
      <c r="G1326">
        <v>207</v>
      </c>
      <c r="H1326">
        <v>500</v>
      </c>
      <c r="I1326" s="5" t="s">
        <v>9450</v>
      </c>
      <c r="J1326" s="5" t="s">
        <v>7123</v>
      </c>
      <c r="K1326" s="5" t="str">
        <f t="shared" si="40"/>
        <v>https://www.google.com/maps?q=-11.050209, -41.977220</v>
      </c>
      <c r="L1326" s="5" t="str">
        <f t="shared" si="41"/>
        <v>Abrir no Maps</v>
      </c>
      <c r="M1326" t="s">
        <v>9451</v>
      </c>
      <c r="N1326" s="5"/>
      <c r="O1326" t="str">
        <f>VLOOKUP(G1326,'[1]CONFIG.'!$B:$C,2,0)</f>
        <v>HIAGO</v>
      </c>
      <c r="P1326" t="str">
        <f>VLOOKUP(O1326,'[1]CONFIG.'!$C:$D,2,0)</f>
        <v>74 99872571</v>
      </c>
    </row>
    <row r="1327" spans="1:16" x14ac:dyDescent="0.3">
      <c r="A1327" t="s">
        <v>9452</v>
      </c>
      <c r="B1327" t="s">
        <v>9453</v>
      </c>
      <c r="C1327" t="s">
        <v>9454</v>
      </c>
      <c r="D1327" t="s">
        <v>9092</v>
      </c>
      <c r="E1327" t="s">
        <v>9455</v>
      </c>
      <c r="F1327" t="s">
        <v>137</v>
      </c>
      <c r="G1327">
        <v>207</v>
      </c>
      <c r="H1327">
        <v>500</v>
      </c>
      <c r="I1327" s="5" t="s">
        <v>9456</v>
      </c>
      <c r="J1327" s="5" t="s">
        <v>9457</v>
      </c>
      <c r="K1327" s="5" t="str">
        <f t="shared" si="40"/>
        <v>https://www.google.com/maps?q=-11.042693, -41.971752</v>
      </c>
      <c r="L1327" s="5" t="str">
        <f t="shared" si="41"/>
        <v>Abrir no Maps</v>
      </c>
      <c r="M1327" t="s">
        <v>9458</v>
      </c>
      <c r="N1327" s="5"/>
      <c r="O1327" t="str">
        <f>VLOOKUP(G1327,'[1]CONFIG.'!$B:$C,2,0)</f>
        <v>HIAGO</v>
      </c>
      <c r="P1327" t="str">
        <f>VLOOKUP(O1327,'[1]CONFIG.'!$C:$D,2,0)</f>
        <v>74 99872571</v>
      </c>
    </row>
    <row r="1328" spans="1:16" x14ac:dyDescent="0.3">
      <c r="A1328" t="s">
        <v>9459</v>
      </c>
      <c r="B1328" t="s">
        <v>9460</v>
      </c>
      <c r="C1328" t="s">
        <v>9461</v>
      </c>
      <c r="D1328" t="s">
        <v>9092</v>
      </c>
      <c r="E1328" t="s">
        <v>9462</v>
      </c>
      <c r="F1328" t="s">
        <v>9463</v>
      </c>
      <c r="G1328">
        <v>207</v>
      </c>
      <c r="H1328">
        <v>500</v>
      </c>
      <c r="I1328" s="5" t="s">
        <v>9464</v>
      </c>
      <c r="J1328" s="5" t="s">
        <v>9465</v>
      </c>
      <c r="K1328" s="5" t="str">
        <f t="shared" si="40"/>
        <v>https://www.google.com/maps?q=-11.011453, -41.893593</v>
      </c>
      <c r="L1328" s="5" t="str">
        <f t="shared" si="41"/>
        <v>Abrir no Maps</v>
      </c>
      <c r="M1328" t="s">
        <v>9466</v>
      </c>
      <c r="N1328" s="5"/>
      <c r="O1328" t="str">
        <f>VLOOKUP(G1328,'[1]CONFIG.'!$B:$C,2,0)</f>
        <v>HIAGO</v>
      </c>
      <c r="P1328" t="str">
        <f>VLOOKUP(O1328,'[1]CONFIG.'!$C:$D,2,0)</f>
        <v>74 99872571</v>
      </c>
    </row>
    <row r="1329" spans="1:16" x14ac:dyDescent="0.3">
      <c r="A1329" t="s">
        <v>9467</v>
      </c>
      <c r="B1329" t="s">
        <v>9468</v>
      </c>
      <c r="C1329" t="s">
        <v>9469</v>
      </c>
      <c r="D1329" t="s">
        <v>9092</v>
      </c>
      <c r="E1329" t="s">
        <v>9470</v>
      </c>
      <c r="F1329" t="s">
        <v>137</v>
      </c>
      <c r="G1329">
        <v>207</v>
      </c>
      <c r="H1329">
        <v>500</v>
      </c>
      <c r="I1329" s="5" t="s">
        <v>9471</v>
      </c>
      <c r="J1329" s="5" t="s">
        <v>9472</v>
      </c>
      <c r="K1329" s="5" t="str">
        <f t="shared" si="40"/>
        <v>https://www.google.com/maps?q=-11.047893, -41.969590</v>
      </c>
      <c r="L1329" s="5" t="str">
        <f t="shared" si="41"/>
        <v>Abrir no Maps</v>
      </c>
      <c r="M1329" t="s">
        <v>9473</v>
      </c>
      <c r="N1329" s="5"/>
      <c r="O1329" t="str">
        <f>VLOOKUP(G1329,'[1]CONFIG.'!$B:$C,2,0)</f>
        <v>HIAGO</v>
      </c>
      <c r="P1329" t="str">
        <f>VLOOKUP(O1329,'[1]CONFIG.'!$C:$D,2,0)</f>
        <v>74 99872571</v>
      </c>
    </row>
    <row r="1330" spans="1:16" x14ac:dyDescent="0.3">
      <c r="A1330" t="s">
        <v>9474</v>
      </c>
      <c r="B1330" t="s">
        <v>9475</v>
      </c>
      <c r="C1330" t="s">
        <v>9476</v>
      </c>
      <c r="D1330" t="s">
        <v>9092</v>
      </c>
      <c r="E1330" t="s">
        <v>9477</v>
      </c>
      <c r="F1330" t="s">
        <v>9407</v>
      </c>
      <c r="G1330">
        <v>207</v>
      </c>
      <c r="H1330">
        <v>500</v>
      </c>
      <c r="I1330" s="5" t="s">
        <v>9478</v>
      </c>
      <c r="J1330" s="5" t="s">
        <v>9479</v>
      </c>
      <c r="K1330" s="5" t="str">
        <f t="shared" si="40"/>
        <v>https://www.google.com/maps?q=-11.047329, -41.968884</v>
      </c>
      <c r="L1330" s="5" t="str">
        <f t="shared" si="41"/>
        <v>Abrir no Maps</v>
      </c>
      <c r="M1330" t="s">
        <v>9480</v>
      </c>
      <c r="N1330" s="5"/>
      <c r="O1330" t="str">
        <f>VLOOKUP(G1330,'[1]CONFIG.'!$B:$C,2,0)</f>
        <v>HIAGO</v>
      </c>
      <c r="P1330" t="str">
        <f>VLOOKUP(O1330,'[1]CONFIG.'!$C:$D,2,0)</f>
        <v>74 99872571</v>
      </c>
    </row>
    <row r="1331" spans="1:16" x14ac:dyDescent="0.3">
      <c r="A1331" t="s">
        <v>9481</v>
      </c>
      <c r="B1331" t="s">
        <v>9482</v>
      </c>
      <c r="C1331" t="s">
        <v>9483</v>
      </c>
      <c r="D1331" t="s">
        <v>9092</v>
      </c>
      <c r="E1331" t="s">
        <v>9484</v>
      </c>
      <c r="F1331" t="s">
        <v>137</v>
      </c>
      <c r="G1331">
        <v>207</v>
      </c>
      <c r="H1331">
        <v>500</v>
      </c>
      <c r="I1331" s="5" t="s">
        <v>9485</v>
      </c>
      <c r="J1331" s="5" t="s">
        <v>9486</v>
      </c>
      <c r="K1331" s="5" t="str">
        <f t="shared" si="40"/>
        <v>https://www.google.com/maps?q=-11.044745, -41.973080</v>
      </c>
      <c r="L1331" s="5" t="str">
        <f t="shared" si="41"/>
        <v>Abrir no Maps</v>
      </c>
      <c r="M1331" t="s">
        <v>9487</v>
      </c>
      <c r="N1331" s="5"/>
      <c r="O1331" t="str">
        <f>VLOOKUP(G1331,'[1]CONFIG.'!$B:$C,2,0)</f>
        <v>HIAGO</v>
      </c>
      <c r="P1331" t="str">
        <f>VLOOKUP(O1331,'[1]CONFIG.'!$C:$D,2,0)</f>
        <v>74 99872571</v>
      </c>
    </row>
    <row r="1332" spans="1:16" x14ac:dyDescent="0.3">
      <c r="A1332" t="s">
        <v>9488</v>
      </c>
      <c r="B1332" t="s">
        <v>9489</v>
      </c>
      <c r="C1332" t="s">
        <v>9490</v>
      </c>
      <c r="D1332" t="s">
        <v>9092</v>
      </c>
      <c r="E1332" t="s">
        <v>9491</v>
      </c>
      <c r="F1332" t="s">
        <v>9492</v>
      </c>
      <c r="G1332">
        <v>207</v>
      </c>
      <c r="H1332">
        <v>500</v>
      </c>
      <c r="I1332" s="5" t="s">
        <v>9493</v>
      </c>
      <c r="J1332" s="5" t="s">
        <v>9494</v>
      </c>
      <c r="K1332" s="5" t="str">
        <f t="shared" si="40"/>
        <v>https://www.google.com/maps?q=-11.142623, -41.963350</v>
      </c>
      <c r="L1332" s="5" t="str">
        <f t="shared" si="41"/>
        <v>Abrir no Maps</v>
      </c>
      <c r="M1332" t="s">
        <v>9495</v>
      </c>
      <c r="N1332" s="5"/>
      <c r="O1332" t="str">
        <f>VLOOKUP(G1332,'[1]CONFIG.'!$B:$C,2,0)</f>
        <v>HIAGO</v>
      </c>
      <c r="P1332" t="str">
        <f>VLOOKUP(O1332,'[1]CONFIG.'!$C:$D,2,0)</f>
        <v>74 99872571</v>
      </c>
    </row>
    <row r="1333" spans="1:16" x14ac:dyDescent="0.3">
      <c r="A1333" t="s">
        <v>9496</v>
      </c>
      <c r="B1333" t="s">
        <v>9497</v>
      </c>
      <c r="C1333" t="s">
        <v>9498</v>
      </c>
      <c r="D1333" t="s">
        <v>9092</v>
      </c>
      <c r="E1333" t="s">
        <v>9499</v>
      </c>
      <c r="F1333" t="s">
        <v>137</v>
      </c>
      <c r="G1333">
        <v>207</v>
      </c>
      <c r="H1333">
        <v>500</v>
      </c>
      <c r="I1333" s="5" t="s">
        <v>9500</v>
      </c>
      <c r="J1333" s="5" t="s">
        <v>9501</v>
      </c>
      <c r="K1333" s="5" t="str">
        <f t="shared" si="40"/>
        <v>https://www.google.com/maps?q=-11.047522, -41.971725</v>
      </c>
      <c r="L1333" s="5" t="str">
        <f t="shared" si="41"/>
        <v>Abrir no Maps</v>
      </c>
      <c r="M1333" t="s">
        <v>9338</v>
      </c>
      <c r="N1333" s="5"/>
      <c r="O1333" t="str">
        <f>VLOOKUP(G1333,'[1]CONFIG.'!$B:$C,2,0)</f>
        <v>HIAGO</v>
      </c>
      <c r="P1333" t="str">
        <f>VLOOKUP(O1333,'[1]CONFIG.'!$C:$D,2,0)</f>
        <v>74 99872571</v>
      </c>
    </row>
    <row r="1334" spans="1:16" x14ac:dyDescent="0.3">
      <c r="A1334" t="s">
        <v>9502</v>
      </c>
      <c r="B1334" t="s">
        <v>9503</v>
      </c>
      <c r="C1334" t="s">
        <v>9504</v>
      </c>
      <c r="D1334" t="s">
        <v>9092</v>
      </c>
      <c r="E1334" t="s">
        <v>9505</v>
      </c>
      <c r="F1334" t="s">
        <v>9506</v>
      </c>
      <c r="G1334">
        <v>207</v>
      </c>
      <c r="H1334">
        <v>500</v>
      </c>
      <c r="I1334" s="5" t="s">
        <v>9507</v>
      </c>
      <c r="J1334" s="5" t="s">
        <v>9508</v>
      </c>
      <c r="K1334" s="5" t="str">
        <f t="shared" si="40"/>
        <v>https://www.google.com/maps?q=-11.087802, -42.001510</v>
      </c>
      <c r="L1334" s="5" t="str">
        <f t="shared" si="41"/>
        <v>Abrir no Maps</v>
      </c>
      <c r="M1334" t="s">
        <v>9509</v>
      </c>
      <c r="N1334" s="5"/>
      <c r="O1334" t="str">
        <f>VLOOKUP(G1334,'[1]CONFIG.'!$B:$C,2,0)</f>
        <v>HIAGO</v>
      </c>
      <c r="P1334" t="str">
        <f>VLOOKUP(O1334,'[1]CONFIG.'!$C:$D,2,0)</f>
        <v>74 99872571</v>
      </c>
    </row>
    <row r="1335" spans="1:16" x14ac:dyDescent="0.3">
      <c r="A1335" t="s">
        <v>9510</v>
      </c>
      <c r="B1335" t="s">
        <v>9511</v>
      </c>
      <c r="C1335" t="s">
        <v>9512</v>
      </c>
      <c r="D1335" t="s">
        <v>9092</v>
      </c>
      <c r="E1335" t="s">
        <v>9513</v>
      </c>
      <c r="F1335" t="s">
        <v>137</v>
      </c>
      <c r="G1335">
        <v>207</v>
      </c>
      <c r="H1335">
        <v>500</v>
      </c>
      <c r="I1335" s="5" t="s">
        <v>9514</v>
      </c>
      <c r="J1335" s="5" t="s">
        <v>9515</v>
      </c>
      <c r="K1335" s="5" t="str">
        <f t="shared" si="40"/>
        <v>https://www.google.com/maps?q=-11.045050, -41.969536</v>
      </c>
      <c r="L1335" s="5" t="str">
        <f t="shared" si="41"/>
        <v>Abrir no Maps</v>
      </c>
      <c r="M1335" t="s">
        <v>9516</v>
      </c>
      <c r="N1335" s="5"/>
      <c r="O1335" t="str">
        <f>VLOOKUP(G1335,'[1]CONFIG.'!$B:$C,2,0)</f>
        <v>HIAGO</v>
      </c>
      <c r="P1335" t="str">
        <f>VLOOKUP(O1335,'[1]CONFIG.'!$C:$D,2,0)</f>
        <v>74 99872571</v>
      </c>
    </row>
    <row r="1336" spans="1:16" x14ac:dyDescent="0.3">
      <c r="A1336" t="s">
        <v>9517</v>
      </c>
      <c r="B1336" t="s">
        <v>9518</v>
      </c>
      <c r="C1336" t="s">
        <v>9519</v>
      </c>
      <c r="D1336" t="s">
        <v>9092</v>
      </c>
      <c r="E1336" t="s">
        <v>9520</v>
      </c>
      <c r="F1336" t="s">
        <v>9407</v>
      </c>
      <c r="G1336">
        <v>207</v>
      </c>
      <c r="H1336">
        <v>500</v>
      </c>
      <c r="I1336" s="5" t="s">
        <v>9521</v>
      </c>
      <c r="J1336" s="5" t="s">
        <v>9522</v>
      </c>
      <c r="K1336" s="5" t="str">
        <f t="shared" si="40"/>
        <v>https://www.google.com/maps?q=-11.047482, -41.971745</v>
      </c>
      <c r="L1336" s="5" t="str">
        <f t="shared" si="41"/>
        <v>Abrir no Maps</v>
      </c>
      <c r="M1336" t="s">
        <v>9523</v>
      </c>
      <c r="N1336" s="5"/>
      <c r="O1336" t="str">
        <f>VLOOKUP(G1336,'[1]CONFIG.'!$B:$C,2,0)</f>
        <v>HIAGO</v>
      </c>
      <c r="P1336" t="str">
        <f>VLOOKUP(O1336,'[1]CONFIG.'!$C:$D,2,0)</f>
        <v>74 99872571</v>
      </c>
    </row>
    <row r="1337" spans="1:16" x14ac:dyDescent="0.3">
      <c r="A1337" t="s">
        <v>9524</v>
      </c>
      <c r="B1337" t="s">
        <v>9525</v>
      </c>
      <c r="C1337" t="s">
        <v>9526</v>
      </c>
      <c r="D1337" t="s">
        <v>9092</v>
      </c>
      <c r="E1337" t="s">
        <v>9527</v>
      </c>
      <c r="F1337" t="s">
        <v>137</v>
      </c>
      <c r="G1337">
        <v>207</v>
      </c>
      <c r="H1337">
        <v>500</v>
      </c>
      <c r="I1337" s="5" t="s">
        <v>9528</v>
      </c>
      <c r="J1337" s="5" t="s">
        <v>9529</v>
      </c>
      <c r="K1337" s="5" t="str">
        <f t="shared" si="40"/>
        <v>https://www.google.com/maps?q=-11.043702, -41.970913</v>
      </c>
      <c r="L1337" s="5" t="str">
        <f t="shared" si="41"/>
        <v>Abrir no Maps</v>
      </c>
      <c r="M1337" t="s">
        <v>9530</v>
      </c>
      <c r="N1337" s="5"/>
      <c r="O1337" t="str">
        <f>VLOOKUP(G1337,'[1]CONFIG.'!$B:$C,2,0)</f>
        <v>HIAGO</v>
      </c>
      <c r="P1337" t="str">
        <f>VLOOKUP(O1337,'[1]CONFIG.'!$C:$D,2,0)</f>
        <v>74 99872571</v>
      </c>
    </row>
    <row r="1338" spans="1:16" x14ac:dyDescent="0.3">
      <c r="A1338" t="s">
        <v>9531</v>
      </c>
      <c r="B1338" t="s">
        <v>9532</v>
      </c>
      <c r="C1338" t="s">
        <v>9533</v>
      </c>
      <c r="D1338" t="s">
        <v>9092</v>
      </c>
      <c r="E1338" t="s">
        <v>9534</v>
      </c>
      <c r="F1338" t="s">
        <v>137</v>
      </c>
      <c r="G1338">
        <v>207</v>
      </c>
      <c r="H1338">
        <v>500</v>
      </c>
      <c r="I1338" s="5" t="s">
        <v>9535</v>
      </c>
      <c r="J1338" s="5" t="s">
        <v>9536</v>
      </c>
      <c r="K1338" s="5" t="str">
        <f t="shared" si="40"/>
        <v>https://www.google.com/maps?q=-11.049262, -41.977540</v>
      </c>
      <c r="L1338" s="5" t="str">
        <f t="shared" si="41"/>
        <v>Abrir no Maps</v>
      </c>
      <c r="M1338" t="s">
        <v>9537</v>
      </c>
      <c r="N1338" s="5"/>
      <c r="O1338" t="str">
        <f>VLOOKUP(G1338,'[1]CONFIG.'!$B:$C,2,0)</f>
        <v>HIAGO</v>
      </c>
      <c r="P1338" t="str">
        <f>VLOOKUP(O1338,'[1]CONFIG.'!$C:$D,2,0)</f>
        <v>74 99872571</v>
      </c>
    </row>
    <row r="1339" spans="1:16" x14ac:dyDescent="0.3">
      <c r="A1339" t="s">
        <v>9538</v>
      </c>
      <c r="B1339" t="s">
        <v>9539</v>
      </c>
      <c r="C1339" t="s">
        <v>9540</v>
      </c>
      <c r="D1339" t="s">
        <v>9092</v>
      </c>
      <c r="E1339" t="s">
        <v>9541</v>
      </c>
      <c r="F1339" t="s">
        <v>9542</v>
      </c>
      <c r="G1339">
        <v>207</v>
      </c>
      <c r="H1339">
        <v>500</v>
      </c>
      <c r="I1339" s="5" t="s">
        <v>9543</v>
      </c>
      <c r="J1339" s="5" t="s">
        <v>9544</v>
      </c>
      <c r="K1339" s="5" t="str">
        <f t="shared" si="40"/>
        <v>https://www.google.com/maps?q=-11.044354, -41.969790</v>
      </c>
      <c r="L1339" s="5" t="str">
        <f t="shared" si="41"/>
        <v>Abrir no Maps</v>
      </c>
      <c r="M1339" t="s">
        <v>9545</v>
      </c>
      <c r="N1339" s="5"/>
      <c r="O1339" t="str">
        <f>VLOOKUP(G1339,'[1]CONFIG.'!$B:$C,2,0)</f>
        <v>HIAGO</v>
      </c>
      <c r="P1339" t="str">
        <f>VLOOKUP(O1339,'[1]CONFIG.'!$C:$D,2,0)</f>
        <v>74 99872571</v>
      </c>
    </row>
    <row r="1340" spans="1:16" x14ac:dyDescent="0.3">
      <c r="A1340" t="s">
        <v>9546</v>
      </c>
      <c r="B1340" t="s">
        <v>9547</v>
      </c>
      <c r="C1340" t="s">
        <v>9548</v>
      </c>
      <c r="D1340" t="s">
        <v>9092</v>
      </c>
      <c r="E1340" t="s">
        <v>9549</v>
      </c>
      <c r="F1340" t="s">
        <v>9550</v>
      </c>
      <c r="G1340">
        <v>207</v>
      </c>
      <c r="H1340">
        <v>500</v>
      </c>
      <c r="I1340" s="5" t="s">
        <v>9551</v>
      </c>
      <c r="J1340" s="5" t="s">
        <v>9552</v>
      </c>
      <c r="K1340" s="5" t="str">
        <f t="shared" si="40"/>
        <v>https://www.google.com/maps?q=-11.046238, -41.968685</v>
      </c>
      <c r="L1340" s="5" t="str">
        <f t="shared" si="41"/>
        <v>Abrir no Maps</v>
      </c>
      <c r="M1340" t="s">
        <v>9553</v>
      </c>
      <c r="N1340" s="5"/>
      <c r="O1340" t="str">
        <f>VLOOKUP(G1340,'[1]CONFIG.'!$B:$C,2,0)</f>
        <v>HIAGO</v>
      </c>
      <c r="P1340" t="str">
        <f>VLOOKUP(O1340,'[1]CONFIG.'!$C:$D,2,0)</f>
        <v>74 99872571</v>
      </c>
    </row>
    <row r="1341" spans="1:16" x14ac:dyDescent="0.3">
      <c r="A1341" t="s">
        <v>9554</v>
      </c>
      <c r="B1341" t="s">
        <v>9555</v>
      </c>
      <c r="C1341" t="s">
        <v>9556</v>
      </c>
      <c r="D1341" t="s">
        <v>9092</v>
      </c>
      <c r="E1341" t="s">
        <v>9557</v>
      </c>
      <c r="F1341" t="s">
        <v>137</v>
      </c>
      <c r="G1341">
        <v>207</v>
      </c>
      <c r="H1341">
        <v>500</v>
      </c>
      <c r="I1341" s="5" t="s">
        <v>9558</v>
      </c>
      <c r="J1341" s="5" t="s">
        <v>9559</v>
      </c>
      <c r="K1341" s="5" t="str">
        <f t="shared" si="40"/>
        <v>https://www.google.com/maps?q=-11.048654, -41.974113</v>
      </c>
      <c r="L1341" s="5" t="str">
        <f t="shared" si="41"/>
        <v>Abrir no Maps</v>
      </c>
      <c r="M1341" t="s">
        <v>9560</v>
      </c>
      <c r="N1341" s="5"/>
      <c r="O1341" t="str">
        <f>VLOOKUP(G1341,'[1]CONFIG.'!$B:$C,2,0)</f>
        <v>HIAGO</v>
      </c>
      <c r="P1341" t="str">
        <f>VLOOKUP(O1341,'[1]CONFIG.'!$C:$D,2,0)</f>
        <v>74 99872571</v>
      </c>
    </row>
    <row r="1342" spans="1:16" x14ac:dyDescent="0.3">
      <c r="A1342" t="s">
        <v>9561</v>
      </c>
      <c r="B1342" t="s">
        <v>9562</v>
      </c>
      <c r="C1342" t="s">
        <v>9563</v>
      </c>
      <c r="D1342" t="s">
        <v>9092</v>
      </c>
      <c r="E1342" t="s">
        <v>9564</v>
      </c>
      <c r="F1342" t="s">
        <v>9565</v>
      </c>
      <c r="G1342">
        <v>207</v>
      </c>
      <c r="H1342">
        <v>500</v>
      </c>
      <c r="I1342" s="5" t="s">
        <v>9566</v>
      </c>
      <c r="J1342" s="5" t="s">
        <v>9567</v>
      </c>
      <c r="K1342" s="5" t="str">
        <f t="shared" si="40"/>
        <v>https://www.google.com/maps?q=-11.043175, -41.974274</v>
      </c>
      <c r="L1342" s="5" t="str">
        <f t="shared" si="41"/>
        <v>Abrir no Maps</v>
      </c>
      <c r="M1342" t="s">
        <v>9568</v>
      </c>
      <c r="N1342" s="5"/>
      <c r="O1342" t="str">
        <f>VLOOKUP(G1342,'[1]CONFIG.'!$B:$C,2,0)</f>
        <v>HIAGO</v>
      </c>
      <c r="P1342" t="str">
        <f>VLOOKUP(O1342,'[1]CONFIG.'!$C:$D,2,0)</f>
        <v>74 99872571</v>
      </c>
    </row>
    <row r="1343" spans="1:16" x14ac:dyDescent="0.3">
      <c r="A1343" t="s">
        <v>9569</v>
      </c>
      <c r="B1343" t="s">
        <v>9570</v>
      </c>
      <c r="C1343" t="s">
        <v>9571</v>
      </c>
      <c r="D1343" t="s">
        <v>9092</v>
      </c>
      <c r="E1343" t="s">
        <v>9572</v>
      </c>
      <c r="F1343" t="s">
        <v>137</v>
      </c>
      <c r="G1343">
        <v>207</v>
      </c>
      <c r="H1343">
        <v>500</v>
      </c>
      <c r="I1343" s="5" t="s">
        <v>9573</v>
      </c>
      <c r="J1343" s="5" t="s">
        <v>9574</v>
      </c>
      <c r="K1343" s="5" t="str">
        <f t="shared" si="40"/>
        <v>https://www.google.com/maps?q=-11.049260, -41.974020</v>
      </c>
      <c r="L1343" s="5" t="str">
        <f t="shared" si="41"/>
        <v>Abrir no Maps</v>
      </c>
      <c r="M1343" t="s">
        <v>9575</v>
      </c>
      <c r="N1343" s="5"/>
      <c r="O1343" t="str">
        <f>VLOOKUP(G1343,'[1]CONFIG.'!$B:$C,2,0)</f>
        <v>HIAGO</v>
      </c>
      <c r="P1343" t="str">
        <f>VLOOKUP(O1343,'[1]CONFIG.'!$C:$D,2,0)</f>
        <v>74 99872571</v>
      </c>
    </row>
    <row r="1344" spans="1:16" x14ac:dyDescent="0.3">
      <c r="A1344" t="s">
        <v>9576</v>
      </c>
      <c r="B1344" t="s">
        <v>9577</v>
      </c>
      <c r="C1344" t="s">
        <v>9578</v>
      </c>
      <c r="D1344" t="s">
        <v>9092</v>
      </c>
      <c r="E1344" t="s">
        <v>9579</v>
      </c>
      <c r="F1344" t="s">
        <v>137</v>
      </c>
      <c r="G1344">
        <v>207</v>
      </c>
      <c r="H1344">
        <v>500</v>
      </c>
      <c r="I1344" s="5" t="s">
        <v>9580</v>
      </c>
      <c r="J1344" s="5" t="s">
        <v>9257</v>
      </c>
      <c r="K1344" s="5" t="str">
        <f t="shared" si="40"/>
        <v>https://www.google.com/maps?q=-11.044451, -41.969757</v>
      </c>
      <c r="L1344" s="5" t="str">
        <f t="shared" si="41"/>
        <v>Abrir no Maps</v>
      </c>
      <c r="M1344" t="s">
        <v>9581</v>
      </c>
      <c r="N1344" s="5"/>
      <c r="O1344" t="str">
        <f>VLOOKUP(G1344,'[1]CONFIG.'!$B:$C,2,0)</f>
        <v>HIAGO</v>
      </c>
      <c r="P1344" t="str">
        <f>VLOOKUP(O1344,'[1]CONFIG.'!$C:$D,2,0)</f>
        <v>74 99872571</v>
      </c>
    </row>
    <row r="1345" spans="1:16" x14ac:dyDescent="0.3">
      <c r="A1345" t="s">
        <v>9582</v>
      </c>
      <c r="B1345" t="s">
        <v>9583</v>
      </c>
      <c r="C1345" t="s">
        <v>9584</v>
      </c>
      <c r="D1345" t="s">
        <v>9092</v>
      </c>
      <c r="E1345" t="s">
        <v>9585</v>
      </c>
      <c r="F1345" t="s">
        <v>137</v>
      </c>
      <c r="G1345">
        <v>207</v>
      </c>
      <c r="H1345">
        <v>500</v>
      </c>
      <c r="I1345" s="5" t="s">
        <v>9586</v>
      </c>
      <c r="J1345" s="5" t="s">
        <v>9587</v>
      </c>
      <c r="K1345" s="5" t="str">
        <f t="shared" si="40"/>
        <v>https://www.google.com/maps?q=-11.047222, -41.969614</v>
      </c>
      <c r="L1345" s="5" t="str">
        <f t="shared" si="41"/>
        <v>Abrir no Maps</v>
      </c>
      <c r="M1345" t="s">
        <v>9588</v>
      </c>
      <c r="N1345" s="5"/>
      <c r="O1345" t="str">
        <f>VLOOKUP(G1345,'[1]CONFIG.'!$B:$C,2,0)</f>
        <v>HIAGO</v>
      </c>
      <c r="P1345" t="str">
        <f>VLOOKUP(O1345,'[1]CONFIG.'!$C:$D,2,0)</f>
        <v>74 99872571</v>
      </c>
    </row>
    <row r="1346" spans="1:16" x14ac:dyDescent="0.3">
      <c r="A1346" t="s">
        <v>9589</v>
      </c>
      <c r="B1346" t="s">
        <v>9590</v>
      </c>
      <c r="C1346" t="s">
        <v>9591</v>
      </c>
      <c r="D1346" t="s">
        <v>9092</v>
      </c>
      <c r="E1346" t="s">
        <v>9592</v>
      </c>
      <c r="F1346" t="s">
        <v>9407</v>
      </c>
      <c r="G1346">
        <v>207</v>
      </c>
      <c r="H1346">
        <v>500</v>
      </c>
      <c r="I1346" s="5" t="s">
        <v>9593</v>
      </c>
      <c r="J1346" s="5" t="s">
        <v>9594</v>
      </c>
      <c r="K1346" s="5" t="str">
        <f t="shared" si="40"/>
        <v>https://www.google.com/maps?q=-11.048787, -41.973786</v>
      </c>
      <c r="L1346" s="5" t="str">
        <f t="shared" si="41"/>
        <v>Abrir no Maps</v>
      </c>
      <c r="M1346" t="s">
        <v>9595</v>
      </c>
      <c r="N1346" s="5"/>
      <c r="O1346" t="str">
        <f>VLOOKUP(G1346,'[1]CONFIG.'!$B:$C,2,0)</f>
        <v>HIAGO</v>
      </c>
      <c r="P1346" t="str">
        <f>VLOOKUP(O1346,'[1]CONFIG.'!$C:$D,2,0)</f>
        <v>74 99872571</v>
      </c>
    </row>
    <row r="1347" spans="1:16" x14ac:dyDescent="0.3">
      <c r="A1347" t="s">
        <v>9596</v>
      </c>
      <c r="B1347" t="s">
        <v>9597</v>
      </c>
      <c r="C1347" t="s">
        <v>9598</v>
      </c>
      <c r="D1347" t="s">
        <v>9092</v>
      </c>
      <c r="E1347" t="s">
        <v>9599</v>
      </c>
      <c r="F1347" t="s">
        <v>9299</v>
      </c>
      <c r="G1347">
        <v>207</v>
      </c>
      <c r="H1347">
        <v>500</v>
      </c>
      <c r="I1347" s="5" t="s">
        <v>9600</v>
      </c>
      <c r="J1347" s="5" t="s">
        <v>9601</v>
      </c>
      <c r="K1347" s="5" t="str">
        <f t="shared" si="40"/>
        <v>https://www.google.com/maps?q=-11.008110, -41.887625</v>
      </c>
      <c r="L1347" s="5" t="str">
        <f t="shared" si="41"/>
        <v>Abrir no Maps</v>
      </c>
      <c r="M1347" t="s">
        <v>9602</v>
      </c>
      <c r="N1347" s="5"/>
      <c r="O1347" t="str">
        <f>VLOOKUP(G1347,'[1]CONFIG.'!$B:$C,2,0)</f>
        <v>HIAGO</v>
      </c>
      <c r="P1347" t="str">
        <f>VLOOKUP(O1347,'[1]CONFIG.'!$C:$D,2,0)</f>
        <v>74 99872571</v>
      </c>
    </row>
    <row r="1348" spans="1:16" x14ac:dyDescent="0.3">
      <c r="A1348" t="s">
        <v>9603</v>
      </c>
      <c r="B1348" t="s">
        <v>9604</v>
      </c>
      <c r="C1348" t="s">
        <v>9605</v>
      </c>
      <c r="D1348" t="s">
        <v>9092</v>
      </c>
      <c r="E1348" t="s">
        <v>9606</v>
      </c>
      <c r="F1348" t="s">
        <v>9463</v>
      </c>
      <c r="G1348">
        <v>207</v>
      </c>
      <c r="H1348">
        <v>500</v>
      </c>
      <c r="I1348" s="5" t="s">
        <v>9607</v>
      </c>
      <c r="J1348" s="5" t="s">
        <v>9608</v>
      </c>
      <c r="K1348" s="5" t="str">
        <f t="shared" ref="K1348:K1411" si="42">"https://www.google.com/maps?q="&amp;""&amp;LEFT(I1348,3)&amp;"."&amp;RIGHT(I1348,6)&amp;", "&amp;LEFT(J1348,3)&amp;"."&amp;RIGHT(J1348,6)</f>
        <v>https://www.google.com/maps?q=-11.008307, -41.888003</v>
      </c>
      <c r="L1348" s="5" t="str">
        <f t="shared" ref="L1348:L1411" si="43">HYPERLINK(K1348,"Abrir no Maps")</f>
        <v>Abrir no Maps</v>
      </c>
      <c r="M1348" t="s">
        <v>9609</v>
      </c>
      <c r="N1348" s="5"/>
      <c r="O1348" t="str">
        <f>VLOOKUP(G1348,'[1]CONFIG.'!$B:$C,2,0)</f>
        <v>HIAGO</v>
      </c>
      <c r="P1348" t="str">
        <f>VLOOKUP(O1348,'[1]CONFIG.'!$C:$D,2,0)</f>
        <v>74 99872571</v>
      </c>
    </row>
    <row r="1349" spans="1:16" x14ac:dyDescent="0.3">
      <c r="A1349" t="s">
        <v>9610</v>
      </c>
      <c r="B1349" t="s">
        <v>9611</v>
      </c>
      <c r="C1349" t="s">
        <v>9612</v>
      </c>
      <c r="D1349" t="s">
        <v>9092</v>
      </c>
      <c r="E1349" t="s">
        <v>9613</v>
      </c>
      <c r="F1349" t="s">
        <v>137</v>
      </c>
      <c r="G1349">
        <v>207</v>
      </c>
      <c r="H1349">
        <v>500</v>
      </c>
      <c r="I1349" s="5" t="s">
        <v>9614</v>
      </c>
      <c r="J1349" s="5" t="s">
        <v>9615</v>
      </c>
      <c r="K1349" s="5" t="str">
        <f t="shared" si="42"/>
        <v>https://www.google.com/maps?q=-11.045639, -41.969869</v>
      </c>
      <c r="L1349" s="5" t="str">
        <f t="shared" si="43"/>
        <v>Abrir no Maps</v>
      </c>
      <c r="M1349" t="s">
        <v>9616</v>
      </c>
      <c r="N1349" s="5"/>
      <c r="O1349" t="str">
        <f>VLOOKUP(G1349,'[1]CONFIG.'!$B:$C,2,0)</f>
        <v>HIAGO</v>
      </c>
      <c r="P1349" t="str">
        <f>VLOOKUP(O1349,'[1]CONFIG.'!$C:$D,2,0)</f>
        <v>74 99872571</v>
      </c>
    </row>
    <row r="1350" spans="1:16" x14ac:dyDescent="0.3">
      <c r="A1350" t="s">
        <v>9617</v>
      </c>
      <c r="B1350" t="s">
        <v>9618</v>
      </c>
      <c r="C1350" t="s">
        <v>9619</v>
      </c>
      <c r="D1350" t="s">
        <v>9092</v>
      </c>
      <c r="E1350" t="s">
        <v>9620</v>
      </c>
      <c r="F1350" t="s">
        <v>9550</v>
      </c>
      <c r="G1350">
        <v>207</v>
      </c>
      <c r="H1350">
        <v>500</v>
      </c>
      <c r="I1350" s="5" t="s">
        <v>9621</v>
      </c>
      <c r="J1350" s="5" t="s">
        <v>9622</v>
      </c>
      <c r="K1350" s="5" t="str">
        <f t="shared" si="42"/>
        <v>https://www.google.com/maps?q=-11.047804, -41.970965</v>
      </c>
      <c r="L1350" s="5" t="str">
        <f t="shared" si="43"/>
        <v>Abrir no Maps</v>
      </c>
      <c r="M1350" t="s">
        <v>9623</v>
      </c>
      <c r="N1350" s="5"/>
      <c r="O1350" t="str">
        <f>VLOOKUP(G1350,'[1]CONFIG.'!$B:$C,2,0)</f>
        <v>HIAGO</v>
      </c>
      <c r="P1350" t="str">
        <f>VLOOKUP(O1350,'[1]CONFIG.'!$C:$D,2,0)</f>
        <v>74 99872571</v>
      </c>
    </row>
    <row r="1351" spans="1:16" x14ac:dyDescent="0.3">
      <c r="A1351" t="s">
        <v>9624</v>
      </c>
      <c r="B1351" t="s">
        <v>9625</v>
      </c>
      <c r="C1351" t="s">
        <v>9626</v>
      </c>
      <c r="D1351" t="s">
        <v>9092</v>
      </c>
      <c r="E1351" t="s">
        <v>9627</v>
      </c>
      <c r="F1351" t="s">
        <v>137</v>
      </c>
      <c r="G1351">
        <v>207</v>
      </c>
      <c r="H1351">
        <v>500</v>
      </c>
      <c r="I1351" s="5" t="s">
        <v>9628</v>
      </c>
      <c r="J1351" s="5" t="s">
        <v>9629</v>
      </c>
      <c r="K1351" s="5" t="str">
        <f t="shared" si="42"/>
        <v>https://www.google.com/maps?q=-11.047170, -41.970531</v>
      </c>
      <c r="L1351" s="5" t="str">
        <f t="shared" si="43"/>
        <v>Abrir no Maps</v>
      </c>
      <c r="M1351" t="s">
        <v>9630</v>
      </c>
      <c r="N1351" s="5"/>
      <c r="O1351" t="str">
        <f>VLOOKUP(G1351,'[1]CONFIG.'!$B:$C,2,0)</f>
        <v>HIAGO</v>
      </c>
      <c r="P1351" t="str">
        <f>VLOOKUP(O1351,'[1]CONFIG.'!$C:$D,2,0)</f>
        <v>74 99872571</v>
      </c>
    </row>
    <row r="1352" spans="1:16" x14ac:dyDescent="0.3">
      <c r="A1352" t="s">
        <v>9631</v>
      </c>
      <c r="B1352" t="s">
        <v>9632</v>
      </c>
      <c r="C1352" t="s">
        <v>9633</v>
      </c>
      <c r="D1352" t="s">
        <v>9092</v>
      </c>
      <c r="E1352" t="s">
        <v>9634</v>
      </c>
      <c r="F1352" t="s">
        <v>9550</v>
      </c>
      <c r="G1352">
        <v>207</v>
      </c>
      <c r="H1352">
        <v>500</v>
      </c>
      <c r="I1352" s="5" t="s">
        <v>9635</v>
      </c>
      <c r="J1352" s="5" t="s">
        <v>9636</v>
      </c>
      <c r="K1352" s="5" t="str">
        <f t="shared" si="42"/>
        <v>https://www.google.com/maps?q=-11.045122, -41.969244</v>
      </c>
      <c r="L1352" s="5" t="str">
        <f t="shared" si="43"/>
        <v>Abrir no Maps</v>
      </c>
      <c r="M1352" t="s">
        <v>9637</v>
      </c>
      <c r="N1352" s="5"/>
      <c r="O1352" t="str">
        <f>VLOOKUP(G1352,'[1]CONFIG.'!$B:$C,2,0)</f>
        <v>HIAGO</v>
      </c>
      <c r="P1352" t="str">
        <f>VLOOKUP(O1352,'[1]CONFIG.'!$C:$D,2,0)</f>
        <v>74 99872571</v>
      </c>
    </row>
    <row r="1353" spans="1:16" x14ac:dyDescent="0.3">
      <c r="A1353" t="s">
        <v>9638</v>
      </c>
      <c r="B1353" t="s">
        <v>9639</v>
      </c>
      <c r="C1353" t="s">
        <v>9640</v>
      </c>
      <c r="D1353" t="s">
        <v>9092</v>
      </c>
      <c r="E1353" t="s">
        <v>9641</v>
      </c>
      <c r="F1353" t="s">
        <v>9284</v>
      </c>
      <c r="G1353">
        <v>207</v>
      </c>
      <c r="H1353">
        <v>500</v>
      </c>
      <c r="I1353" s="5" t="s">
        <v>9642</v>
      </c>
      <c r="J1353" s="5" t="s">
        <v>9643</v>
      </c>
      <c r="K1353" s="5" t="str">
        <f t="shared" si="42"/>
        <v>https://www.google.com/maps?q=-11.112828, -41.967249</v>
      </c>
      <c r="L1353" s="5" t="str">
        <f t="shared" si="43"/>
        <v>Abrir no Maps</v>
      </c>
      <c r="M1353" t="s">
        <v>9644</v>
      </c>
      <c r="N1353" s="5"/>
      <c r="O1353" t="str">
        <f>VLOOKUP(G1353,'[1]CONFIG.'!$B:$C,2,0)</f>
        <v>HIAGO</v>
      </c>
      <c r="P1353" t="str">
        <f>VLOOKUP(O1353,'[1]CONFIG.'!$C:$D,2,0)</f>
        <v>74 99872571</v>
      </c>
    </row>
    <row r="1354" spans="1:16" x14ac:dyDescent="0.3">
      <c r="A1354" t="s">
        <v>9645</v>
      </c>
      <c r="B1354" t="s">
        <v>9646</v>
      </c>
      <c r="C1354" t="s">
        <v>9647</v>
      </c>
      <c r="D1354" t="s">
        <v>9092</v>
      </c>
      <c r="E1354" t="s">
        <v>9648</v>
      </c>
      <c r="F1354" t="s">
        <v>137</v>
      </c>
      <c r="G1354">
        <v>207</v>
      </c>
      <c r="H1354">
        <v>500</v>
      </c>
      <c r="I1354" s="5" t="s">
        <v>9649</v>
      </c>
      <c r="J1354" s="5" t="s">
        <v>9650</v>
      </c>
      <c r="K1354" s="5" t="str">
        <f t="shared" si="42"/>
        <v>https://www.google.com/maps?q=-11.043220, -41.971317</v>
      </c>
      <c r="L1354" s="5" t="str">
        <f t="shared" si="43"/>
        <v>Abrir no Maps</v>
      </c>
      <c r="M1354" t="s">
        <v>9651</v>
      </c>
      <c r="N1354" s="5"/>
      <c r="O1354" t="str">
        <f>VLOOKUP(G1354,'[1]CONFIG.'!$B:$C,2,0)</f>
        <v>HIAGO</v>
      </c>
      <c r="P1354" t="str">
        <f>VLOOKUP(O1354,'[1]CONFIG.'!$C:$D,2,0)</f>
        <v>74 99872571</v>
      </c>
    </row>
    <row r="1355" spans="1:16" x14ac:dyDescent="0.3">
      <c r="A1355" t="s">
        <v>9652</v>
      </c>
      <c r="B1355" t="s">
        <v>9653</v>
      </c>
      <c r="C1355" t="s">
        <v>9654</v>
      </c>
      <c r="D1355" t="s">
        <v>9092</v>
      </c>
      <c r="E1355" t="s">
        <v>9655</v>
      </c>
      <c r="F1355" t="s">
        <v>9299</v>
      </c>
      <c r="G1355">
        <v>207</v>
      </c>
      <c r="H1355">
        <v>500</v>
      </c>
      <c r="I1355" s="5" t="s">
        <v>9656</v>
      </c>
      <c r="J1355" s="5" t="s">
        <v>9657</v>
      </c>
      <c r="K1355" s="5" t="str">
        <f t="shared" si="42"/>
        <v>https://www.google.com/maps?q=-11.009478, -41.890045</v>
      </c>
      <c r="L1355" s="5" t="str">
        <f t="shared" si="43"/>
        <v>Abrir no Maps</v>
      </c>
      <c r="M1355" t="s">
        <v>9658</v>
      </c>
      <c r="N1355" s="5"/>
      <c r="O1355" t="str">
        <f>VLOOKUP(G1355,'[1]CONFIG.'!$B:$C,2,0)</f>
        <v>HIAGO</v>
      </c>
      <c r="P1355" t="str">
        <f>VLOOKUP(O1355,'[1]CONFIG.'!$C:$D,2,0)</f>
        <v>74 99872571</v>
      </c>
    </row>
    <row r="1356" spans="1:16" x14ac:dyDescent="0.3">
      <c r="A1356" t="s">
        <v>9659</v>
      </c>
      <c r="B1356" t="s">
        <v>9660</v>
      </c>
      <c r="C1356" t="s">
        <v>9661</v>
      </c>
      <c r="D1356" t="s">
        <v>9092</v>
      </c>
      <c r="E1356" t="s">
        <v>9662</v>
      </c>
      <c r="F1356" t="s">
        <v>137</v>
      </c>
      <c r="G1356">
        <v>207</v>
      </c>
      <c r="H1356">
        <v>500</v>
      </c>
      <c r="I1356" s="5" t="s">
        <v>9663</v>
      </c>
      <c r="J1356" s="5" t="s">
        <v>9664</v>
      </c>
      <c r="K1356" s="5" t="str">
        <f t="shared" si="42"/>
        <v>https://www.google.com/maps?q=-11.046682, -41.960272</v>
      </c>
      <c r="L1356" s="5" t="str">
        <f t="shared" si="43"/>
        <v>Abrir no Maps</v>
      </c>
      <c r="M1356" t="s">
        <v>9665</v>
      </c>
      <c r="N1356" s="5"/>
      <c r="O1356" t="str">
        <f>VLOOKUP(G1356,'[1]CONFIG.'!$B:$C,2,0)</f>
        <v>HIAGO</v>
      </c>
      <c r="P1356" t="str">
        <f>VLOOKUP(O1356,'[1]CONFIG.'!$C:$D,2,0)</f>
        <v>74 99872571</v>
      </c>
    </row>
    <row r="1357" spans="1:16" x14ac:dyDescent="0.3">
      <c r="A1357" t="s">
        <v>9666</v>
      </c>
      <c r="B1357" t="s">
        <v>9667</v>
      </c>
      <c r="C1357" t="s">
        <v>9668</v>
      </c>
      <c r="D1357" t="s">
        <v>9092</v>
      </c>
      <c r="E1357" t="s">
        <v>9669</v>
      </c>
      <c r="F1357" t="s">
        <v>137</v>
      </c>
      <c r="G1357">
        <v>207</v>
      </c>
      <c r="H1357">
        <v>500</v>
      </c>
      <c r="I1357" s="5" t="s">
        <v>9670</v>
      </c>
      <c r="J1357" s="5" t="s">
        <v>9671</v>
      </c>
      <c r="K1357" s="5" t="str">
        <f t="shared" si="42"/>
        <v>https://www.google.com/maps?q=-11.041659, -41.970756</v>
      </c>
      <c r="L1357" s="5" t="str">
        <f t="shared" si="43"/>
        <v>Abrir no Maps</v>
      </c>
      <c r="M1357" t="s">
        <v>9672</v>
      </c>
      <c r="N1357" s="5"/>
      <c r="O1357" t="str">
        <f>VLOOKUP(G1357,'[1]CONFIG.'!$B:$C,2,0)</f>
        <v>HIAGO</v>
      </c>
      <c r="P1357" t="str">
        <f>VLOOKUP(O1357,'[1]CONFIG.'!$C:$D,2,0)</f>
        <v>74 99872571</v>
      </c>
    </row>
    <row r="1358" spans="1:16" x14ac:dyDescent="0.3">
      <c r="A1358" t="s">
        <v>9673</v>
      </c>
      <c r="B1358" t="s">
        <v>9674</v>
      </c>
      <c r="C1358" t="s">
        <v>9675</v>
      </c>
      <c r="D1358" t="s">
        <v>539</v>
      </c>
      <c r="E1358" t="s">
        <v>9676</v>
      </c>
      <c r="F1358" t="s">
        <v>541</v>
      </c>
      <c r="G1358">
        <v>204</v>
      </c>
      <c r="H1358">
        <v>500</v>
      </c>
      <c r="I1358" s="5" t="s">
        <v>9677</v>
      </c>
      <c r="J1358" s="5" t="s">
        <v>9678</v>
      </c>
      <c r="K1358" s="5" t="str">
        <f t="shared" si="42"/>
        <v>https://www.google.com/maps?q=-11.455425, -41.811400</v>
      </c>
      <c r="L1358" s="5" t="str">
        <f t="shared" si="43"/>
        <v>Abrir no Maps</v>
      </c>
      <c r="M1358" t="s">
        <v>9679</v>
      </c>
      <c r="N1358" s="5"/>
      <c r="O1358" t="str">
        <f>VLOOKUP(G1358,'[1]CONFIG.'!$B:$C,2,0)</f>
        <v>EVA</v>
      </c>
      <c r="P1358" t="str">
        <f>VLOOKUP(O1358,'[1]CONFIG.'!$C:$D,2,0)</f>
        <v>74 98046078</v>
      </c>
    </row>
    <row r="1359" spans="1:16" x14ac:dyDescent="0.3">
      <c r="A1359" t="s">
        <v>9680</v>
      </c>
      <c r="B1359" t="s">
        <v>9681</v>
      </c>
      <c r="C1359" t="s">
        <v>9682</v>
      </c>
      <c r="D1359" t="s">
        <v>539</v>
      </c>
      <c r="E1359" t="s">
        <v>9683</v>
      </c>
      <c r="F1359" t="s">
        <v>137</v>
      </c>
      <c r="G1359">
        <v>204</v>
      </c>
      <c r="H1359">
        <v>500</v>
      </c>
      <c r="I1359" s="5" t="s">
        <v>9684</v>
      </c>
      <c r="J1359" s="5" t="s">
        <v>9685</v>
      </c>
      <c r="K1359" s="5" t="str">
        <f t="shared" si="42"/>
        <v>https://www.google.com/maps?q=-11.382975, -41.826380</v>
      </c>
      <c r="L1359" s="5" t="str">
        <f t="shared" si="43"/>
        <v>Abrir no Maps</v>
      </c>
      <c r="M1359" t="s">
        <v>9686</v>
      </c>
      <c r="N1359" s="5"/>
      <c r="O1359" t="str">
        <f>VLOOKUP(G1359,'[1]CONFIG.'!$B:$C,2,0)</f>
        <v>EVA</v>
      </c>
      <c r="P1359" t="str">
        <f>VLOOKUP(O1359,'[1]CONFIG.'!$C:$D,2,0)</f>
        <v>74 98046078</v>
      </c>
    </row>
    <row r="1360" spans="1:16" x14ac:dyDescent="0.3">
      <c r="A1360" t="s">
        <v>9687</v>
      </c>
      <c r="B1360" t="s">
        <v>9688</v>
      </c>
      <c r="C1360" t="s">
        <v>9689</v>
      </c>
      <c r="D1360" t="s">
        <v>539</v>
      </c>
      <c r="E1360" t="s">
        <v>9690</v>
      </c>
      <c r="F1360" t="s">
        <v>9691</v>
      </c>
      <c r="G1360">
        <v>204</v>
      </c>
      <c r="H1360">
        <v>500</v>
      </c>
      <c r="I1360" s="5" t="s">
        <v>9692</v>
      </c>
      <c r="J1360" s="5" t="s">
        <v>9693</v>
      </c>
      <c r="K1360" s="5" t="str">
        <f t="shared" si="42"/>
        <v>https://www.google.com/maps?q=-11.381900, -41.828080</v>
      </c>
      <c r="L1360" s="5" t="str">
        <f t="shared" si="43"/>
        <v>Abrir no Maps</v>
      </c>
      <c r="M1360" t="s">
        <v>9694</v>
      </c>
      <c r="N1360" s="5"/>
      <c r="O1360" t="str">
        <f>VLOOKUP(G1360,'[1]CONFIG.'!$B:$C,2,0)</f>
        <v>EVA</v>
      </c>
      <c r="P1360" t="str">
        <f>VLOOKUP(O1360,'[1]CONFIG.'!$C:$D,2,0)</f>
        <v>74 98046078</v>
      </c>
    </row>
    <row r="1361" spans="1:16" x14ac:dyDescent="0.3">
      <c r="A1361" t="s">
        <v>9695</v>
      </c>
      <c r="B1361" t="s">
        <v>9696</v>
      </c>
      <c r="C1361" t="s">
        <v>9697</v>
      </c>
      <c r="D1361" t="s">
        <v>539</v>
      </c>
      <c r="E1361" t="s">
        <v>9698</v>
      </c>
      <c r="F1361" t="s">
        <v>137</v>
      </c>
      <c r="G1361">
        <v>204</v>
      </c>
      <c r="H1361">
        <v>500</v>
      </c>
      <c r="I1361" s="5" t="s">
        <v>9699</v>
      </c>
      <c r="J1361" s="5" t="s">
        <v>9700</v>
      </c>
      <c r="K1361" s="5" t="str">
        <f t="shared" si="42"/>
        <v>https://www.google.com/maps?q=-11.382459, -41.830715</v>
      </c>
      <c r="L1361" s="5" t="str">
        <f t="shared" si="43"/>
        <v>Abrir no Maps</v>
      </c>
      <c r="M1361" t="s">
        <v>9701</v>
      </c>
      <c r="N1361" s="5"/>
      <c r="O1361" t="str">
        <f>VLOOKUP(G1361,'[1]CONFIG.'!$B:$C,2,0)</f>
        <v>EVA</v>
      </c>
      <c r="P1361" t="str">
        <f>VLOOKUP(O1361,'[1]CONFIG.'!$C:$D,2,0)</f>
        <v>74 98046078</v>
      </c>
    </row>
    <row r="1362" spans="1:16" x14ac:dyDescent="0.3">
      <c r="A1362" t="s">
        <v>9702</v>
      </c>
      <c r="B1362" t="s">
        <v>9703</v>
      </c>
      <c r="C1362" t="s">
        <v>9704</v>
      </c>
      <c r="D1362" t="s">
        <v>539</v>
      </c>
      <c r="E1362" t="s">
        <v>9705</v>
      </c>
      <c r="F1362" t="s">
        <v>137</v>
      </c>
      <c r="G1362">
        <v>204</v>
      </c>
      <c r="H1362">
        <v>500</v>
      </c>
      <c r="I1362" s="5" t="s">
        <v>9706</v>
      </c>
      <c r="J1362" s="5" t="s">
        <v>9707</v>
      </c>
      <c r="K1362" s="5" t="str">
        <f t="shared" si="42"/>
        <v>https://www.google.com/maps?q=-11.383065, -41.827953</v>
      </c>
      <c r="L1362" s="5" t="str">
        <f t="shared" si="43"/>
        <v>Abrir no Maps</v>
      </c>
      <c r="M1362" t="s">
        <v>9708</v>
      </c>
      <c r="N1362" s="5"/>
      <c r="O1362" t="str">
        <f>VLOOKUP(G1362,'[1]CONFIG.'!$B:$C,2,0)</f>
        <v>EVA</v>
      </c>
      <c r="P1362" t="str">
        <f>VLOOKUP(O1362,'[1]CONFIG.'!$C:$D,2,0)</f>
        <v>74 98046078</v>
      </c>
    </row>
    <row r="1363" spans="1:16" x14ac:dyDescent="0.3">
      <c r="A1363" t="s">
        <v>9709</v>
      </c>
      <c r="B1363" t="s">
        <v>9710</v>
      </c>
      <c r="C1363" t="s">
        <v>9711</v>
      </c>
      <c r="D1363" t="s">
        <v>539</v>
      </c>
      <c r="E1363" t="s">
        <v>9712</v>
      </c>
      <c r="F1363" t="s">
        <v>9713</v>
      </c>
      <c r="G1363">
        <v>204</v>
      </c>
      <c r="H1363">
        <v>500</v>
      </c>
      <c r="I1363" s="5" t="s">
        <v>9714</v>
      </c>
      <c r="J1363" s="5" t="s">
        <v>9715</v>
      </c>
      <c r="K1363" s="5" t="str">
        <f t="shared" si="42"/>
        <v>https://www.google.com/maps?q=-11.384335, -41.831123</v>
      </c>
      <c r="L1363" s="5" t="str">
        <f t="shared" si="43"/>
        <v>Abrir no Maps</v>
      </c>
      <c r="M1363" t="s">
        <v>9716</v>
      </c>
      <c r="N1363" s="5"/>
      <c r="O1363" t="str">
        <f>VLOOKUP(G1363,'[1]CONFIG.'!$B:$C,2,0)</f>
        <v>EVA</v>
      </c>
      <c r="P1363" t="str">
        <f>VLOOKUP(O1363,'[1]CONFIG.'!$C:$D,2,0)</f>
        <v>74 98046078</v>
      </c>
    </row>
    <row r="1364" spans="1:16" x14ac:dyDescent="0.3">
      <c r="A1364" t="s">
        <v>9717</v>
      </c>
      <c r="B1364" t="s">
        <v>9718</v>
      </c>
      <c r="C1364" t="s">
        <v>9719</v>
      </c>
      <c r="D1364" t="s">
        <v>539</v>
      </c>
      <c r="E1364" t="s">
        <v>9720</v>
      </c>
      <c r="F1364" t="s">
        <v>137</v>
      </c>
      <c r="G1364">
        <v>204</v>
      </c>
      <c r="H1364">
        <v>500</v>
      </c>
      <c r="I1364" s="5" t="s">
        <v>9721</v>
      </c>
      <c r="J1364" s="5" t="s">
        <v>9722</v>
      </c>
      <c r="K1364" s="5" t="str">
        <f t="shared" si="42"/>
        <v>https://www.google.com/maps?q=-11.383237, -41.834570</v>
      </c>
      <c r="L1364" s="5" t="str">
        <f t="shared" si="43"/>
        <v>Abrir no Maps</v>
      </c>
      <c r="M1364" t="s">
        <v>9723</v>
      </c>
      <c r="N1364" s="5"/>
      <c r="O1364" t="str">
        <f>VLOOKUP(G1364,'[1]CONFIG.'!$B:$C,2,0)</f>
        <v>EVA</v>
      </c>
      <c r="P1364" t="str">
        <f>VLOOKUP(O1364,'[1]CONFIG.'!$C:$D,2,0)</f>
        <v>74 98046078</v>
      </c>
    </row>
    <row r="1365" spans="1:16" x14ac:dyDescent="0.3">
      <c r="A1365" t="s">
        <v>9724</v>
      </c>
      <c r="B1365" t="s">
        <v>9725</v>
      </c>
      <c r="C1365" t="s">
        <v>9726</v>
      </c>
      <c r="D1365" t="s">
        <v>539</v>
      </c>
      <c r="E1365" t="s">
        <v>9727</v>
      </c>
      <c r="F1365" t="s">
        <v>137</v>
      </c>
      <c r="G1365">
        <v>204</v>
      </c>
      <c r="H1365">
        <v>500</v>
      </c>
      <c r="I1365" s="5" t="s">
        <v>9728</v>
      </c>
      <c r="J1365" s="5" t="s">
        <v>9729</v>
      </c>
      <c r="K1365" s="5" t="str">
        <f t="shared" si="42"/>
        <v>https://www.google.com/maps?q=-11.381170, -41.830494</v>
      </c>
      <c r="L1365" s="5" t="str">
        <f t="shared" si="43"/>
        <v>Abrir no Maps</v>
      </c>
      <c r="M1365" t="s">
        <v>9730</v>
      </c>
      <c r="N1365" s="5"/>
      <c r="O1365" t="str">
        <f>VLOOKUP(G1365,'[1]CONFIG.'!$B:$C,2,0)</f>
        <v>EVA</v>
      </c>
      <c r="P1365" t="str">
        <f>VLOOKUP(O1365,'[1]CONFIG.'!$C:$D,2,0)</f>
        <v>74 98046078</v>
      </c>
    </row>
    <row r="1366" spans="1:16" x14ac:dyDescent="0.3">
      <c r="A1366" t="s">
        <v>9731</v>
      </c>
      <c r="B1366" t="s">
        <v>9732</v>
      </c>
      <c r="C1366" t="s">
        <v>9733</v>
      </c>
      <c r="D1366" t="s">
        <v>539</v>
      </c>
      <c r="E1366" t="s">
        <v>9734</v>
      </c>
      <c r="F1366" t="s">
        <v>137</v>
      </c>
      <c r="G1366">
        <v>204</v>
      </c>
      <c r="H1366">
        <v>500</v>
      </c>
      <c r="I1366" s="5" t="s">
        <v>9735</v>
      </c>
      <c r="J1366" s="5" t="s">
        <v>9736</v>
      </c>
      <c r="K1366" s="5" t="str">
        <f t="shared" si="42"/>
        <v>https://www.google.com/maps?q=-11.380918, -41.830560</v>
      </c>
      <c r="L1366" s="5" t="str">
        <f t="shared" si="43"/>
        <v>Abrir no Maps</v>
      </c>
      <c r="M1366" t="s">
        <v>9737</v>
      </c>
      <c r="N1366" s="5"/>
      <c r="O1366" t="str">
        <f>VLOOKUP(G1366,'[1]CONFIG.'!$B:$C,2,0)</f>
        <v>EVA</v>
      </c>
      <c r="P1366" t="str">
        <f>VLOOKUP(O1366,'[1]CONFIG.'!$C:$D,2,0)</f>
        <v>74 98046078</v>
      </c>
    </row>
    <row r="1367" spans="1:16" x14ac:dyDescent="0.3">
      <c r="A1367" t="s">
        <v>9738</v>
      </c>
      <c r="B1367" t="s">
        <v>9739</v>
      </c>
      <c r="C1367" t="s">
        <v>9740</v>
      </c>
      <c r="D1367" t="s">
        <v>539</v>
      </c>
      <c r="E1367" t="s">
        <v>9741</v>
      </c>
      <c r="F1367" t="s">
        <v>9742</v>
      </c>
      <c r="G1367">
        <v>210</v>
      </c>
      <c r="H1367">
        <v>500</v>
      </c>
      <c r="I1367" s="5" t="s">
        <v>9743</v>
      </c>
      <c r="J1367" s="5" t="s">
        <v>9744</v>
      </c>
      <c r="K1367" s="5" t="str">
        <f t="shared" si="42"/>
        <v>https://www.google.com/maps?q=-11.486119, -41.793396</v>
      </c>
      <c r="L1367" s="5" t="str">
        <f t="shared" si="43"/>
        <v>Abrir no Maps</v>
      </c>
      <c r="M1367" t="s">
        <v>9745</v>
      </c>
      <c r="N1367" s="5"/>
      <c r="O1367" t="str">
        <f>VLOOKUP(G1367,'[1]CONFIG.'!$B:$C,2,0)</f>
        <v>SILAS</v>
      </c>
      <c r="P1367" t="str">
        <f>VLOOKUP(O1367,'[1]CONFIG.'!$C:$D,2,0)</f>
        <v>74 98041875</v>
      </c>
    </row>
    <row r="1368" spans="1:16" x14ac:dyDescent="0.3">
      <c r="A1368" t="s">
        <v>9746</v>
      </c>
      <c r="B1368" t="s">
        <v>9747</v>
      </c>
      <c r="C1368" t="s">
        <v>9748</v>
      </c>
      <c r="D1368" t="s">
        <v>539</v>
      </c>
      <c r="E1368" t="s">
        <v>9749</v>
      </c>
      <c r="F1368" t="s">
        <v>9750</v>
      </c>
      <c r="G1368">
        <v>204</v>
      </c>
      <c r="H1368">
        <v>500</v>
      </c>
      <c r="I1368" s="5" t="s">
        <v>9751</v>
      </c>
      <c r="J1368" s="5" t="s">
        <v>9752</v>
      </c>
      <c r="K1368" s="5" t="str">
        <f t="shared" si="42"/>
        <v>https://www.google.com/maps?q=-11.382672, -41.833700</v>
      </c>
      <c r="L1368" s="5" t="str">
        <f t="shared" si="43"/>
        <v>Abrir no Maps</v>
      </c>
      <c r="M1368" t="s">
        <v>9753</v>
      </c>
      <c r="N1368" s="5"/>
      <c r="O1368" t="str">
        <f>VLOOKUP(G1368,'[1]CONFIG.'!$B:$C,2,0)</f>
        <v>EVA</v>
      </c>
      <c r="P1368" t="str">
        <f>VLOOKUP(O1368,'[1]CONFIG.'!$C:$D,2,0)</f>
        <v>74 98046078</v>
      </c>
    </row>
    <row r="1369" spans="1:16" x14ac:dyDescent="0.3">
      <c r="A1369" t="s">
        <v>9754</v>
      </c>
      <c r="B1369" t="s">
        <v>9755</v>
      </c>
      <c r="C1369" t="s">
        <v>9756</v>
      </c>
      <c r="D1369" t="s">
        <v>539</v>
      </c>
      <c r="E1369" t="s">
        <v>9757</v>
      </c>
      <c r="F1369" t="s">
        <v>137</v>
      </c>
      <c r="G1369">
        <v>204</v>
      </c>
      <c r="H1369">
        <v>500</v>
      </c>
      <c r="I1369" s="5" t="s">
        <v>9758</v>
      </c>
      <c r="J1369" s="5" t="s">
        <v>9759</v>
      </c>
      <c r="K1369" s="5" t="str">
        <f t="shared" si="42"/>
        <v>https://www.google.com/maps?q=-11.380251, -41.834156</v>
      </c>
      <c r="L1369" s="5" t="str">
        <f t="shared" si="43"/>
        <v>Abrir no Maps</v>
      </c>
      <c r="M1369" t="s">
        <v>9760</v>
      </c>
      <c r="N1369" s="5"/>
      <c r="O1369" t="str">
        <f>VLOOKUP(G1369,'[1]CONFIG.'!$B:$C,2,0)</f>
        <v>EVA</v>
      </c>
      <c r="P1369" t="str">
        <f>VLOOKUP(O1369,'[1]CONFIG.'!$C:$D,2,0)</f>
        <v>74 98046078</v>
      </c>
    </row>
    <row r="1370" spans="1:16" x14ac:dyDescent="0.3">
      <c r="A1370" t="s">
        <v>9761</v>
      </c>
      <c r="B1370" t="s">
        <v>9762</v>
      </c>
      <c r="C1370" t="s">
        <v>9763</v>
      </c>
      <c r="D1370" t="s">
        <v>539</v>
      </c>
      <c r="E1370" t="s">
        <v>9764</v>
      </c>
      <c r="F1370" t="s">
        <v>9765</v>
      </c>
      <c r="G1370">
        <v>204</v>
      </c>
      <c r="H1370">
        <v>500</v>
      </c>
      <c r="I1370" s="5" t="s">
        <v>9766</v>
      </c>
      <c r="J1370" s="5" t="s">
        <v>9767</v>
      </c>
      <c r="K1370" s="5" t="str">
        <f t="shared" si="42"/>
        <v>https://www.google.com/maps?q=-11.387448, -41.826324</v>
      </c>
      <c r="L1370" s="5" t="str">
        <f t="shared" si="43"/>
        <v>Abrir no Maps</v>
      </c>
      <c r="M1370" t="s">
        <v>9768</v>
      </c>
      <c r="N1370" s="5"/>
      <c r="O1370" t="str">
        <f>VLOOKUP(G1370,'[1]CONFIG.'!$B:$C,2,0)</f>
        <v>EVA</v>
      </c>
      <c r="P1370" t="str">
        <f>VLOOKUP(O1370,'[1]CONFIG.'!$C:$D,2,0)</f>
        <v>74 98046078</v>
      </c>
    </row>
    <row r="1371" spans="1:16" x14ac:dyDescent="0.3">
      <c r="A1371" t="s">
        <v>9769</v>
      </c>
      <c r="B1371" t="s">
        <v>9770</v>
      </c>
      <c r="C1371" t="s">
        <v>9771</v>
      </c>
      <c r="D1371" t="s">
        <v>539</v>
      </c>
      <c r="E1371" t="s">
        <v>9772</v>
      </c>
      <c r="F1371" t="s">
        <v>9773</v>
      </c>
      <c r="G1371">
        <v>204</v>
      </c>
      <c r="H1371">
        <v>500</v>
      </c>
      <c r="I1371" s="5" t="s">
        <v>9774</v>
      </c>
      <c r="J1371" s="5" t="s">
        <v>9775</v>
      </c>
      <c r="K1371" s="5" t="str">
        <f t="shared" si="42"/>
        <v>https://www.google.com/maps?q=-11.496200, -41.868378</v>
      </c>
      <c r="L1371" s="5" t="str">
        <f t="shared" si="43"/>
        <v>Abrir no Maps</v>
      </c>
      <c r="M1371" t="s">
        <v>9776</v>
      </c>
      <c r="N1371" s="5"/>
      <c r="O1371" t="str">
        <f>VLOOKUP(G1371,'[1]CONFIG.'!$B:$C,2,0)</f>
        <v>EVA</v>
      </c>
      <c r="P1371" t="str">
        <f>VLOOKUP(O1371,'[1]CONFIG.'!$C:$D,2,0)</f>
        <v>74 98046078</v>
      </c>
    </row>
    <row r="1372" spans="1:16" x14ac:dyDescent="0.3">
      <c r="A1372" t="s">
        <v>9777</v>
      </c>
      <c r="B1372" t="s">
        <v>9778</v>
      </c>
      <c r="C1372" t="s">
        <v>9779</v>
      </c>
      <c r="D1372" t="s">
        <v>539</v>
      </c>
      <c r="E1372" t="s">
        <v>9780</v>
      </c>
      <c r="F1372" t="s">
        <v>541</v>
      </c>
      <c r="G1372">
        <v>204</v>
      </c>
      <c r="H1372">
        <v>500</v>
      </c>
      <c r="I1372" s="5" t="s">
        <v>9781</v>
      </c>
      <c r="J1372" s="5" t="s">
        <v>9782</v>
      </c>
      <c r="K1372" s="5" t="str">
        <f t="shared" si="42"/>
        <v>https://www.google.com/maps?q=-11.457037, -41.807384</v>
      </c>
      <c r="L1372" s="5" t="str">
        <f t="shared" si="43"/>
        <v>Abrir no Maps</v>
      </c>
      <c r="M1372" t="s">
        <v>9783</v>
      </c>
      <c r="N1372" s="5"/>
      <c r="O1372" t="str">
        <f>VLOOKUP(G1372,'[1]CONFIG.'!$B:$C,2,0)</f>
        <v>EVA</v>
      </c>
      <c r="P1372" t="str">
        <f>VLOOKUP(O1372,'[1]CONFIG.'!$C:$D,2,0)</f>
        <v>74 98046078</v>
      </c>
    </row>
    <row r="1373" spans="1:16" x14ac:dyDescent="0.3">
      <c r="A1373" t="s">
        <v>9784</v>
      </c>
      <c r="B1373" t="s">
        <v>9785</v>
      </c>
      <c r="C1373" t="s">
        <v>9786</v>
      </c>
      <c r="D1373" t="s">
        <v>539</v>
      </c>
      <c r="E1373" t="s">
        <v>9787</v>
      </c>
      <c r="F1373" t="s">
        <v>9788</v>
      </c>
      <c r="G1373">
        <v>204</v>
      </c>
      <c r="H1373">
        <v>500</v>
      </c>
      <c r="I1373" s="5" t="s">
        <v>9789</v>
      </c>
      <c r="J1373" s="5" t="s">
        <v>9790</v>
      </c>
      <c r="K1373" s="5" t="str">
        <f t="shared" si="42"/>
        <v>https://www.google.com/maps?q=-11.478168, -41.756516</v>
      </c>
      <c r="L1373" s="5" t="str">
        <f t="shared" si="43"/>
        <v>Abrir no Maps</v>
      </c>
      <c r="M1373" t="s">
        <v>9791</v>
      </c>
      <c r="N1373" s="5"/>
      <c r="O1373" t="str">
        <f>VLOOKUP(G1373,'[1]CONFIG.'!$B:$C,2,0)</f>
        <v>EVA</v>
      </c>
      <c r="P1373" t="str">
        <f>VLOOKUP(O1373,'[1]CONFIG.'!$C:$D,2,0)</f>
        <v>74 98046078</v>
      </c>
    </row>
    <row r="1374" spans="1:16" x14ac:dyDescent="0.3">
      <c r="A1374" t="s">
        <v>9792</v>
      </c>
      <c r="B1374" t="s">
        <v>9793</v>
      </c>
      <c r="C1374" t="s">
        <v>9794</v>
      </c>
      <c r="D1374" t="s">
        <v>36</v>
      </c>
      <c r="E1374" t="s">
        <v>9795</v>
      </c>
      <c r="F1374" t="s">
        <v>108</v>
      </c>
      <c r="G1374">
        <v>207</v>
      </c>
      <c r="H1374">
        <v>500</v>
      </c>
      <c r="I1374" s="5" t="s">
        <v>9796</v>
      </c>
      <c r="J1374" s="5" t="s">
        <v>2268</v>
      </c>
      <c r="K1374" s="5" t="str">
        <f t="shared" si="42"/>
        <v>https://www.google.com/maps?q=-11.308786, -41.863625</v>
      </c>
      <c r="L1374" s="5" t="str">
        <f t="shared" si="43"/>
        <v>Abrir no Maps</v>
      </c>
      <c r="M1374" t="s">
        <v>9797</v>
      </c>
      <c r="N1374" s="5"/>
      <c r="O1374" t="str">
        <f>VLOOKUP(G1374,'[1]CONFIG.'!$B:$C,2,0)</f>
        <v>HIAGO</v>
      </c>
      <c r="P1374" t="str">
        <f>VLOOKUP(O1374,'[1]CONFIG.'!$C:$D,2,0)</f>
        <v>74 99872571</v>
      </c>
    </row>
    <row r="1375" spans="1:16" x14ac:dyDescent="0.3">
      <c r="A1375" t="s">
        <v>9798</v>
      </c>
      <c r="B1375" t="s">
        <v>9799</v>
      </c>
      <c r="C1375" t="s">
        <v>9800</v>
      </c>
      <c r="D1375" t="s">
        <v>539</v>
      </c>
      <c r="E1375" t="s">
        <v>9801</v>
      </c>
      <c r="F1375" t="s">
        <v>9802</v>
      </c>
      <c r="G1375">
        <v>204</v>
      </c>
      <c r="H1375">
        <v>500</v>
      </c>
      <c r="I1375" s="5" t="s">
        <v>9803</v>
      </c>
      <c r="J1375" s="5" t="s">
        <v>9804</v>
      </c>
      <c r="K1375" s="5" t="str">
        <f t="shared" si="42"/>
        <v>https://www.google.com/maps?q=-11.400426, -41.886143</v>
      </c>
      <c r="L1375" s="5" t="str">
        <f t="shared" si="43"/>
        <v>Abrir no Maps</v>
      </c>
      <c r="M1375" t="s">
        <v>9805</v>
      </c>
      <c r="N1375" s="5"/>
      <c r="O1375" t="str">
        <f>VLOOKUP(G1375,'[1]CONFIG.'!$B:$C,2,0)</f>
        <v>EVA</v>
      </c>
      <c r="P1375" t="str">
        <f>VLOOKUP(O1375,'[1]CONFIG.'!$C:$D,2,0)</f>
        <v>74 98046078</v>
      </c>
    </row>
    <row r="1376" spans="1:16" x14ac:dyDescent="0.3">
      <c r="A1376" t="s">
        <v>9806</v>
      </c>
      <c r="B1376" t="s">
        <v>9807</v>
      </c>
      <c r="C1376" t="s">
        <v>9808</v>
      </c>
      <c r="D1376" t="s">
        <v>36</v>
      </c>
      <c r="E1376" t="s">
        <v>9809</v>
      </c>
      <c r="F1376" t="s">
        <v>217</v>
      </c>
      <c r="G1376">
        <v>209</v>
      </c>
      <c r="H1376">
        <v>500</v>
      </c>
      <c r="I1376" s="5" t="s">
        <v>9810</v>
      </c>
      <c r="J1376" s="5" t="s">
        <v>2010</v>
      </c>
      <c r="K1376" s="5" t="str">
        <f t="shared" si="42"/>
        <v>https://www.google.com/maps?q=-11.303223, -41.843160</v>
      </c>
      <c r="L1376" s="5" t="str">
        <f t="shared" si="43"/>
        <v>Abrir no Maps</v>
      </c>
      <c r="M1376" t="s">
        <v>9811</v>
      </c>
      <c r="N1376" s="5"/>
      <c r="O1376" t="str">
        <f>VLOOKUP(G1376,'[1]CONFIG.'!$B:$C,2,0)</f>
        <v>IGOR</v>
      </c>
      <c r="P1376" t="str">
        <f>VLOOKUP(O1376,'[1]CONFIG.'!$C:$D,2,0)</f>
        <v>74 99590346</v>
      </c>
    </row>
    <row r="1377" spans="1:16" x14ac:dyDescent="0.3">
      <c r="A1377" t="s">
        <v>9812</v>
      </c>
      <c r="B1377" t="s">
        <v>9813</v>
      </c>
      <c r="C1377" t="s">
        <v>9814</v>
      </c>
      <c r="D1377" t="s">
        <v>539</v>
      </c>
      <c r="E1377" t="s">
        <v>9815</v>
      </c>
      <c r="F1377" t="s">
        <v>137</v>
      </c>
      <c r="G1377">
        <v>204</v>
      </c>
      <c r="H1377">
        <v>500</v>
      </c>
      <c r="I1377" s="5" t="s">
        <v>9816</v>
      </c>
      <c r="J1377" s="5" t="s">
        <v>9817</v>
      </c>
      <c r="K1377" s="5" t="str">
        <f t="shared" si="42"/>
        <v>https://www.google.com/maps?q=-11.382819, -41.829193</v>
      </c>
      <c r="L1377" s="5" t="str">
        <f t="shared" si="43"/>
        <v>Abrir no Maps</v>
      </c>
      <c r="M1377" t="s">
        <v>9818</v>
      </c>
      <c r="N1377" s="5"/>
      <c r="O1377" t="str">
        <f>VLOOKUP(G1377,'[1]CONFIG.'!$B:$C,2,0)</f>
        <v>EVA</v>
      </c>
      <c r="P1377" t="str">
        <f>VLOOKUP(O1377,'[1]CONFIG.'!$C:$D,2,0)</f>
        <v>74 98046078</v>
      </c>
    </row>
    <row r="1378" spans="1:16" x14ac:dyDescent="0.3">
      <c r="A1378" t="s">
        <v>9819</v>
      </c>
      <c r="B1378" t="s">
        <v>9820</v>
      </c>
      <c r="C1378" t="s">
        <v>9821</v>
      </c>
      <c r="D1378" t="s">
        <v>539</v>
      </c>
      <c r="E1378" t="s">
        <v>9822</v>
      </c>
      <c r="F1378" t="s">
        <v>9823</v>
      </c>
      <c r="G1378">
        <v>204</v>
      </c>
      <c r="H1378">
        <v>500</v>
      </c>
      <c r="I1378" s="5" t="s">
        <v>9824</v>
      </c>
      <c r="J1378" s="5" t="s">
        <v>9825</v>
      </c>
      <c r="K1378" s="5" t="str">
        <f t="shared" si="42"/>
        <v>https://www.google.com/maps?q=-11.481547, -41.757767</v>
      </c>
      <c r="L1378" s="5" t="str">
        <f t="shared" si="43"/>
        <v>Abrir no Maps</v>
      </c>
      <c r="M1378" t="s">
        <v>9826</v>
      </c>
      <c r="N1378" s="5"/>
      <c r="O1378" t="str">
        <f>VLOOKUP(G1378,'[1]CONFIG.'!$B:$C,2,0)</f>
        <v>EVA</v>
      </c>
      <c r="P1378" t="str">
        <f>VLOOKUP(O1378,'[1]CONFIG.'!$C:$D,2,0)</f>
        <v>74 98046078</v>
      </c>
    </row>
    <row r="1379" spans="1:16" x14ac:dyDescent="0.3">
      <c r="A1379" t="s">
        <v>9827</v>
      </c>
      <c r="B1379" t="s">
        <v>9828</v>
      </c>
      <c r="C1379" t="s">
        <v>9829</v>
      </c>
      <c r="D1379" t="s">
        <v>539</v>
      </c>
      <c r="E1379" t="s">
        <v>9830</v>
      </c>
      <c r="F1379" t="s">
        <v>9831</v>
      </c>
      <c r="G1379">
        <v>209</v>
      </c>
      <c r="H1379">
        <v>500</v>
      </c>
      <c r="I1379" s="5" t="s">
        <v>9832</v>
      </c>
      <c r="J1379" s="5" t="s">
        <v>9833</v>
      </c>
      <c r="K1379" s="5" t="str">
        <f t="shared" si="42"/>
        <v>https://www.google.com/maps?q=-11.525239, -41.790652</v>
      </c>
      <c r="L1379" s="5" t="str">
        <f t="shared" si="43"/>
        <v>Abrir no Maps</v>
      </c>
      <c r="M1379" t="s">
        <v>9834</v>
      </c>
      <c r="N1379" s="5"/>
      <c r="O1379" t="str">
        <f>VLOOKUP(G1379,'[1]CONFIG.'!$B:$C,2,0)</f>
        <v>IGOR</v>
      </c>
      <c r="P1379" t="str">
        <f>VLOOKUP(O1379,'[1]CONFIG.'!$C:$D,2,0)</f>
        <v>74 99590346</v>
      </c>
    </row>
    <row r="1380" spans="1:16" x14ac:dyDescent="0.3">
      <c r="A1380" t="s">
        <v>9835</v>
      </c>
      <c r="B1380" t="s">
        <v>9836</v>
      </c>
      <c r="C1380" t="s">
        <v>9837</v>
      </c>
      <c r="D1380" t="s">
        <v>539</v>
      </c>
      <c r="E1380" t="s">
        <v>9838</v>
      </c>
      <c r="F1380" t="s">
        <v>137</v>
      </c>
      <c r="G1380">
        <v>204</v>
      </c>
      <c r="H1380">
        <v>500</v>
      </c>
      <c r="I1380" s="5" t="s">
        <v>9839</v>
      </c>
      <c r="J1380" s="5" t="s">
        <v>9840</v>
      </c>
      <c r="K1380" s="5" t="str">
        <f t="shared" si="42"/>
        <v>https://www.google.com/maps?q=-11.386558, -41.830015</v>
      </c>
      <c r="L1380" s="5" t="str">
        <f t="shared" si="43"/>
        <v>Abrir no Maps</v>
      </c>
      <c r="M1380" t="s">
        <v>9841</v>
      </c>
      <c r="N1380" s="5"/>
      <c r="O1380" t="str">
        <f>VLOOKUP(G1380,'[1]CONFIG.'!$B:$C,2,0)</f>
        <v>EVA</v>
      </c>
      <c r="P1380" t="str">
        <f>VLOOKUP(O1380,'[1]CONFIG.'!$C:$D,2,0)</f>
        <v>74 98046078</v>
      </c>
    </row>
    <row r="1381" spans="1:16" x14ac:dyDescent="0.3">
      <c r="A1381" t="s">
        <v>9842</v>
      </c>
      <c r="B1381" t="s">
        <v>9843</v>
      </c>
      <c r="C1381" t="s">
        <v>9844</v>
      </c>
      <c r="D1381" t="s">
        <v>539</v>
      </c>
      <c r="E1381" t="s">
        <v>9845</v>
      </c>
      <c r="F1381" t="s">
        <v>9802</v>
      </c>
      <c r="G1381">
        <v>204</v>
      </c>
      <c r="H1381">
        <v>500</v>
      </c>
      <c r="I1381" s="5" t="s">
        <v>9846</v>
      </c>
      <c r="J1381" s="5" t="s">
        <v>9847</v>
      </c>
      <c r="K1381" s="5" t="str">
        <f t="shared" si="42"/>
        <v>https://www.google.com/maps?q=-11.402611, -41.886980</v>
      </c>
      <c r="L1381" s="5" t="str">
        <f t="shared" si="43"/>
        <v>Abrir no Maps</v>
      </c>
      <c r="M1381" t="s">
        <v>9848</v>
      </c>
      <c r="N1381" s="5"/>
      <c r="O1381" t="str">
        <f>VLOOKUP(G1381,'[1]CONFIG.'!$B:$C,2,0)</f>
        <v>EVA</v>
      </c>
      <c r="P1381" t="str">
        <f>VLOOKUP(O1381,'[1]CONFIG.'!$C:$D,2,0)</f>
        <v>74 98046078</v>
      </c>
    </row>
    <row r="1382" spans="1:16" x14ac:dyDescent="0.3">
      <c r="A1382" t="s">
        <v>9849</v>
      </c>
      <c r="B1382" t="s">
        <v>9850</v>
      </c>
      <c r="C1382" t="s">
        <v>9851</v>
      </c>
      <c r="D1382" t="s">
        <v>539</v>
      </c>
      <c r="E1382" t="s">
        <v>9852</v>
      </c>
      <c r="F1382" t="s">
        <v>541</v>
      </c>
      <c r="G1382">
        <v>204</v>
      </c>
      <c r="H1382">
        <v>500</v>
      </c>
      <c r="I1382" s="5" t="s">
        <v>9853</v>
      </c>
      <c r="J1382" s="5" t="s">
        <v>9854</v>
      </c>
      <c r="K1382" s="5" t="str">
        <f t="shared" si="42"/>
        <v>https://www.google.com/maps?q=-11.456087, -41.809025</v>
      </c>
      <c r="L1382" s="5" t="str">
        <f t="shared" si="43"/>
        <v>Abrir no Maps</v>
      </c>
      <c r="M1382" t="s">
        <v>9855</v>
      </c>
      <c r="N1382" s="5"/>
      <c r="O1382" t="str">
        <f>VLOOKUP(G1382,'[1]CONFIG.'!$B:$C,2,0)</f>
        <v>EVA</v>
      </c>
      <c r="P1382" t="str">
        <f>VLOOKUP(O1382,'[1]CONFIG.'!$C:$D,2,0)</f>
        <v>74 98046078</v>
      </c>
    </row>
    <row r="1383" spans="1:16" x14ac:dyDescent="0.3">
      <c r="A1383" t="s">
        <v>9856</v>
      </c>
      <c r="B1383" t="s">
        <v>9857</v>
      </c>
      <c r="C1383" t="s">
        <v>9858</v>
      </c>
      <c r="D1383" t="s">
        <v>539</v>
      </c>
      <c r="E1383" t="s">
        <v>9859</v>
      </c>
      <c r="F1383" t="s">
        <v>9860</v>
      </c>
      <c r="G1383">
        <v>204</v>
      </c>
      <c r="H1383">
        <v>500</v>
      </c>
      <c r="I1383" s="5" t="s">
        <v>9861</v>
      </c>
      <c r="J1383" s="5" t="s">
        <v>9862</v>
      </c>
      <c r="K1383" s="5" t="str">
        <f t="shared" si="42"/>
        <v>https://www.google.com/maps?q=-11.477130, -41.694000</v>
      </c>
      <c r="L1383" s="5" t="str">
        <f t="shared" si="43"/>
        <v>Abrir no Maps</v>
      </c>
      <c r="M1383" t="s">
        <v>9863</v>
      </c>
      <c r="N1383" s="5"/>
      <c r="O1383" t="str">
        <f>VLOOKUP(G1383,'[1]CONFIG.'!$B:$C,2,0)</f>
        <v>EVA</v>
      </c>
      <c r="P1383" t="str">
        <f>VLOOKUP(O1383,'[1]CONFIG.'!$C:$D,2,0)</f>
        <v>74 98046078</v>
      </c>
    </row>
    <row r="1384" spans="1:16" x14ac:dyDescent="0.3">
      <c r="A1384" t="s">
        <v>9864</v>
      </c>
      <c r="B1384" t="s">
        <v>9865</v>
      </c>
      <c r="C1384" t="s">
        <v>9866</v>
      </c>
      <c r="D1384" t="s">
        <v>539</v>
      </c>
      <c r="E1384" t="s">
        <v>9867</v>
      </c>
      <c r="F1384" t="s">
        <v>137</v>
      </c>
      <c r="G1384">
        <v>204</v>
      </c>
      <c r="H1384">
        <v>500</v>
      </c>
      <c r="I1384" s="5" t="s">
        <v>9868</v>
      </c>
      <c r="J1384" s="5" t="s">
        <v>9869</v>
      </c>
      <c r="K1384" s="5" t="str">
        <f t="shared" si="42"/>
        <v>https://www.google.com/maps?q=-11.379733, -41.835552</v>
      </c>
      <c r="L1384" s="5" t="str">
        <f t="shared" si="43"/>
        <v>Abrir no Maps</v>
      </c>
      <c r="M1384" t="s">
        <v>9870</v>
      </c>
      <c r="N1384" s="5"/>
      <c r="O1384" t="str">
        <f>VLOOKUP(G1384,'[1]CONFIG.'!$B:$C,2,0)</f>
        <v>EVA</v>
      </c>
      <c r="P1384" t="str">
        <f>VLOOKUP(O1384,'[1]CONFIG.'!$C:$D,2,0)</f>
        <v>74 98046078</v>
      </c>
    </row>
    <row r="1385" spans="1:16" x14ac:dyDescent="0.3">
      <c r="A1385" t="s">
        <v>9871</v>
      </c>
      <c r="B1385" t="s">
        <v>9872</v>
      </c>
      <c r="C1385" t="s">
        <v>9873</v>
      </c>
      <c r="D1385" t="s">
        <v>539</v>
      </c>
      <c r="E1385" t="s">
        <v>9874</v>
      </c>
      <c r="F1385" t="s">
        <v>9875</v>
      </c>
      <c r="G1385">
        <v>204</v>
      </c>
      <c r="H1385">
        <v>500</v>
      </c>
      <c r="I1385" s="5" t="s">
        <v>9876</v>
      </c>
      <c r="J1385" s="5" t="s">
        <v>9877</v>
      </c>
      <c r="K1385" s="5" t="str">
        <f t="shared" si="42"/>
        <v>https://www.google.com/maps?q=-11.415392, -41.760796</v>
      </c>
      <c r="L1385" s="5" t="str">
        <f t="shared" si="43"/>
        <v>Abrir no Maps</v>
      </c>
      <c r="M1385" t="s">
        <v>9878</v>
      </c>
      <c r="N1385" s="5"/>
      <c r="O1385" t="str">
        <f>VLOOKUP(G1385,'[1]CONFIG.'!$B:$C,2,0)</f>
        <v>EVA</v>
      </c>
      <c r="P1385" t="str">
        <f>VLOOKUP(O1385,'[1]CONFIG.'!$C:$D,2,0)</f>
        <v>74 98046078</v>
      </c>
    </row>
    <row r="1386" spans="1:16" x14ac:dyDescent="0.3">
      <c r="A1386" t="s">
        <v>9879</v>
      </c>
      <c r="B1386" t="s">
        <v>9880</v>
      </c>
      <c r="C1386" t="s">
        <v>9881</v>
      </c>
      <c r="D1386" t="s">
        <v>539</v>
      </c>
      <c r="E1386" t="s">
        <v>9882</v>
      </c>
      <c r="F1386" t="s">
        <v>9883</v>
      </c>
      <c r="G1386">
        <v>211</v>
      </c>
      <c r="H1386">
        <v>500</v>
      </c>
      <c r="I1386" s="5" t="s">
        <v>9884</v>
      </c>
      <c r="J1386" s="5" t="s">
        <v>9885</v>
      </c>
      <c r="K1386" s="5" t="str">
        <f t="shared" si="42"/>
        <v>https://www.google.com/maps?q=-11.570909, -41.770730</v>
      </c>
      <c r="L1386" s="5" t="str">
        <f t="shared" si="43"/>
        <v>Abrir no Maps</v>
      </c>
      <c r="M1386" t="s">
        <v>9886</v>
      </c>
      <c r="N1386" s="5"/>
      <c r="O1386" t="str">
        <f>VLOOKUP(G1386,'[1]CONFIG.'!$B:$C,2,0)</f>
        <v>DAIANE</v>
      </c>
      <c r="P1386" t="str">
        <f>VLOOKUP(O1386,'[1]CONFIG.'!$C:$D,2,0)</f>
        <v>74 99298866</v>
      </c>
    </row>
    <row r="1387" spans="1:16" x14ac:dyDescent="0.3">
      <c r="A1387" t="s">
        <v>9887</v>
      </c>
      <c r="B1387" t="s">
        <v>9888</v>
      </c>
      <c r="C1387" t="s">
        <v>9889</v>
      </c>
      <c r="D1387" t="s">
        <v>539</v>
      </c>
      <c r="E1387" t="s">
        <v>9890</v>
      </c>
      <c r="F1387" t="s">
        <v>9875</v>
      </c>
      <c r="G1387">
        <v>204</v>
      </c>
      <c r="H1387">
        <v>500</v>
      </c>
      <c r="I1387" s="5" t="s">
        <v>9891</v>
      </c>
      <c r="J1387" s="5" t="s">
        <v>9892</v>
      </c>
      <c r="K1387" s="5" t="str">
        <f t="shared" si="42"/>
        <v>https://www.google.com/maps?q=-11.414722, -41.760834</v>
      </c>
      <c r="L1387" s="5" t="str">
        <f t="shared" si="43"/>
        <v>Abrir no Maps</v>
      </c>
      <c r="M1387" t="s">
        <v>9893</v>
      </c>
      <c r="N1387" s="5"/>
      <c r="O1387" t="str">
        <f>VLOOKUP(G1387,'[1]CONFIG.'!$B:$C,2,0)</f>
        <v>EVA</v>
      </c>
      <c r="P1387" t="str">
        <f>VLOOKUP(O1387,'[1]CONFIG.'!$C:$D,2,0)</f>
        <v>74 98046078</v>
      </c>
    </row>
    <row r="1388" spans="1:16" x14ac:dyDescent="0.3">
      <c r="A1388" t="s">
        <v>9894</v>
      </c>
      <c r="B1388" t="s">
        <v>9895</v>
      </c>
      <c r="C1388" t="s">
        <v>9896</v>
      </c>
      <c r="D1388" t="s">
        <v>539</v>
      </c>
      <c r="E1388" t="s">
        <v>9897</v>
      </c>
      <c r="F1388" t="s">
        <v>9883</v>
      </c>
      <c r="G1388">
        <v>211</v>
      </c>
      <c r="H1388">
        <v>500</v>
      </c>
      <c r="I1388" s="5" t="s">
        <v>9898</v>
      </c>
      <c r="J1388" s="5" t="s">
        <v>9899</v>
      </c>
      <c r="K1388" s="5" t="str">
        <f t="shared" si="42"/>
        <v>https://www.google.com/maps?q=-11.566483, -41.764160</v>
      </c>
      <c r="L1388" s="5" t="str">
        <f t="shared" si="43"/>
        <v>Abrir no Maps</v>
      </c>
      <c r="M1388" t="s">
        <v>9900</v>
      </c>
      <c r="N1388" s="5"/>
      <c r="O1388" t="str">
        <f>VLOOKUP(G1388,'[1]CONFIG.'!$B:$C,2,0)</f>
        <v>DAIANE</v>
      </c>
      <c r="P1388" t="str">
        <f>VLOOKUP(O1388,'[1]CONFIG.'!$C:$D,2,0)</f>
        <v>74 99298866</v>
      </c>
    </row>
    <row r="1389" spans="1:16" x14ac:dyDescent="0.3">
      <c r="A1389" t="s">
        <v>9901</v>
      </c>
      <c r="B1389" t="s">
        <v>9902</v>
      </c>
      <c r="C1389" t="s">
        <v>9903</v>
      </c>
      <c r="D1389" t="s">
        <v>539</v>
      </c>
      <c r="E1389" t="s">
        <v>9904</v>
      </c>
      <c r="F1389" t="s">
        <v>137</v>
      </c>
      <c r="G1389">
        <v>204</v>
      </c>
      <c r="H1389">
        <v>500</v>
      </c>
      <c r="I1389" s="5" t="s">
        <v>9905</v>
      </c>
      <c r="J1389" s="5" t="s">
        <v>9906</v>
      </c>
      <c r="K1389" s="5" t="str">
        <f t="shared" si="42"/>
        <v>https://www.google.com/maps?q=-11.380881, -41.829470</v>
      </c>
      <c r="L1389" s="5" t="str">
        <f t="shared" si="43"/>
        <v>Abrir no Maps</v>
      </c>
      <c r="M1389" t="s">
        <v>9907</v>
      </c>
      <c r="N1389" s="5"/>
      <c r="O1389" t="str">
        <f>VLOOKUP(G1389,'[1]CONFIG.'!$B:$C,2,0)</f>
        <v>EVA</v>
      </c>
      <c r="P1389" t="str">
        <f>VLOOKUP(O1389,'[1]CONFIG.'!$C:$D,2,0)</f>
        <v>74 98046078</v>
      </c>
    </row>
    <row r="1390" spans="1:16" x14ac:dyDescent="0.3">
      <c r="A1390" t="s">
        <v>9908</v>
      </c>
      <c r="B1390" t="s">
        <v>9909</v>
      </c>
      <c r="C1390" t="s">
        <v>9910</v>
      </c>
      <c r="D1390" t="s">
        <v>539</v>
      </c>
      <c r="E1390" t="s">
        <v>9911</v>
      </c>
      <c r="F1390" t="s">
        <v>137</v>
      </c>
      <c r="G1390">
        <v>204</v>
      </c>
      <c r="H1390">
        <v>500</v>
      </c>
      <c r="I1390" s="5" t="s">
        <v>9912</v>
      </c>
      <c r="J1390" s="5" t="s">
        <v>9913</v>
      </c>
      <c r="K1390" s="5" t="str">
        <f t="shared" si="42"/>
        <v>https://www.google.com/maps?q=-11.382730, -41.834457</v>
      </c>
      <c r="L1390" s="5" t="str">
        <f t="shared" si="43"/>
        <v>Abrir no Maps</v>
      </c>
      <c r="M1390" t="s">
        <v>9914</v>
      </c>
      <c r="N1390" s="5"/>
      <c r="O1390" t="str">
        <f>VLOOKUP(G1390,'[1]CONFIG.'!$B:$C,2,0)</f>
        <v>EVA</v>
      </c>
      <c r="P1390" t="str">
        <f>VLOOKUP(O1390,'[1]CONFIG.'!$C:$D,2,0)</f>
        <v>74 98046078</v>
      </c>
    </row>
    <row r="1391" spans="1:16" x14ac:dyDescent="0.3">
      <c r="A1391" t="s">
        <v>9915</v>
      </c>
      <c r="B1391" t="s">
        <v>9916</v>
      </c>
      <c r="C1391" t="s">
        <v>9917</v>
      </c>
      <c r="D1391" t="s">
        <v>539</v>
      </c>
      <c r="E1391" t="s">
        <v>9918</v>
      </c>
      <c r="F1391" t="s">
        <v>9750</v>
      </c>
      <c r="G1391">
        <v>204</v>
      </c>
      <c r="H1391">
        <v>500</v>
      </c>
      <c r="I1391" s="5" t="s">
        <v>9919</v>
      </c>
      <c r="J1391" s="5" t="s">
        <v>9920</v>
      </c>
      <c r="K1391" s="5" t="str">
        <f t="shared" si="42"/>
        <v>https://www.google.com/maps?q=-11.376587, -41.831543</v>
      </c>
      <c r="L1391" s="5" t="str">
        <f t="shared" si="43"/>
        <v>Abrir no Maps</v>
      </c>
      <c r="M1391" t="s">
        <v>9921</v>
      </c>
      <c r="N1391" s="5"/>
      <c r="O1391" t="str">
        <f>VLOOKUP(G1391,'[1]CONFIG.'!$B:$C,2,0)</f>
        <v>EVA</v>
      </c>
      <c r="P1391" t="str">
        <f>VLOOKUP(O1391,'[1]CONFIG.'!$C:$D,2,0)</f>
        <v>74 98046078</v>
      </c>
    </row>
    <row r="1392" spans="1:16" x14ac:dyDescent="0.3">
      <c r="A1392" t="s">
        <v>9922</v>
      </c>
      <c r="B1392" t="s">
        <v>9923</v>
      </c>
      <c r="C1392" t="s">
        <v>9924</v>
      </c>
      <c r="D1392" t="s">
        <v>539</v>
      </c>
      <c r="E1392" t="s">
        <v>9925</v>
      </c>
      <c r="F1392" t="s">
        <v>541</v>
      </c>
      <c r="G1392">
        <v>204</v>
      </c>
      <c r="H1392">
        <v>500</v>
      </c>
      <c r="I1392" s="5" t="s">
        <v>9926</v>
      </c>
      <c r="J1392" s="5" t="s">
        <v>9927</v>
      </c>
      <c r="K1392" s="5" t="str">
        <f t="shared" si="42"/>
        <v>https://www.google.com/maps?q=-11.453526, -41.811226</v>
      </c>
      <c r="L1392" s="5" t="str">
        <f t="shared" si="43"/>
        <v>Abrir no Maps</v>
      </c>
      <c r="M1392" t="s">
        <v>9928</v>
      </c>
      <c r="N1392" s="5"/>
      <c r="O1392" t="str">
        <f>VLOOKUP(G1392,'[1]CONFIG.'!$B:$C,2,0)</f>
        <v>EVA</v>
      </c>
      <c r="P1392" t="str">
        <f>VLOOKUP(O1392,'[1]CONFIG.'!$C:$D,2,0)</f>
        <v>74 98046078</v>
      </c>
    </row>
    <row r="1393" spans="1:16" x14ac:dyDescent="0.3">
      <c r="A1393" t="s">
        <v>9929</v>
      </c>
      <c r="B1393" t="s">
        <v>9930</v>
      </c>
      <c r="C1393" t="s">
        <v>9931</v>
      </c>
      <c r="D1393" t="s">
        <v>539</v>
      </c>
      <c r="E1393" t="s">
        <v>9932</v>
      </c>
      <c r="F1393" t="s">
        <v>137</v>
      </c>
      <c r="G1393">
        <v>204</v>
      </c>
      <c r="H1393">
        <v>500</v>
      </c>
      <c r="I1393" s="5" t="s">
        <v>9933</v>
      </c>
      <c r="J1393" s="5" t="s">
        <v>9934</v>
      </c>
      <c r="K1393" s="5" t="str">
        <f t="shared" si="42"/>
        <v>https://www.google.com/maps?q=-11.382410, -41.835148</v>
      </c>
      <c r="L1393" s="5" t="str">
        <f t="shared" si="43"/>
        <v>Abrir no Maps</v>
      </c>
      <c r="M1393" t="s">
        <v>9935</v>
      </c>
      <c r="N1393" s="5"/>
      <c r="O1393" t="str">
        <f>VLOOKUP(G1393,'[1]CONFIG.'!$B:$C,2,0)</f>
        <v>EVA</v>
      </c>
      <c r="P1393" t="str">
        <f>VLOOKUP(O1393,'[1]CONFIG.'!$C:$D,2,0)</f>
        <v>74 98046078</v>
      </c>
    </row>
    <row r="1394" spans="1:16" x14ac:dyDescent="0.3">
      <c r="A1394" t="s">
        <v>9936</v>
      </c>
      <c r="B1394" t="s">
        <v>9937</v>
      </c>
      <c r="C1394" t="s">
        <v>9938</v>
      </c>
      <c r="D1394" t="s">
        <v>539</v>
      </c>
      <c r="E1394" t="s">
        <v>9939</v>
      </c>
      <c r="F1394" t="s">
        <v>137</v>
      </c>
      <c r="G1394">
        <v>204</v>
      </c>
      <c r="H1394">
        <v>500</v>
      </c>
      <c r="I1394" s="5" t="s">
        <v>9940</v>
      </c>
      <c r="J1394" s="5" t="s">
        <v>9941</v>
      </c>
      <c r="K1394" s="5" t="str">
        <f t="shared" si="42"/>
        <v>https://www.google.com/maps?q=-11.380898, -41.827370</v>
      </c>
      <c r="L1394" s="5" t="str">
        <f t="shared" si="43"/>
        <v>Abrir no Maps</v>
      </c>
      <c r="M1394" t="s">
        <v>9942</v>
      </c>
      <c r="N1394" s="5"/>
      <c r="O1394" t="str">
        <f>VLOOKUP(G1394,'[1]CONFIG.'!$B:$C,2,0)</f>
        <v>EVA</v>
      </c>
      <c r="P1394" t="str">
        <f>VLOOKUP(O1394,'[1]CONFIG.'!$C:$D,2,0)</f>
        <v>74 98046078</v>
      </c>
    </row>
    <row r="1395" spans="1:16" x14ac:dyDescent="0.3">
      <c r="A1395" t="s">
        <v>9943</v>
      </c>
      <c r="B1395" t="s">
        <v>9944</v>
      </c>
      <c r="C1395" t="s">
        <v>9945</v>
      </c>
      <c r="D1395" t="s">
        <v>539</v>
      </c>
      <c r="E1395" t="s">
        <v>9946</v>
      </c>
      <c r="F1395" t="s">
        <v>539</v>
      </c>
      <c r="G1395">
        <v>204</v>
      </c>
      <c r="H1395">
        <v>500</v>
      </c>
      <c r="I1395" s="5" t="s">
        <v>9947</v>
      </c>
      <c r="J1395" s="5" t="s">
        <v>9948</v>
      </c>
      <c r="K1395" s="5" t="str">
        <f t="shared" si="42"/>
        <v>https://www.google.com/maps?q=-11.400227, -41.886380</v>
      </c>
      <c r="L1395" s="5" t="str">
        <f t="shared" si="43"/>
        <v>Abrir no Maps</v>
      </c>
      <c r="M1395" t="s">
        <v>9949</v>
      </c>
      <c r="N1395" s="5"/>
      <c r="O1395" t="str">
        <f>VLOOKUP(G1395,'[1]CONFIG.'!$B:$C,2,0)</f>
        <v>EVA</v>
      </c>
      <c r="P1395" t="str">
        <f>VLOOKUP(O1395,'[1]CONFIG.'!$C:$D,2,0)</f>
        <v>74 98046078</v>
      </c>
    </row>
    <row r="1396" spans="1:16" x14ac:dyDescent="0.3">
      <c r="A1396" t="s">
        <v>9950</v>
      </c>
      <c r="B1396" t="s">
        <v>9951</v>
      </c>
      <c r="C1396" t="s">
        <v>9952</v>
      </c>
      <c r="D1396" t="s">
        <v>539</v>
      </c>
      <c r="E1396" t="s">
        <v>9953</v>
      </c>
      <c r="F1396" t="s">
        <v>137</v>
      </c>
      <c r="G1396">
        <v>204</v>
      </c>
      <c r="H1396">
        <v>500</v>
      </c>
      <c r="I1396" s="5" t="s">
        <v>9954</v>
      </c>
      <c r="J1396" s="5" t="s">
        <v>9955</v>
      </c>
      <c r="K1396" s="5" t="str">
        <f t="shared" si="42"/>
        <v>https://www.google.com/maps?q=-11.382816, -41.829500</v>
      </c>
      <c r="L1396" s="5" t="str">
        <f t="shared" si="43"/>
        <v>Abrir no Maps</v>
      </c>
      <c r="M1396" t="s">
        <v>9956</v>
      </c>
      <c r="N1396" s="5"/>
      <c r="O1396" t="str">
        <f>VLOOKUP(G1396,'[1]CONFIG.'!$B:$C,2,0)</f>
        <v>EVA</v>
      </c>
      <c r="P1396" t="str">
        <f>VLOOKUP(O1396,'[1]CONFIG.'!$C:$D,2,0)</f>
        <v>74 98046078</v>
      </c>
    </row>
    <row r="1397" spans="1:16" x14ac:dyDescent="0.3">
      <c r="A1397" t="s">
        <v>9957</v>
      </c>
      <c r="B1397" t="s">
        <v>9958</v>
      </c>
      <c r="C1397" t="s">
        <v>9959</v>
      </c>
      <c r="D1397" t="s">
        <v>539</v>
      </c>
      <c r="E1397" t="s">
        <v>9960</v>
      </c>
      <c r="F1397" t="s">
        <v>137</v>
      </c>
      <c r="G1397">
        <v>204</v>
      </c>
      <c r="H1397">
        <v>500</v>
      </c>
      <c r="I1397" s="5" t="s">
        <v>9961</v>
      </c>
      <c r="J1397" s="5" t="s">
        <v>9962</v>
      </c>
      <c r="K1397" s="5" t="str">
        <f t="shared" si="42"/>
        <v>https://www.google.com/maps?q=-11.382038, -41.834515</v>
      </c>
      <c r="L1397" s="5" t="str">
        <f t="shared" si="43"/>
        <v>Abrir no Maps</v>
      </c>
      <c r="M1397" t="s">
        <v>9963</v>
      </c>
      <c r="N1397" s="5"/>
      <c r="O1397" t="str">
        <f>VLOOKUP(G1397,'[1]CONFIG.'!$B:$C,2,0)</f>
        <v>EVA</v>
      </c>
      <c r="P1397" t="str">
        <f>VLOOKUP(O1397,'[1]CONFIG.'!$C:$D,2,0)</f>
        <v>74 98046078</v>
      </c>
    </row>
    <row r="1398" spans="1:16" x14ac:dyDescent="0.3">
      <c r="A1398" t="s">
        <v>9964</v>
      </c>
      <c r="B1398" t="s">
        <v>9965</v>
      </c>
      <c r="C1398" t="s">
        <v>9966</v>
      </c>
      <c r="D1398" t="s">
        <v>539</v>
      </c>
      <c r="E1398" t="s">
        <v>9967</v>
      </c>
      <c r="F1398" t="s">
        <v>1912</v>
      </c>
      <c r="G1398">
        <v>211</v>
      </c>
      <c r="H1398">
        <v>500</v>
      </c>
      <c r="I1398" s="5" t="s">
        <v>9968</v>
      </c>
      <c r="J1398" s="5" t="s">
        <v>9969</v>
      </c>
      <c r="K1398" s="5" t="str">
        <f t="shared" si="42"/>
        <v>https://www.google.com/maps?q=-11.677902, -41.768307</v>
      </c>
      <c r="L1398" s="5" t="str">
        <f t="shared" si="43"/>
        <v>Abrir no Maps</v>
      </c>
      <c r="M1398" t="s">
        <v>9970</v>
      </c>
      <c r="N1398" s="5"/>
      <c r="O1398" t="str">
        <f>VLOOKUP(G1398,'[1]CONFIG.'!$B:$C,2,0)</f>
        <v>DAIANE</v>
      </c>
      <c r="P1398" t="str">
        <f>VLOOKUP(O1398,'[1]CONFIG.'!$C:$D,2,0)</f>
        <v>74 99298866</v>
      </c>
    </row>
    <row r="1399" spans="1:16" x14ac:dyDescent="0.3">
      <c r="A1399" t="s">
        <v>9971</v>
      </c>
      <c r="B1399" t="s">
        <v>9972</v>
      </c>
      <c r="C1399" t="s">
        <v>9973</v>
      </c>
      <c r="D1399" t="s">
        <v>36</v>
      </c>
      <c r="E1399" t="s">
        <v>9974</v>
      </c>
      <c r="F1399" t="s">
        <v>137</v>
      </c>
      <c r="G1399">
        <v>209</v>
      </c>
      <c r="H1399">
        <v>500</v>
      </c>
      <c r="I1399" s="5" t="s">
        <v>9975</v>
      </c>
      <c r="J1399" s="5" t="s">
        <v>9976</v>
      </c>
      <c r="K1399" s="5" t="str">
        <f t="shared" si="42"/>
        <v>https://www.google.com/maps?q=-11.297474, -41.851303</v>
      </c>
      <c r="L1399" s="5" t="str">
        <f t="shared" si="43"/>
        <v>Abrir no Maps</v>
      </c>
      <c r="M1399" t="s">
        <v>9977</v>
      </c>
      <c r="N1399" s="5"/>
      <c r="O1399" t="str">
        <f>VLOOKUP(G1399,'[1]CONFIG.'!$B:$C,2,0)</f>
        <v>IGOR</v>
      </c>
      <c r="P1399" t="str">
        <f>VLOOKUP(O1399,'[1]CONFIG.'!$C:$D,2,0)</f>
        <v>74 99590346</v>
      </c>
    </row>
    <row r="1400" spans="1:16" x14ac:dyDescent="0.3">
      <c r="A1400" t="s">
        <v>9978</v>
      </c>
      <c r="B1400" t="s">
        <v>9979</v>
      </c>
      <c r="C1400" t="s">
        <v>9980</v>
      </c>
      <c r="D1400" t="s">
        <v>539</v>
      </c>
      <c r="E1400" t="s">
        <v>9981</v>
      </c>
      <c r="F1400" t="s">
        <v>137</v>
      </c>
      <c r="G1400">
        <v>204</v>
      </c>
      <c r="H1400">
        <v>500</v>
      </c>
      <c r="I1400" s="5" t="s">
        <v>9982</v>
      </c>
      <c r="J1400" s="5" t="s">
        <v>9983</v>
      </c>
      <c r="K1400" s="5" t="str">
        <f t="shared" si="42"/>
        <v>https://www.google.com/maps?q=-11.382486, -41.835270</v>
      </c>
      <c r="L1400" s="5" t="str">
        <f t="shared" si="43"/>
        <v>Abrir no Maps</v>
      </c>
      <c r="M1400" t="s">
        <v>9984</v>
      </c>
      <c r="N1400" s="5"/>
      <c r="O1400" t="str">
        <f>VLOOKUP(G1400,'[1]CONFIG.'!$B:$C,2,0)</f>
        <v>EVA</v>
      </c>
      <c r="P1400" t="str">
        <f>VLOOKUP(O1400,'[1]CONFIG.'!$C:$D,2,0)</f>
        <v>74 98046078</v>
      </c>
    </row>
    <row r="1401" spans="1:16" x14ac:dyDescent="0.3">
      <c r="A1401" t="s">
        <v>9985</v>
      </c>
      <c r="B1401" t="s">
        <v>9986</v>
      </c>
      <c r="C1401" t="s">
        <v>9987</v>
      </c>
      <c r="D1401" t="s">
        <v>539</v>
      </c>
      <c r="E1401" t="s">
        <v>9988</v>
      </c>
      <c r="F1401" t="s">
        <v>9989</v>
      </c>
      <c r="G1401">
        <v>209</v>
      </c>
      <c r="H1401">
        <v>500</v>
      </c>
      <c r="I1401" s="5" t="s">
        <v>9990</v>
      </c>
      <c r="J1401" s="5" t="s">
        <v>9991</v>
      </c>
      <c r="K1401" s="5" t="str">
        <f t="shared" si="42"/>
        <v>https://www.google.com/maps?q=-11.531124, -41.791962</v>
      </c>
      <c r="L1401" s="5" t="str">
        <f t="shared" si="43"/>
        <v>Abrir no Maps</v>
      </c>
      <c r="M1401" t="s">
        <v>9992</v>
      </c>
      <c r="N1401" s="5"/>
      <c r="O1401" t="str">
        <f>VLOOKUP(G1401,'[1]CONFIG.'!$B:$C,2,0)</f>
        <v>IGOR</v>
      </c>
      <c r="P1401" t="str">
        <f>VLOOKUP(O1401,'[1]CONFIG.'!$C:$D,2,0)</f>
        <v>74 99590346</v>
      </c>
    </row>
    <row r="1402" spans="1:16" x14ac:dyDescent="0.3">
      <c r="A1402" t="s">
        <v>9993</v>
      </c>
      <c r="B1402" t="s">
        <v>9994</v>
      </c>
      <c r="C1402" t="s">
        <v>9995</v>
      </c>
      <c r="D1402" t="s">
        <v>539</v>
      </c>
      <c r="E1402" t="s">
        <v>9996</v>
      </c>
      <c r="F1402" t="s">
        <v>9802</v>
      </c>
      <c r="G1402">
        <v>204</v>
      </c>
      <c r="H1402">
        <v>500</v>
      </c>
      <c r="I1402" s="5" t="s">
        <v>9997</v>
      </c>
      <c r="J1402" s="5" t="s">
        <v>9998</v>
      </c>
      <c r="K1402" s="5" t="str">
        <f t="shared" si="42"/>
        <v>https://www.google.com/maps?q=-11.402884, -41.891246</v>
      </c>
      <c r="L1402" s="5" t="str">
        <f t="shared" si="43"/>
        <v>Abrir no Maps</v>
      </c>
      <c r="M1402" t="s">
        <v>9999</v>
      </c>
      <c r="N1402" s="5"/>
      <c r="O1402" t="str">
        <f>VLOOKUP(G1402,'[1]CONFIG.'!$B:$C,2,0)</f>
        <v>EVA</v>
      </c>
      <c r="P1402" t="str">
        <f>VLOOKUP(O1402,'[1]CONFIG.'!$C:$D,2,0)</f>
        <v>74 98046078</v>
      </c>
    </row>
    <row r="1403" spans="1:16" x14ac:dyDescent="0.3">
      <c r="A1403" t="s">
        <v>10000</v>
      </c>
      <c r="B1403" t="s">
        <v>10001</v>
      </c>
      <c r="C1403" t="s">
        <v>10002</v>
      </c>
      <c r="D1403" t="s">
        <v>539</v>
      </c>
      <c r="E1403" t="s">
        <v>10003</v>
      </c>
      <c r="F1403" t="s">
        <v>9860</v>
      </c>
      <c r="G1403">
        <v>204</v>
      </c>
      <c r="H1403">
        <v>500</v>
      </c>
      <c r="I1403" s="5" t="s">
        <v>10004</v>
      </c>
      <c r="J1403" s="5" t="s">
        <v>10005</v>
      </c>
      <c r="K1403" s="5" t="str">
        <f t="shared" si="42"/>
        <v>https://www.google.com/maps?q=-11.478953, -41.696968</v>
      </c>
      <c r="L1403" s="5" t="str">
        <f t="shared" si="43"/>
        <v>Abrir no Maps</v>
      </c>
      <c r="M1403" t="s">
        <v>10006</v>
      </c>
      <c r="N1403" s="5"/>
      <c r="O1403" t="str">
        <f>VLOOKUP(G1403,'[1]CONFIG.'!$B:$C,2,0)</f>
        <v>EVA</v>
      </c>
      <c r="P1403" t="str">
        <f>VLOOKUP(O1403,'[1]CONFIG.'!$C:$D,2,0)</f>
        <v>74 98046078</v>
      </c>
    </row>
    <row r="1404" spans="1:16" x14ac:dyDescent="0.3">
      <c r="A1404" t="s">
        <v>10007</v>
      </c>
      <c r="B1404" t="s">
        <v>10008</v>
      </c>
      <c r="C1404" t="s">
        <v>10009</v>
      </c>
      <c r="D1404" t="s">
        <v>539</v>
      </c>
      <c r="E1404" t="s">
        <v>10010</v>
      </c>
      <c r="F1404" t="s">
        <v>10011</v>
      </c>
      <c r="G1404">
        <v>204</v>
      </c>
      <c r="H1404">
        <v>500</v>
      </c>
      <c r="I1404" s="5" t="s">
        <v>10012</v>
      </c>
      <c r="J1404" s="5" t="s">
        <v>10013</v>
      </c>
      <c r="K1404" s="5" t="str">
        <f t="shared" si="42"/>
        <v>https://www.google.com/maps?q=-11.443579, -41.860245</v>
      </c>
      <c r="L1404" s="5" t="str">
        <f t="shared" si="43"/>
        <v>Abrir no Maps</v>
      </c>
      <c r="M1404" t="s">
        <v>10014</v>
      </c>
      <c r="N1404" s="5"/>
      <c r="O1404" t="str">
        <f>VLOOKUP(G1404,'[1]CONFIG.'!$B:$C,2,0)</f>
        <v>EVA</v>
      </c>
      <c r="P1404" t="str">
        <f>VLOOKUP(O1404,'[1]CONFIG.'!$C:$D,2,0)</f>
        <v>74 98046078</v>
      </c>
    </row>
    <row r="1405" spans="1:16" x14ac:dyDescent="0.3">
      <c r="A1405" t="s">
        <v>10015</v>
      </c>
      <c r="B1405" t="s">
        <v>10016</v>
      </c>
      <c r="C1405" t="s">
        <v>10017</v>
      </c>
      <c r="D1405" t="s">
        <v>539</v>
      </c>
      <c r="E1405" t="s">
        <v>10018</v>
      </c>
      <c r="F1405" t="s">
        <v>10011</v>
      </c>
      <c r="G1405">
        <v>204</v>
      </c>
      <c r="H1405">
        <v>500</v>
      </c>
      <c r="I1405" s="5" t="s">
        <v>10019</v>
      </c>
      <c r="J1405" s="5" t="s">
        <v>10020</v>
      </c>
      <c r="K1405" s="5" t="str">
        <f t="shared" si="42"/>
        <v>https://www.google.com/maps?q=-11.444592, -41.860270</v>
      </c>
      <c r="L1405" s="5" t="str">
        <f t="shared" si="43"/>
        <v>Abrir no Maps</v>
      </c>
      <c r="M1405" t="s">
        <v>10021</v>
      </c>
      <c r="N1405" s="5"/>
      <c r="O1405" t="str">
        <f>VLOOKUP(G1405,'[1]CONFIG.'!$B:$C,2,0)</f>
        <v>EVA</v>
      </c>
      <c r="P1405" t="str">
        <f>VLOOKUP(O1405,'[1]CONFIG.'!$C:$D,2,0)</f>
        <v>74 98046078</v>
      </c>
    </row>
    <row r="1406" spans="1:16" x14ac:dyDescent="0.3">
      <c r="A1406" t="s">
        <v>10022</v>
      </c>
      <c r="B1406" t="s">
        <v>10023</v>
      </c>
      <c r="C1406" t="s">
        <v>10024</v>
      </c>
      <c r="D1406" t="s">
        <v>539</v>
      </c>
      <c r="E1406" t="s">
        <v>10025</v>
      </c>
      <c r="F1406" t="s">
        <v>9802</v>
      </c>
      <c r="G1406">
        <v>204</v>
      </c>
      <c r="H1406">
        <v>500</v>
      </c>
      <c r="I1406" s="5" t="s">
        <v>10026</v>
      </c>
      <c r="J1406" s="5" t="s">
        <v>10027</v>
      </c>
      <c r="K1406" s="5" t="str">
        <f t="shared" si="42"/>
        <v>https://www.google.com/maps?q=-11.402373, -41.887127</v>
      </c>
      <c r="L1406" s="5" t="str">
        <f t="shared" si="43"/>
        <v>Abrir no Maps</v>
      </c>
      <c r="M1406" t="s">
        <v>10028</v>
      </c>
      <c r="N1406" s="5"/>
      <c r="O1406" t="str">
        <f>VLOOKUP(G1406,'[1]CONFIG.'!$B:$C,2,0)</f>
        <v>EVA</v>
      </c>
      <c r="P1406" t="str">
        <f>VLOOKUP(O1406,'[1]CONFIG.'!$C:$D,2,0)</f>
        <v>74 98046078</v>
      </c>
    </row>
    <row r="1407" spans="1:16" x14ac:dyDescent="0.3">
      <c r="A1407" t="s">
        <v>10029</v>
      </c>
      <c r="B1407" t="s">
        <v>10030</v>
      </c>
      <c r="C1407" t="s">
        <v>10031</v>
      </c>
      <c r="D1407" t="s">
        <v>539</v>
      </c>
      <c r="E1407" t="s">
        <v>10032</v>
      </c>
      <c r="F1407" t="s">
        <v>9823</v>
      </c>
      <c r="G1407">
        <v>204</v>
      </c>
      <c r="H1407">
        <v>500</v>
      </c>
      <c r="I1407" s="5" t="s">
        <v>10033</v>
      </c>
      <c r="J1407" s="5" t="s">
        <v>10034</v>
      </c>
      <c r="K1407" s="5" t="str">
        <f t="shared" si="42"/>
        <v>https://www.google.com/maps?q=-11.479173, -41.756510</v>
      </c>
      <c r="L1407" s="5" t="str">
        <f t="shared" si="43"/>
        <v>Abrir no Maps</v>
      </c>
      <c r="M1407" t="s">
        <v>9811</v>
      </c>
      <c r="N1407" s="5"/>
      <c r="O1407" t="str">
        <f>VLOOKUP(G1407,'[1]CONFIG.'!$B:$C,2,0)</f>
        <v>EVA</v>
      </c>
      <c r="P1407" t="str">
        <f>VLOOKUP(O1407,'[1]CONFIG.'!$C:$D,2,0)</f>
        <v>74 98046078</v>
      </c>
    </row>
    <row r="1408" spans="1:16" x14ac:dyDescent="0.3">
      <c r="A1408" t="s">
        <v>10035</v>
      </c>
      <c r="B1408" t="s">
        <v>10036</v>
      </c>
      <c r="C1408" t="s">
        <v>10037</v>
      </c>
      <c r="D1408" t="s">
        <v>539</v>
      </c>
      <c r="E1408" t="s">
        <v>10038</v>
      </c>
      <c r="F1408" t="s">
        <v>137</v>
      </c>
      <c r="G1408">
        <v>204</v>
      </c>
      <c r="H1408">
        <v>500</v>
      </c>
      <c r="I1408" s="5" t="s">
        <v>10039</v>
      </c>
      <c r="J1408" s="5" t="s">
        <v>10040</v>
      </c>
      <c r="K1408" s="5" t="str">
        <f t="shared" si="42"/>
        <v>https://www.google.com/maps?q=-11.382981, -41.834553</v>
      </c>
      <c r="L1408" s="5" t="str">
        <f t="shared" si="43"/>
        <v>Abrir no Maps</v>
      </c>
      <c r="M1408" t="s">
        <v>10041</v>
      </c>
      <c r="N1408" s="5"/>
      <c r="O1408" t="str">
        <f>VLOOKUP(G1408,'[1]CONFIG.'!$B:$C,2,0)</f>
        <v>EVA</v>
      </c>
      <c r="P1408" t="str">
        <f>VLOOKUP(O1408,'[1]CONFIG.'!$C:$D,2,0)</f>
        <v>74 98046078</v>
      </c>
    </row>
    <row r="1409" spans="1:16" x14ac:dyDescent="0.3">
      <c r="A1409" t="s">
        <v>10042</v>
      </c>
      <c r="B1409" t="s">
        <v>10043</v>
      </c>
      <c r="C1409" t="s">
        <v>10044</v>
      </c>
      <c r="D1409" t="s">
        <v>539</v>
      </c>
      <c r="E1409" t="s">
        <v>10045</v>
      </c>
      <c r="F1409" t="s">
        <v>137</v>
      </c>
      <c r="G1409">
        <v>204</v>
      </c>
      <c r="H1409">
        <v>500</v>
      </c>
      <c r="I1409" s="5" t="s">
        <v>10046</v>
      </c>
      <c r="J1409" s="5" t="s">
        <v>10047</v>
      </c>
      <c r="K1409" s="5" t="str">
        <f t="shared" si="42"/>
        <v>https://www.google.com/maps?q=-11.382631, -41.828500</v>
      </c>
      <c r="L1409" s="5" t="str">
        <f t="shared" si="43"/>
        <v>Abrir no Maps</v>
      </c>
      <c r="M1409" t="s">
        <v>10048</v>
      </c>
      <c r="N1409" s="5"/>
      <c r="O1409" t="str">
        <f>VLOOKUP(G1409,'[1]CONFIG.'!$B:$C,2,0)</f>
        <v>EVA</v>
      </c>
      <c r="P1409" t="str">
        <f>VLOOKUP(O1409,'[1]CONFIG.'!$C:$D,2,0)</f>
        <v>74 98046078</v>
      </c>
    </row>
    <row r="1410" spans="1:16" x14ac:dyDescent="0.3">
      <c r="A1410" t="s">
        <v>10049</v>
      </c>
      <c r="B1410" t="s">
        <v>10050</v>
      </c>
      <c r="C1410" t="s">
        <v>10051</v>
      </c>
      <c r="D1410" t="s">
        <v>539</v>
      </c>
      <c r="E1410" t="s">
        <v>10052</v>
      </c>
      <c r="F1410" t="s">
        <v>9802</v>
      </c>
      <c r="G1410">
        <v>204</v>
      </c>
      <c r="H1410">
        <v>500</v>
      </c>
      <c r="I1410" s="5" t="s">
        <v>10053</v>
      </c>
      <c r="J1410" s="5" t="s">
        <v>10054</v>
      </c>
      <c r="K1410" s="5" t="str">
        <f t="shared" si="42"/>
        <v>https://www.google.com/maps?q=-11.400531, -41.886574</v>
      </c>
      <c r="L1410" s="5" t="str">
        <f t="shared" si="43"/>
        <v>Abrir no Maps</v>
      </c>
      <c r="M1410" t="s">
        <v>10055</v>
      </c>
      <c r="N1410" s="5"/>
      <c r="O1410" t="str">
        <f>VLOOKUP(G1410,'[1]CONFIG.'!$B:$C,2,0)</f>
        <v>EVA</v>
      </c>
      <c r="P1410" t="str">
        <f>VLOOKUP(O1410,'[1]CONFIG.'!$C:$D,2,0)</f>
        <v>74 98046078</v>
      </c>
    </row>
    <row r="1411" spans="1:16" x14ac:dyDescent="0.3">
      <c r="A1411" t="s">
        <v>10056</v>
      </c>
      <c r="B1411" t="s">
        <v>10057</v>
      </c>
      <c r="C1411" t="s">
        <v>10058</v>
      </c>
      <c r="D1411" t="s">
        <v>539</v>
      </c>
      <c r="E1411" t="s">
        <v>10059</v>
      </c>
      <c r="F1411" t="s">
        <v>541</v>
      </c>
      <c r="G1411">
        <v>204</v>
      </c>
      <c r="H1411">
        <v>500</v>
      </c>
      <c r="I1411" s="5" t="s">
        <v>10060</v>
      </c>
      <c r="J1411" s="5" t="s">
        <v>10061</v>
      </c>
      <c r="K1411" s="5" t="str">
        <f t="shared" si="42"/>
        <v>https://www.google.com/maps?q=-11.455490, -41.811024</v>
      </c>
      <c r="L1411" s="5" t="str">
        <f t="shared" si="43"/>
        <v>Abrir no Maps</v>
      </c>
      <c r="M1411" t="s">
        <v>10062</v>
      </c>
      <c r="N1411" s="5"/>
      <c r="O1411" t="str">
        <f>VLOOKUP(G1411,'[1]CONFIG.'!$B:$C,2,0)</f>
        <v>EVA</v>
      </c>
      <c r="P1411" t="str">
        <f>VLOOKUP(O1411,'[1]CONFIG.'!$C:$D,2,0)</f>
        <v>74 98046078</v>
      </c>
    </row>
    <row r="1412" spans="1:16" x14ac:dyDescent="0.3">
      <c r="A1412" t="s">
        <v>10063</v>
      </c>
      <c r="B1412" t="s">
        <v>10064</v>
      </c>
      <c r="C1412" t="s">
        <v>10065</v>
      </c>
      <c r="D1412" t="s">
        <v>539</v>
      </c>
      <c r="E1412" t="s">
        <v>10066</v>
      </c>
      <c r="F1412" t="s">
        <v>10067</v>
      </c>
      <c r="G1412">
        <v>204</v>
      </c>
      <c r="H1412">
        <v>500</v>
      </c>
      <c r="I1412" s="5" t="s">
        <v>10068</v>
      </c>
      <c r="J1412" s="5" t="s">
        <v>10069</v>
      </c>
      <c r="K1412" s="5" t="str">
        <f t="shared" ref="K1412:K1475" si="44">"https://www.google.com/maps?q="&amp;""&amp;LEFT(I1412,3)&amp;"."&amp;RIGHT(I1412,6)&amp;", "&amp;LEFT(J1412,3)&amp;"."&amp;RIGHT(J1412,6)</f>
        <v>https://www.google.com/maps?q=-11.383130, -41.834496</v>
      </c>
      <c r="L1412" s="5" t="str">
        <f t="shared" ref="L1412:L1475" si="45">HYPERLINK(K1412,"Abrir no Maps")</f>
        <v>Abrir no Maps</v>
      </c>
      <c r="M1412" t="s">
        <v>10070</v>
      </c>
      <c r="N1412" s="5"/>
      <c r="O1412" t="str">
        <f>VLOOKUP(G1412,'[1]CONFIG.'!$B:$C,2,0)</f>
        <v>EVA</v>
      </c>
      <c r="P1412" t="str">
        <f>VLOOKUP(O1412,'[1]CONFIG.'!$C:$D,2,0)</f>
        <v>74 98046078</v>
      </c>
    </row>
    <row r="1413" spans="1:16" x14ac:dyDescent="0.3">
      <c r="A1413" t="s">
        <v>10071</v>
      </c>
      <c r="B1413" t="s">
        <v>10072</v>
      </c>
      <c r="C1413" t="s">
        <v>10073</v>
      </c>
      <c r="D1413" t="s">
        <v>539</v>
      </c>
      <c r="E1413" t="s">
        <v>10074</v>
      </c>
      <c r="F1413" t="s">
        <v>9802</v>
      </c>
      <c r="G1413">
        <v>204</v>
      </c>
      <c r="H1413">
        <v>500</v>
      </c>
      <c r="I1413" s="5" t="s">
        <v>10075</v>
      </c>
      <c r="J1413" s="5" t="s">
        <v>10076</v>
      </c>
      <c r="K1413" s="5" t="str">
        <f t="shared" si="44"/>
        <v>https://www.google.com/maps?q=-11.400486, -41.886580</v>
      </c>
      <c r="L1413" s="5" t="str">
        <f t="shared" si="45"/>
        <v>Abrir no Maps</v>
      </c>
      <c r="M1413" t="s">
        <v>10077</v>
      </c>
      <c r="N1413" s="5"/>
      <c r="O1413" t="str">
        <f>VLOOKUP(G1413,'[1]CONFIG.'!$B:$C,2,0)</f>
        <v>EVA</v>
      </c>
      <c r="P1413" t="str">
        <f>VLOOKUP(O1413,'[1]CONFIG.'!$C:$D,2,0)</f>
        <v>74 98046078</v>
      </c>
    </row>
    <row r="1414" spans="1:16" x14ac:dyDescent="0.3">
      <c r="A1414" t="s">
        <v>10078</v>
      </c>
      <c r="B1414" t="s">
        <v>10079</v>
      </c>
      <c r="C1414" t="s">
        <v>10080</v>
      </c>
      <c r="D1414" t="s">
        <v>539</v>
      </c>
      <c r="E1414" t="s">
        <v>10081</v>
      </c>
      <c r="F1414" t="s">
        <v>137</v>
      </c>
      <c r="G1414">
        <v>204</v>
      </c>
      <c r="H1414">
        <v>500</v>
      </c>
      <c r="I1414" s="5" t="s">
        <v>10082</v>
      </c>
      <c r="J1414" s="5" t="s">
        <v>10083</v>
      </c>
      <c r="K1414" s="5" t="str">
        <f t="shared" si="44"/>
        <v>https://www.google.com/maps?q=-11.382404, -41.834675</v>
      </c>
      <c r="L1414" s="5" t="str">
        <f t="shared" si="45"/>
        <v>Abrir no Maps</v>
      </c>
      <c r="M1414" t="s">
        <v>10084</v>
      </c>
      <c r="N1414" s="5"/>
      <c r="O1414" t="str">
        <f>VLOOKUP(G1414,'[1]CONFIG.'!$B:$C,2,0)</f>
        <v>EVA</v>
      </c>
      <c r="P1414" t="str">
        <f>VLOOKUP(O1414,'[1]CONFIG.'!$C:$D,2,0)</f>
        <v>74 98046078</v>
      </c>
    </row>
    <row r="1415" spans="1:16" x14ac:dyDescent="0.3">
      <c r="A1415" t="s">
        <v>10085</v>
      </c>
      <c r="B1415" t="s">
        <v>10086</v>
      </c>
      <c r="C1415" t="s">
        <v>10087</v>
      </c>
      <c r="D1415" t="s">
        <v>539</v>
      </c>
      <c r="E1415" t="s">
        <v>10088</v>
      </c>
      <c r="F1415" t="s">
        <v>137</v>
      </c>
      <c r="G1415">
        <v>204</v>
      </c>
      <c r="H1415">
        <v>500</v>
      </c>
      <c r="I1415" s="5" t="s">
        <v>10089</v>
      </c>
      <c r="J1415" s="5" t="s">
        <v>10090</v>
      </c>
      <c r="K1415" s="5" t="str">
        <f t="shared" si="44"/>
        <v>https://www.google.com/maps?q=-11.382403, -41.833717</v>
      </c>
      <c r="L1415" s="5" t="str">
        <f t="shared" si="45"/>
        <v>Abrir no Maps</v>
      </c>
      <c r="M1415" t="s">
        <v>10091</v>
      </c>
      <c r="N1415" s="5"/>
      <c r="O1415" t="str">
        <f>VLOOKUP(G1415,'[1]CONFIG.'!$B:$C,2,0)</f>
        <v>EVA</v>
      </c>
      <c r="P1415" t="str">
        <f>VLOOKUP(O1415,'[1]CONFIG.'!$C:$D,2,0)</f>
        <v>74 98046078</v>
      </c>
    </row>
    <row r="1416" spans="1:16" x14ac:dyDescent="0.3">
      <c r="A1416" t="s">
        <v>10092</v>
      </c>
      <c r="B1416" t="s">
        <v>10093</v>
      </c>
      <c r="C1416" t="s">
        <v>10094</v>
      </c>
      <c r="D1416" t="s">
        <v>539</v>
      </c>
      <c r="E1416" t="s">
        <v>10095</v>
      </c>
      <c r="F1416" t="s">
        <v>137</v>
      </c>
      <c r="G1416">
        <v>204</v>
      </c>
      <c r="H1416">
        <v>500</v>
      </c>
      <c r="I1416" s="5" t="s">
        <v>10096</v>
      </c>
      <c r="J1416" s="5" t="s">
        <v>10097</v>
      </c>
      <c r="K1416" s="5" t="str">
        <f t="shared" si="44"/>
        <v>https://www.google.com/maps?q=-11.380390, -41.835392</v>
      </c>
      <c r="L1416" s="5" t="str">
        <f t="shared" si="45"/>
        <v>Abrir no Maps</v>
      </c>
      <c r="M1416" t="s">
        <v>10098</v>
      </c>
      <c r="N1416" s="5"/>
      <c r="O1416" t="str">
        <f>VLOOKUP(G1416,'[1]CONFIG.'!$B:$C,2,0)</f>
        <v>EVA</v>
      </c>
      <c r="P1416" t="str">
        <f>VLOOKUP(O1416,'[1]CONFIG.'!$C:$D,2,0)</f>
        <v>74 98046078</v>
      </c>
    </row>
    <row r="1417" spans="1:16" x14ac:dyDescent="0.3">
      <c r="A1417" t="s">
        <v>10099</v>
      </c>
      <c r="B1417" t="s">
        <v>10100</v>
      </c>
      <c r="C1417" t="s">
        <v>10101</v>
      </c>
      <c r="D1417" t="s">
        <v>539</v>
      </c>
      <c r="E1417" t="s">
        <v>10102</v>
      </c>
      <c r="F1417" t="s">
        <v>9860</v>
      </c>
      <c r="G1417">
        <v>204</v>
      </c>
      <c r="H1417">
        <v>500</v>
      </c>
      <c r="I1417" s="5" t="s">
        <v>10103</v>
      </c>
      <c r="J1417" s="5" t="s">
        <v>10104</v>
      </c>
      <c r="K1417" s="5" t="str">
        <f t="shared" si="44"/>
        <v>https://www.google.com/maps?q=-11.477725, -41.693645</v>
      </c>
      <c r="L1417" s="5" t="str">
        <f t="shared" si="45"/>
        <v>Abrir no Maps</v>
      </c>
      <c r="M1417" t="s">
        <v>10105</v>
      </c>
      <c r="N1417" s="5"/>
      <c r="O1417" t="str">
        <f>VLOOKUP(G1417,'[1]CONFIG.'!$B:$C,2,0)</f>
        <v>EVA</v>
      </c>
      <c r="P1417" t="str">
        <f>VLOOKUP(O1417,'[1]CONFIG.'!$C:$D,2,0)</f>
        <v>74 98046078</v>
      </c>
    </row>
    <row r="1418" spans="1:16" x14ac:dyDescent="0.3">
      <c r="A1418" t="s">
        <v>10106</v>
      </c>
      <c r="B1418" t="s">
        <v>10107</v>
      </c>
      <c r="C1418" t="s">
        <v>10108</v>
      </c>
      <c r="D1418" t="s">
        <v>539</v>
      </c>
      <c r="E1418" t="s">
        <v>10109</v>
      </c>
      <c r="F1418" t="s">
        <v>137</v>
      </c>
      <c r="G1418">
        <v>204</v>
      </c>
      <c r="H1418">
        <v>500</v>
      </c>
      <c r="I1418" s="5" t="s">
        <v>10110</v>
      </c>
      <c r="J1418" s="5" t="s">
        <v>10111</v>
      </c>
      <c r="K1418" s="5" t="str">
        <f t="shared" si="44"/>
        <v>https://www.google.com/maps?q=-11.382494, -41.836826</v>
      </c>
      <c r="L1418" s="5" t="str">
        <f t="shared" si="45"/>
        <v>Abrir no Maps</v>
      </c>
      <c r="M1418" t="s">
        <v>10112</v>
      </c>
      <c r="N1418" s="5"/>
      <c r="O1418" t="str">
        <f>VLOOKUP(G1418,'[1]CONFIG.'!$B:$C,2,0)</f>
        <v>EVA</v>
      </c>
      <c r="P1418" t="str">
        <f>VLOOKUP(O1418,'[1]CONFIG.'!$C:$D,2,0)</f>
        <v>74 98046078</v>
      </c>
    </row>
    <row r="1419" spans="1:16" x14ac:dyDescent="0.3">
      <c r="A1419" t="s">
        <v>10113</v>
      </c>
      <c r="B1419" t="s">
        <v>10114</v>
      </c>
      <c r="C1419" t="s">
        <v>10115</v>
      </c>
      <c r="D1419" t="s">
        <v>539</v>
      </c>
      <c r="E1419" t="s">
        <v>10116</v>
      </c>
      <c r="F1419" t="s">
        <v>10117</v>
      </c>
      <c r="G1419">
        <v>211</v>
      </c>
      <c r="H1419">
        <v>500</v>
      </c>
      <c r="I1419" s="5" t="s">
        <v>10118</v>
      </c>
      <c r="J1419" s="5" t="s">
        <v>10119</v>
      </c>
      <c r="K1419" s="5" t="str">
        <f t="shared" si="44"/>
        <v>https://www.google.com/maps?q=-11.570704, -41.770780</v>
      </c>
      <c r="L1419" s="5" t="str">
        <f t="shared" si="45"/>
        <v>Abrir no Maps</v>
      </c>
      <c r="M1419" t="s">
        <v>10120</v>
      </c>
      <c r="N1419" s="5"/>
      <c r="O1419" t="str">
        <f>VLOOKUP(G1419,'[1]CONFIG.'!$B:$C,2,0)</f>
        <v>DAIANE</v>
      </c>
      <c r="P1419" t="str">
        <f>VLOOKUP(O1419,'[1]CONFIG.'!$C:$D,2,0)</f>
        <v>74 99298866</v>
      </c>
    </row>
    <row r="1420" spans="1:16" x14ac:dyDescent="0.3">
      <c r="A1420" t="s">
        <v>10121</v>
      </c>
      <c r="B1420" t="s">
        <v>10122</v>
      </c>
      <c r="C1420" t="s">
        <v>10123</v>
      </c>
      <c r="D1420" t="s">
        <v>539</v>
      </c>
      <c r="E1420" t="s">
        <v>10124</v>
      </c>
      <c r="F1420" t="s">
        <v>137</v>
      </c>
      <c r="G1420">
        <v>204</v>
      </c>
      <c r="H1420">
        <v>500</v>
      </c>
      <c r="I1420" s="5" t="s">
        <v>10125</v>
      </c>
      <c r="J1420" s="5" t="s">
        <v>10126</v>
      </c>
      <c r="K1420" s="5" t="str">
        <f t="shared" si="44"/>
        <v>https://www.google.com/maps?q=-11.382832, -41.833230</v>
      </c>
      <c r="L1420" s="5" t="str">
        <f t="shared" si="45"/>
        <v>Abrir no Maps</v>
      </c>
      <c r="M1420" t="s">
        <v>10127</v>
      </c>
      <c r="N1420" s="5"/>
      <c r="O1420" t="str">
        <f>VLOOKUP(G1420,'[1]CONFIG.'!$B:$C,2,0)</f>
        <v>EVA</v>
      </c>
      <c r="P1420" t="str">
        <f>VLOOKUP(O1420,'[1]CONFIG.'!$C:$D,2,0)</f>
        <v>74 98046078</v>
      </c>
    </row>
    <row r="1421" spans="1:16" x14ac:dyDescent="0.3">
      <c r="A1421" t="s">
        <v>10128</v>
      </c>
      <c r="B1421" t="s">
        <v>10129</v>
      </c>
      <c r="C1421" t="s">
        <v>10130</v>
      </c>
      <c r="D1421" t="s">
        <v>539</v>
      </c>
      <c r="E1421" t="s">
        <v>10131</v>
      </c>
      <c r="F1421" t="s">
        <v>9742</v>
      </c>
      <c r="G1421">
        <v>210</v>
      </c>
      <c r="H1421">
        <v>500</v>
      </c>
      <c r="I1421" s="5" t="s">
        <v>10132</v>
      </c>
      <c r="J1421" s="5" t="s">
        <v>10133</v>
      </c>
      <c r="K1421" s="5" t="str">
        <f t="shared" si="44"/>
        <v>https://www.google.com/maps?q=-11.484514, -41.794888</v>
      </c>
      <c r="L1421" s="5" t="str">
        <f t="shared" si="45"/>
        <v>Abrir no Maps</v>
      </c>
      <c r="M1421" t="s">
        <v>10134</v>
      </c>
      <c r="N1421" s="5"/>
      <c r="O1421" t="str">
        <f>VLOOKUP(G1421,'[1]CONFIG.'!$B:$C,2,0)</f>
        <v>SILAS</v>
      </c>
      <c r="P1421" t="str">
        <f>VLOOKUP(O1421,'[1]CONFIG.'!$C:$D,2,0)</f>
        <v>74 98041875</v>
      </c>
    </row>
    <row r="1422" spans="1:16" x14ac:dyDescent="0.3">
      <c r="A1422" t="s">
        <v>10135</v>
      </c>
      <c r="B1422" t="s">
        <v>10136</v>
      </c>
      <c r="C1422" t="s">
        <v>10137</v>
      </c>
      <c r="D1422" t="s">
        <v>539</v>
      </c>
      <c r="E1422" t="s">
        <v>10138</v>
      </c>
      <c r="F1422" t="s">
        <v>9802</v>
      </c>
      <c r="G1422">
        <v>204</v>
      </c>
      <c r="H1422">
        <v>500</v>
      </c>
      <c r="I1422" s="5" t="s">
        <v>10139</v>
      </c>
      <c r="J1422" s="5" t="s">
        <v>10140</v>
      </c>
      <c r="K1422" s="5" t="str">
        <f t="shared" si="44"/>
        <v>https://www.google.com/maps?q=-11.402388, -41.895256</v>
      </c>
      <c r="L1422" s="5" t="str">
        <f t="shared" si="45"/>
        <v>Abrir no Maps</v>
      </c>
      <c r="M1422" t="s">
        <v>10141</v>
      </c>
      <c r="N1422" s="5"/>
      <c r="O1422" t="str">
        <f>VLOOKUP(G1422,'[1]CONFIG.'!$B:$C,2,0)</f>
        <v>EVA</v>
      </c>
      <c r="P1422" t="str">
        <f>VLOOKUP(O1422,'[1]CONFIG.'!$C:$D,2,0)</f>
        <v>74 98046078</v>
      </c>
    </row>
    <row r="1423" spans="1:16" x14ac:dyDescent="0.3">
      <c r="A1423" t="s">
        <v>10142</v>
      </c>
      <c r="B1423" t="s">
        <v>10143</v>
      </c>
      <c r="C1423" t="s">
        <v>10144</v>
      </c>
      <c r="D1423" t="s">
        <v>539</v>
      </c>
      <c r="E1423" t="s">
        <v>10145</v>
      </c>
      <c r="F1423" t="s">
        <v>137</v>
      </c>
      <c r="G1423">
        <v>204</v>
      </c>
      <c r="H1423">
        <v>500</v>
      </c>
      <c r="I1423" s="5" t="s">
        <v>10146</v>
      </c>
      <c r="J1423" s="5" t="s">
        <v>10147</v>
      </c>
      <c r="K1423" s="5" t="str">
        <f t="shared" si="44"/>
        <v>https://www.google.com/maps?q=-11.381911, -41.838585</v>
      </c>
      <c r="L1423" s="5" t="str">
        <f t="shared" si="45"/>
        <v>Abrir no Maps</v>
      </c>
      <c r="M1423" t="s">
        <v>10148</v>
      </c>
      <c r="N1423" s="5"/>
      <c r="O1423" t="str">
        <f>VLOOKUP(G1423,'[1]CONFIG.'!$B:$C,2,0)</f>
        <v>EVA</v>
      </c>
      <c r="P1423" t="str">
        <f>VLOOKUP(O1423,'[1]CONFIG.'!$C:$D,2,0)</f>
        <v>74 98046078</v>
      </c>
    </row>
    <row r="1424" spans="1:16" x14ac:dyDescent="0.3">
      <c r="A1424" t="s">
        <v>10149</v>
      </c>
      <c r="B1424" t="s">
        <v>10150</v>
      </c>
      <c r="C1424" t="s">
        <v>10151</v>
      </c>
      <c r="D1424" t="s">
        <v>539</v>
      </c>
      <c r="E1424" t="s">
        <v>10152</v>
      </c>
      <c r="F1424" t="s">
        <v>9802</v>
      </c>
      <c r="G1424">
        <v>204</v>
      </c>
      <c r="H1424">
        <v>500</v>
      </c>
      <c r="I1424" s="5" t="s">
        <v>10153</v>
      </c>
      <c r="J1424" s="5" t="s">
        <v>10154</v>
      </c>
      <c r="K1424" s="5" t="str">
        <f t="shared" si="44"/>
        <v>https://www.google.com/maps?q=-11.401167, -41.887520</v>
      </c>
      <c r="L1424" s="5" t="str">
        <f t="shared" si="45"/>
        <v>Abrir no Maps</v>
      </c>
      <c r="M1424" t="s">
        <v>10155</v>
      </c>
      <c r="N1424" s="5"/>
      <c r="O1424" t="str">
        <f>VLOOKUP(G1424,'[1]CONFIG.'!$B:$C,2,0)</f>
        <v>EVA</v>
      </c>
      <c r="P1424" t="str">
        <f>VLOOKUP(O1424,'[1]CONFIG.'!$C:$D,2,0)</f>
        <v>74 98046078</v>
      </c>
    </row>
    <row r="1425" spans="1:16" x14ac:dyDescent="0.3">
      <c r="A1425" t="s">
        <v>10156</v>
      </c>
      <c r="B1425" t="s">
        <v>10157</v>
      </c>
      <c r="C1425" t="s">
        <v>10158</v>
      </c>
      <c r="D1425" t="s">
        <v>539</v>
      </c>
      <c r="E1425" t="s">
        <v>10159</v>
      </c>
      <c r="F1425" t="s">
        <v>137</v>
      </c>
      <c r="G1425">
        <v>204</v>
      </c>
      <c r="H1425">
        <v>500</v>
      </c>
      <c r="I1425" s="5" t="s">
        <v>10160</v>
      </c>
      <c r="J1425" s="5" t="s">
        <v>10161</v>
      </c>
      <c r="K1425" s="5" t="str">
        <f t="shared" si="44"/>
        <v>https://www.google.com/maps?q=-11.383699, -41.833214</v>
      </c>
      <c r="L1425" s="5" t="str">
        <f t="shared" si="45"/>
        <v>Abrir no Maps</v>
      </c>
      <c r="M1425" t="s">
        <v>10162</v>
      </c>
      <c r="N1425" s="5"/>
      <c r="O1425" t="str">
        <f>VLOOKUP(G1425,'[1]CONFIG.'!$B:$C,2,0)</f>
        <v>EVA</v>
      </c>
      <c r="P1425" t="str">
        <f>VLOOKUP(O1425,'[1]CONFIG.'!$C:$D,2,0)</f>
        <v>74 98046078</v>
      </c>
    </row>
    <row r="1426" spans="1:16" x14ac:dyDescent="0.3">
      <c r="A1426" t="s">
        <v>10163</v>
      </c>
      <c r="B1426" t="s">
        <v>10164</v>
      </c>
      <c r="C1426" t="s">
        <v>10165</v>
      </c>
      <c r="D1426" t="s">
        <v>539</v>
      </c>
      <c r="E1426" t="s">
        <v>10166</v>
      </c>
      <c r="F1426" t="s">
        <v>10117</v>
      </c>
      <c r="G1426">
        <v>211</v>
      </c>
      <c r="H1426">
        <v>500</v>
      </c>
      <c r="I1426" s="5" t="s">
        <v>10167</v>
      </c>
      <c r="J1426" s="5" t="s">
        <v>10168</v>
      </c>
      <c r="K1426" s="5" t="str">
        <f t="shared" si="44"/>
        <v>https://www.google.com/maps?q=-11.569224, -41.770390</v>
      </c>
      <c r="L1426" s="5" t="str">
        <f t="shared" si="45"/>
        <v>Abrir no Maps</v>
      </c>
      <c r="M1426" t="s">
        <v>10169</v>
      </c>
      <c r="N1426" s="5"/>
      <c r="O1426" t="str">
        <f>VLOOKUP(G1426,'[1]CONFIG.'!$B:$C,2,0)</f>
        <v>DAIANE</v>
      </c>
      <c r="P1426" t="str">
        <f>VLOOKUP(O1426,'[1]CONFIG.'!$C:$D,2,0)</f>
        <v>74 99298866</v>
      </c>
    </row>
    <row r="1427" spans="1:16" x14ac:dyDescent="0.3">
      <c r="A1427" t="s">
        <v>10170</v>
      </c>
      <c r="B1427" t="s">
        <v>10171</v>
      </c>
      <c r="C1427" t="s">
        <v>10172</v>
      </c>
      <c r="D1427" t="s">
        <v>539</v>
      </c>
      <c r="E1427" t="s">
        <v>10173</v>
      </c>
      <c r="F1427" t="s">
        <v>137</v>
      </c>
      <c r="G1427">
        <v>204</v>
      </c>
      <c r="H1427">
        <v>500</v>
      </c>
      <c r="I1427" s="5" t="s">
        <v>10174</v>
      </c>
      <c r="J1427" s="5" t="s">
        <v>10175</v>
      </c>
      <c r="K1427" s="5" t="str">
        <f t="shared" si="44"/>
        <v>https://www.google.com/maps?q=-11.382348, -41.831560</v>
      </c>
      <c r="L1427" s="5" t="str">
        <f t="shared" si="45"/>
        <v>Abrir no Maps</v>
      </c>
      <c r="M1427" t="s">
        <v>10176</v>
      </c>
      <c r="N1427" s="5"/>
      <c r="O1427" t="str">
        <f>VLOOKUP(G1427,'[1]CONFIG.'!$B:$C,2,0)</f>
        <v>EVA</v>
      </c>
      <c r="P1427" t="str">
        <f>VLOOKUP(O1427,'[1]CONFIG.'!$C:$D,2,0)</f>
        <v>74 98046078</v>
      </c>
    </row>
    <row r="1428" spans="1:16" x14ac:dyDescent="0.3">
      <c r="A1428" t="s">
        <v>10177</v>
      </c>
      <c r="B1428" t="s">
        <v>10178</v>
      </c>
      <c r="C1428" t="s">
        <v>10179</v>
      </c>
      <c r="D1428" t="s">
        <v>539</v>
      </c>
      <c r="E1428" t="s">
        <v>10180</v>
      </c>
      <c r="F1428" t="s">
        <v>137</v>
      </c>
      <c r="G1428">
        <v>204</v>
      </c>
      <c r="H1428">
        <v>500</v>
      </c>
      <c r="I1428" s="5" t="s">
        <v>10181</v>
      </c>
      <c r="J1428" s="5" t="s">
        <v>10182</v>
      </c>
      <c r="K1428" s="5" t="str">
        <f t="shared" si="44"/>
        <v>https://www.google.com/maps?q=-11.382815, -41.829308</v>
      </c>
      <c r="L1428" s="5" t="str">
        <f t="shared" si="45"/>
        <v>Abrir no Maps</v>
      </c>
      <c r="M1428" t="s">
        <v>10183</v>
      </c>
      <c r="N1428" s="5"/>
      <c r="O1428" t="str">
        <f>VLOOKUP(G1428,'[1]CONFIG.'!$B:$C,2,0)</f>
        <v>EVA</v>
      </c>
      <c r="P1428" t="str">
        <f>VLOOKUP(O1428,'[1]CONFIG.'!$C:$D,2,0)</f>
        <v>74 98046078</v>
      </c>
    </row>
    <row r="1429" spans="1:16" x14ac:dyDescent="0.3">
      <c r="A1429" t="s">
        <v>10184</v>
      </c>
      <c r="B1429" t="s">
        <v>10185</v>
      </c>
      <c r="C1429" t="s">
        <v>10186</v>
      </c>
      <c r="D1429" t="s">
        <v>539</v>
      </c>
      <c r="E1429" t="s">
        <v>10187</v>
      </c>
      <c r="F1429" t="s">
        <v>541</v>
      </c>
      <c r="G1429">
        <v>204</v>
      </c>
      <c r="H1429">
        <v>500</v>
      </c>
      <c r="I1429" s="5" t="s">
        <v>10188</v>
      </c>
      <c r="J1429" s="5" t="s">
        <v>10189</v>
      </c>
      <c r="K1429" s="5" t="str">
        <f t="shared" si="44"/>
        <v>https://www.google.com/maps?q=-11.455542, -41.810936</v>
      </c>
      <c r="L1429" s="5" t="str">
        <f t="shared" si="45"/>
        <v>Abrir no Maps</v>
      </c>
      <c r="M1429" t="s">
        <v>10190</v>
      </c>
      <c r="N1429" s="5"/>
      <c r="O1429" t="str">
        <f>VLOOKUP(G1429,'[1]CONFIG.'!$B:$C,2,0)</f>
        <v>EVA</v>
      </c>
      <c r="P1429" t="str">
        <f>VLOOKUP(O1429,'[1]CONFIG.'!$C:$D,2,0)</f>
        <v>74 98046078</v>
      </c>
    </row>
    <row r="1430" spans="1:16" x14ac:dyDescent="0.3">
      <c r="A1430" t="s">
        <v>10191</v>
      </c>
      <c r="B1430" t="s">
        <v>10192</v>
      </c>
      <c r="C1430" t="s">
        <v>10193</v>
      </c>
      <c r="D1430" t="s">
        <v>539</v>
      </c>
      <c r="E1430" t="s">
        <v>10194</v>
      </c>
      <c r="F1430" t="s">
        <v>137</v>
      </c>
      <c r="G1430">
        <v>204</v>
      </c>
      <c r="H1430">
        <v>500</v>
      </c>
      <c r="I1430" s="5" t="s">
        <v>10195</v>
      </c>
      <c r="J1430" s="5" t="s">
        <v>10196</v>
      </c>
      <c r="K1430" s="5" t="str">
        <f t="shared" si="44"/>
        <v>https://www.google.com/maps?q=-11.382522, -41.833170</v>
      </c>
      <c r="L1430" s="5" t="str">
        <f t="shared" si="45"/>
        <v>Abrir no Maps</v>
      </c>
      <c r="M1430" t="s">
        <v>10197</v>
      </c>
      <c r="N1430" s="5"/>
      <c r="O1430" t="str">
        <f>VLOOKUP(G1430,'[1]CONFIG.'!$B:$C,2,0)</f>
        <v>EVA</v>
      </c>
      <c r="P1430" t="str">
        <f>VLOOKUP(O1430,'[1]CONFIG.'!$C:$D,2,0)</f>
        <v>74 98046078</v>
      </c>
    </row>
    <row r="1431" spans="1:16" x14ac:dyDescent="0.3">
      <c r="A1431" t="s">
        <v>10198</v>
      </c>
      <c r="B1431" t="s">
        <v>10199</v>
      </c>
      <c r="C1431" t="s">
        <v>10200</v>
      </c>
      <c r="D1431" t="s">
        <v>539</v>
      </c>
      <c r="E1431" t="s">
        <v>10201</v>
      </c>
      <c r="F1431" t="s">
        <v>10202</v>
      </c>
      <c r="G1431">
        <v>204</v>
      </c>
      <c r="H1431">
        <v>500</v>
      </c>
      <c r="I1431" s="5" t="s">
        <v>10203</v>
      </c>
      <c r="J1431" s="5" t="s">
        <v>10204</v>
      </c>
      <c r="K1431" s="5" t="str">
        <f t="shared" si="44"/>
        <v>https://www.google.com/maps?q=-11.490676, -41.872300</v>
      </c>
      <c r="L1431" s="5" t="str">
        <f t="shared" si="45"/>
        <v>Abrir no Maps</v>
      </c>
      <c r="M1431" t="s">
        <v>10205</v>
      </c>
      <c r="N1431" s="5"/>
      <c r="O1431" t="str">
        <f>VLOOKUP(G1431,'[1]CONFIG.'!$B:$C,2,0)</f>
        <v>EVA</v>
      </c>
      <c r="P1431" t="str">
        <f>VLOOKUP(O1431,'[1]CONFIG.'!$C:$D,2,0)</f>
        <v>74 98046078</v>
      </c>
    </row>
    <row r="1432" spans="1:16" x14ac:dyDescent="0.3">
      <c r="A1432" t="s">
        <v>10206</v>
      </c>
      <c r="B1432" t="s">
        <v>10207</v>
      </c>
      <c r="C1432" t="s">
        <v>10208</v>
      </c>
      <c r="D1432" t="s">
        <v>539</v>
      </c>
      <c r="E1432" t="s">
        <v>10209</v>
      </c>
      <c r="F1432" t="s">
        <v>541</v>
      </c>
      <c r="G1432">
        <v>204</v>
      </c>
      <c r="H1432">
        <v>500</v>
      </c>
      <c r="I1432" s="5" t="s">
        <v>10210</v>
      </c>
      <c r="J1432" s="5" t="s">
        <v>10211</v>
      </c>
      <c r="K1432" s="5" t="str">
        <f t="shared" si="44"/>
        <v>https://www.google.com/maps?q=-11.455056, -41.810989</v>
      </c>
      <c r="L1432" s="5" t="str">
        <f t="shared" si="45"/>
        <v>Abrir no Maps</v>
      </c>
      <c r="M1432" t="s">
        <v>10212</v>
      </c>
      <c r="N1432" s="5"/>
      <c r="O1432" t="str">
        <f>VLOOKUP(G1432,'[1]CONFIG.'!$B:$C,2,0)</f>
        <v>EVA</v>
      </c>
      <c r="P1432" t="str">
        <f>VLOOKUP(O1432,'[1]CONFIG.'!$C:$D,2,0)</f>
        <v>74 98046078</v>
      </c>
    </row>
    <row r="1433" spans="1:16" x14ac:dyDescent="0.3">
      <c r="A1433" t="s">
        <v>10213</v>
      </c>
      <c r="B1433" t="s">
        <v>10214</v>
      </c>
      <c r="C1433" t="s">
        <v>10215</v>
      </c>
      <c r="D1433" t="s">
        <v>539</v>
      </c>
      <c r="E1433" t="s">
        <v>10216</v>
      </c>
      <c r="F1433" t="s">
        <v>137</v>
      </c>
      <c r="G1433">
        <v>204</v>
      </c>
      <c r="H1433">
        <v>500</v>
      </c>
      <c r="I1433" s="5" t="s">
        <v>10217</v>
      </c>
      <c r="J1433" s="5" t="s">
        <v>10218</v>
      </c>
      <c r="K1433" s="5" t="str">
        <f t="shared" si="44"/>
        <v>https://www.google.com/maps?q=-11.386622, -41.836417</v>
      </c>
      <c r="L1433" s="5" t="str">
        <f t="shared" si="45"/>
        <v>Abrir no Maps</v>
      </c>
      <c r="M1433" t="s">
        <v>10219</v>
      </c>
      <c r="N1433" s="5"/>
      <c r="O1433" t="str">
        <f>VLOOKUP(G1433,'[1]CONFIG.'!$B:$C,2,0)</f>
        <v>EVA</v>
      </c>
      <c r="P1433" t="str">
        <f>VLOOKUP(O1433,'[1]CONFIG.'!$C:$D,2,0)</f>
        <v>74 98046078</v>
      </c>
    </row>
    <row r="1434" spans="1:16" x14ac:dyDescent="0.3">
      <c r="A1434" t="s">
        <v>10220</v>
      </c>
      <c r="B1434" t="s">
        <v>10221</v>
      </c>
      <c r="C1434" t="s">
        <v>10222</v>
      </c>
      <c r="D1434" t="s">
        <v>539</v>
      </c>
      <c r="E1434" t="s">
        <v>10223</v>
      </c>
      <c r="F1434" t="s">
        <v>10224</v>
      </c>
      <c r="G1434">
        <v>204</v>
      </c>
      <c r="H1434">
        <v>500</v>
      </c>
      <c r="I1434" s="5" t="s">
        <v>10225</v>
      </c>
      <c r="J1434" s="5" t="s">
        <v>10226</v>
      </c>
      <c r="K1434" s="5" t="str">
        <f t="shared" si="44"/>
        <v>https://www.google.com/maps?q=-11.391419, -41.835843</v>
      </c>
      <c r="L1434" s="5" t="str">
        <f t="shared" si="45"/>
        <v>Abrir no Maps</v>
      </c>
      <c r="M1434" t="s">
        <v>10227</v>
      </c>
      <c r="N1434" s="5"/>
      <c r="O1434" t="str">
        <f>VLOOKUP(G1434,'[1]CONFIG.'!$B:$C,2,0)</f>
        <v>EVA</v>
      </c>
      <c r="P1434" t="str">
        <f>VLOOKUP(O1434,'[1]CONFIG.'!$C:$D,2,0)</f>
        <v>74 98046078</v>
      </c>
    </row>
    <row r="1435" spans="1:16" x14ac:dyDescent="0.3">
      <c r="A1435" t="s">
        <v>10228</v>
      </c>
      <c r="B1435" t="s">
        <v>10229</v>
      </c>
      <c r="C1435" t="s">
        <v>10230</v>
      </c>
      <c r="D1435" t="s">
        <v>539</v>
      </c>
      <c r="E1435" t="s">
        <v>10231</v>
      </c>
      <c r="F1435" t="s">
        <v>9860</v>
      </c>
      <c r="G1435">
        <v>204</v>
      </c>
      <c r="H1435">
        <v>500</v>
      </c>
      <c r="I1435" s="5" t="s">
        <v>10232</v>
      </c>
      <c r="J1435" s="5" t="s">
        <v>10233</v>
      </c>
      <c r="K1435" s="5" t="str">
        <f t="shared" si="44"/>
        <v>https://www.google.com/maps?q=-11.478264, -41.693768</v>
      </c>
      <c r="L1435" s="5" t="str">
        <f t="shared" si="45"/>
        <v>Abrir no Maps</v>
      </c>
      <c r="M1435" t="s">
        <v>10234</v>
      </c>
      <c r="N1435" s="5"/>
      <c r="O1435" t="str">
        <f>VLOOKUP(G1435,'[1]CONFIG.'!$B:$C,2,0)</f>
        <v>EVA</v>
      </c>
      <c r="P1435" t="str">
        <f>VLOOKUP(O1435,'[1]CONFIG.'!$C:$D,2,0)</f>
        <v>74 98046078</v>
      </c>
    </row>
    <row r="1436" spans="1:16" x14ac:dyDescent="0.3">
      <c r="A1436" t="s">
        <v>10235</v>
      </c>
      <c r="B1436" t="s">
        <v>10236</v>
      </c>
      <c r="C1436" t="s">
        <v>10237</v>
      </c>
      <c r="D1436" t="s">
        <v>539</v>
      </c>
      <c r="E1436" t="s">
        <v>10238</v>
      </c>
      <c r="F1436" t="s">
        <v>137</v>
      </c>
      <c r="G1436">
        <v>204</v>
      </c>
      <c r="H1436">
        <v>500</v>
      </c>
      <c r="I1436" s="5" t="s">
        <v>10239</v>
      </c>
      <c r="J1436" s="5" t="s">
        <v>10240</v>
      </c>
      <c r="K1436" s="5" t="str">
        <f t="shared" si="44"/>
        <v>https://www.google.com/maps?q=-11.382506, -41.837574</v>
      </c>
      <c r="L1436" s="5" t="str">
        <f t="shared" si="45"/>
        <v>Abrir no Maps</v>
      </c>
      <c r="M1436" t="s">
        <v>10241</v>
      </c>
      <c r="N1436" s="5"/>
      <c r="O1436" t="str">
        <f>VLOOKUP(G1436,'[1]CONFIG.'!$B:$C,2,0)</f>
        <v>EVA</v>
      </c>
      <c r="P1436" t="str">
        <f>VLOOKUP(O1436,'[1]CONFIG.'!$C:$D,2,0)</f>
        <v>74 98046078</v>
      </c>
    </row>
    <row r="1437" spans="1:16" x14ac:dyDescent="0.3">
      <c r="A1437" t="s">
        <v>10242</v>
      </c>
      <c r="B1437" t="s">
        <v>10243</v>
      </c>
      <c r="C1437" t="s">
        <v>10244</v>
      </c>
      <c r="D1437" t="s">
        <v>539</v>
      </c>
      <c r="E1437" t="s">
        <v>10245</v>
      </c>
      <c r="F1437" t="s">
        <v>137</v>
      </c>
      <c r="G1437">
        <v>204</v>
      </c>
      <c r="H1437">
        <v>500</v>
      </c>
      <c r="I1437" s="5" t="s">
        <v>10246</v>
      </c>
      <c r="J1437" s="5" t="s">
        <v>10247</v>
      </c>
      <c r="K1437" s="5" t="str">
        <f t="shared" si="44"/>
        <v>https://www.google.com/maps?q=-11.383239, -41.833315</v>
      </c>
      <c r="L1437" s="5" t="str">
        <f t="shared" si="45"/>
        <v>Abrir no Maps</v>
      </c>
      <c r="M1437" t="s">
        <v>10248</v>
      </c>
      <c r="N1437" s="5"/>
      <c r="O1437" t="str">
        <f>VLOOKUP(G1437,'[1]CONFIG.'!$B:$C,2,0)</f>
        <v>EVA</v>
      </c>
      <c r="P1437" t="str">
        <f>VLOOKUP(O1437,'[1]CONFIG.'!$C:$D,2,0)</f>
        <v>74 98046078</v>
      </c>
    </row>
    <row r="1438" spans="1:16" x14ac:dyDescent="0.3">
      <c r="A1438" t="s">
        <v>10249</v>
      </c>
      <c r="B1438" t="s">
        <v>10250</v>
      </c>
      <c r="C1438" t="s">
        <v>10251</v>
      </c>
      <c r="D1438" t="s">
        <v>539</v>
      </c>
      <c r="E1438" t="s">
        <v>10252</v>
      </c>
      <c r="F1438" t="s">
        <v>541</v>
      </c>
      <c r="G1438">
        <v>204</v>
      </c>
      <c r="H1438">
        <v>500</v>
      </c>
      <c r="I1438" s="5" t="s">
        <v>10253</v>
      </c>
      <c r="J1438" s="5" t="s">
        <v>10254</v>
      </c>
      <c r="K1438" s="5" t="str">
        <f t="shared" si="44"/>
        <v>https://www.google.com/maps?q=-11.454863, -41.811305</v>
      </c>
      <c r="L1438" s="5" t="str">
        <f t="shared" si="45"/>
        <v>Abrir no Maps</v>
      </c>
      <c r="M1438" t="s">
        <v>10255</v>
      </c>
      <c r="N1438" s="5"/>
      <c r="O1438" t="str">
        <f>VLOOKUP(G1438,'[1]CONFIG.'!$B:$C,2,0)</f>
        <v>EVA</v>
      </c>
      <c r="P1438" t="str">
        <f>VLOOKUP(O1438,'[1]CONFIG.'!$C:$D,2,0)</f>
        <v>74 98046078</v>
      </c>
    </row>
    <row r="1439" spans="1:16" x14ac:dyDescent="0.3">
      <c r="A1439" t="s">
        <v>10256</v>
      </c>
      <c r="B1439" t="s">
        <v>10257</v>
      </c>
      <c r="C1439" t="s">
        <v>10258</v>
      </c>
      <c r="D1439" t="s">
        <v>539</v>
      </c>
      <c r="E1439" t="s">
        <v>10259</v>
      </c>
      <c r="F1439" t="s">
        <v>10260</v>
      </c>
      <c r="G1439">
        <v>204</v>
      </c>
      <c r="H1439">
        <v>500</v>
      </c>
      <c r="I1439" s="5" t="s">
        <v>10261</v>
      </c>
      <c r="J1439" s="5" t="s">
        <v>10262</v>
      </c>
      <c r="K1439" s="5" t="str">
        <f t="shared" si="44"/>
        <v>https://www.google.com/maps?q=-11.478052, -41.754906</v>
      </c>
      <c r="L1439" s="5" t="str">
        <f t="shared" si="45"/>
        <v>Abrir no Maps</v>
      </c>
      <c r="M1439" t="s">
        <v>10263</v>
      </c>
      <c r="N1439" s="5"/>
      <c r="O1439" t="str">
        <f>VLOOKUP(G1439,'[1]CONFIG.'!$B:$C,2,0)</f>
        <v>EVA</v>
      </c>
      <c r="P1439" t="str">
        <f>VLOOKUP(O1439,'[1]CONFIG.'!$C:$D,2,0)</f>
        <v>74 98046078</v>
      </c>
    </row>
    <row r="1440" spans="1:16" x14ac:dyDescent="0.3">
      <c r="A1440" t="s">
        <v>10264</v>
      </c>
      <c r="B1440" t="s">
        <v>10265</v>
      </c>
      <c r="C1440" t="s">
        <v>10266</v>
      </c>
      <c r="D1440" t="s">
        <v>539</v>
      </c>
      <c r="E1440" t="s">
        <v>10267</v>
      </c>
      <c r="F1440" t="s">
        <v>9802</v>
      </c>
      <c r="G1440">
        <v>204</v>
      </c>
      <c r="H1440">
        <v>500</v>
      </c>
      <c r="I1440" s="5" t="s">
        <v>10268</v>
      </c>
      <c r="J1440" s="5" t="s">
        <v>10269</v>
      </c>
      <c r="K1440" s="5" t="str">
        <f t="shared" si="44"/>
        <v>https://www.google.com/maps?q=-11.400027, -41.886491</v>
      </c>
      <c r="L1440" s="5" t="str">
        <f t="shared" si="45"/>
        <v>Abrir no Maps</v>
      </c>
      <c r="M1440" t="s">
        <v>10270</v>
      </c>
      <c r="N1440" s="5"/>
      <c r="O1440" t="str">
        <f>VLOOKUP(G1440,'[1]CONFIG.'!$B:$C,2,0)</f>
        <v>EVA</v>
      </c>
      <c r="P1440" t="str">
        <f>VLOOKUP(O1440,'[1]CONFIG.'!$C:$D,2,0)</f>
        <v>74 98046078</v>
      </c>
    </row>
    <row r="1441" spans="1:16" x14ac:dyDescent="0.3">
      <c r="A1441" t="s">
        <v>10271</v>
      </c>
      <c r="B1441" t="s">
        <v>10272</v>
      </c>
      <c r="C1441" t="s">
        <v>10273</v>
      </c>
      <c r="D1441" t="s">
        <v>539</v>
      </c>
      <c r="E1441" t="s">
        <v>10274</v>
      </c>
      <c r="F1441" t="s">
        <v>9823</v>
      </c>
      <c r="G1441">
        <v>204</v>
      </c>
      <c r="H1441">
        <v>500</v>
      </c>
      <c r="I1441" s="5" t="s">
        <v>10275</v>
      </c>
      <c r="J1441" s="5" t="s">
        <v>10276</v>
      </c>
      <c r="K1441" s="5" t="str">
        <f t="shared" si="44"/>
        <v>https://www.google.com/maps?q=-11.479308, -41.756618</v>
      </c>
      <c r="L1441" s="5" t="str">
        <f t="shared" si="45"/>
        <v>Abrir no Maps</v>
      </c>
      <c r="M1441" t="s">
        <v>10277</v>
      </c>
      <c r="N1441" s="5"/>
      <c r="O1441" t="str">
        <f>VLOOKUP(G1441,'[1]CONFIG.'!$B:$C,2,0)</f>
        <v>EVA</v>
      </c>
      <c r="P1441" t="str">
        <f>VLOOKUP(O1441,'[1]CONFIG.'!$C:$D,2,0)</f>
        <v>74 98046078</v>
      </c>
    </row>
    <row r="1442" spans="1:16" x14ac:dyDescent="0.3">
      <c r="A1442" t="s">
        <v>10278</v>
      </c>
      <c r="B1442" t="s">
        <v>10279</v>
      </c>
      <c r="C1442" t="s">
        <v>10280</v>
      </c>
      <c r="D1442" t="s">
        <v>539</v>
      </c>
      <c r="E1442" t="s">
        <v>10281</v>
      </c>
      <c r="F1442" t="s">
        <v>137</v>
      </c>
      <c r="G1442">
        <v>204</v>
      </c>
      <c r="H1442">
        <v>500</v>
      </c>
      <c r="I1442" s="5" t="s">
        <v>10282</v>
      </c>
      <c r="J1442" s="5" t="s">
        <v>10283</v>
      </c>
      <c r="K1442" s="5" t="str">
        <f t="shared" si="44"/>
        <v>https://www.google.com/maps?q=-11.385804, -41.836337</v>
      </c>
      <c r="L1442" s="5" t="str">
        <f t="shared" si="45"/>
        <v>Abrir no Maps</v>
      </c>
      <c r="M1442" t="s">
        <v>10284</v>
      </c>
      <c r="N1442" s="5"/>
      <c r="O1442" t="str">
        <f>VLOOKUP(G1442,'[1]CONFIG.'!$B:$C,2,0)</f>
        <v>EVA</v>
      </c>
      <c r="P1442" t="str">
        <f>VLOOKUP(O1442,'[1]CONFIG.'!$C:$D,2,0)</f>
        <v>74 98046078</v>
      </c>
    </row>
    <row r="1443" spans="1:16" x14ac:dyDescent="0.3">
      <c r="A1443" t="s">
        <v>10285</v>
      </c>
      <c r="B1443" t="s">
        <v>10286</v>
      </c>
      <c r="C1443" t="s">
        <v>10287</v>
      </c>
      <c r="D1443" t="s">
        <v>539</v>
      </c>
      <c r="E1443" t="s">
        <v>10288</v>
      </c>
      <c r="F1443" t="s">
        <v>541</v>
      </c>
      <c r="G1443">
        <v>204</v>
      </c>
      <c r="H1443">
        <v>500</v>
      </c>
      <c r="I1443" s="5" t="s">
        <v>10289</v>
      </c>
      <c r="J1443" s="5" t="s">
        <v>10290</v>
      </c>
      <c r="K1443" s="5" t="str">
        <f t="shared" si="44"/>
        <v>https://www.google.com/maps?q=-11.454737, -41.811302</v>
      </c>
      <c r="L1443" s="5" t="str">
        <f t="shared" si="45"/>
        <v>Abrir no Maps</v>
      </c>
      <c r="M1443" t="s">
        <v>10291</v>
      </c>
      <c r="N1443" s="5"/>
      <c r="O1443" t="str">
        <f>VLOOKUP(G1443,'[1]CONFIG.'!$B:$C,2,0)</f>
        <v>EVA</v>
      </c>
      <c r="P1443" t="str">
        <f>VLOOKUP(O1443,'[1]CONFIG.'!$C:$D,2,0)</f>
        <v>74 98046078</v>
      </c>
    </row>
    <row r="1444" spans="1:16" x14ac:dyDescent="0.3">
      <c r="A1444" t="s">
        <v>10292</v>
      </c>
      <c r="B1444" t="s">
        <v>10293</v>
      </c>
      <c r="C1444" t="s">
        <v>10294</v>
      </c>
      <c r="D1444" t="s">
        <v>539</v>
      </c>
      <c r="E1444" t="s">
        <v>10295</v>
      </c>
      <c r="F1444" t="s">
        <v>539</v>
      </c>
      <c r="G1444">
        <v>204</v>
      </c>
      <c r="H1444">
        <v>500</v>
      </c>
      <c r="I1444" s="5" t="s">
        <v>10296</v>
      </c>
      <c r="J1444" s="5" t="s">
        <v>10083</v>
      </c>
      <c r="K1444" s="5" t="str">
        <f t="shared" si="44"/>
        <v>https://www.google.com/maps?q=-11.383415, -41.834675</v>
      </c>
      <c r="L1444" s="5" t="str">
        <f t="shared" si="45"/>
        <v>Abrir no Maps</v>
      </c>
      <c r="M1444" t="s">
        <v>10297</v>
      </c>
      <c r="N1444" s="5"/>
      <c r="O1444" t="str">
        <f>VLOOKUP(G1444,'[1]CONFIG.'!$B:$C,2,0)</f>
        <v>EVA</v>
      </c>
      <c r="P1444" t="str">
        <f>VLOOKUP(O1444,'[1]CONFIG.'!$C:$D,2,0)</f>
        <v>74 98046078</v>
      </c>
    </row>
    <row r="1445" spans="1:16" x14ac:dyDescent="0.3">
      <c r="A1445" t="s">
        <v>10298</v>
      </c>
      <c r="B1445" t="s">
        <v>10299</v>
      </c>
      <c r="C1445" t="s">
        <v>10300</v>
      </c>
      <c r="D1445" t="s">
        <v>539</v>
      </c>
      <c r="E1445" t="s">
        <v>10301</v>
      </c>
      <c r="F1445" t="s">
        <v>10117</v>
      </c>
      <c r="G1445">
        <v>211</v>
      </c>
      <c r="H1445">
        <v>500</v>
      </c>
      <c r="I1445" s="5" t="s">
        <v>10302</v>
      </c>
      <c r="J1445" s="5" t="s">
        <v>10303</v>
      </c>
      <c r="K1445" s="5" t="str">
        <f t="shared" si="44"/>
        <v>https://www.google.com/maps?q=-11.566747, -41.767863</v>
      </c>
      <c r="L1445" s="5" t="str">
        <f t="shared" si="45"/>
        <v>Abrir no Maps</v>
      </c>
      <c r="M1445" t="s">
        <v>10304</v>
      </c>
      <c r="N1445" s="5"/>
      <c r="O1445" t="str">
        <f>VLOOKUP(G1445,'[1]CONFIG.'!$B:$C,2,0)</f>
        <v>DAIANE</v>
      </c>
      <c r="P1445" t="str">
        <f>VLOOKUP(O1445,'[1]CONFIG.'!$C:$D,2,0)</f>
        <v>74 99298866</v>
      </c>
    </row>
    <row r="1446" spans="1:16" x14ac:dyDescent="0.3">
      <c r="A1446" t="s">
        <v>10305</v>
      </c>
      <c r="B1446" t="s">
        <v>10306</v>
      </c>
      <c r="C1446" t="s">
        <v>10307</v>
      </c>
      <c r="D1446" t="s">
        <v>539</v>
      </c>
      <c r="E1446" t="s">
        <v>10308</v>
      </c>
      <c r="F1446" t="s">
        <v>541</v>
      </c>
      <c r="G1446">
        <v>204</v>
      </c>
      <c r="H1446">
        <v>500</v>
      </c>
      <c r="I1446" s="5" t="s">
        <v>10309</v>
      </c>
      <c r="J1446" s="5" t="s">
        <v>10310</v>
      </c>
      <c r="K1446" s="5" t="str">
        <f t="shared" si="44"/>
        <v>https://www.google.com/maps?q=-11.452787, -41.811160</v>
      </c>
      <c r="L1446" s="5" t="str">
        <f t="shared" si="45"/>
        <v>Abrir no Maps</v>
      </c>
      <c r="M1446" t="s">
        <v>10311</v>
      </c>
      <c r="N1446" s="5"/>
      <c r="O1446" t="str">
        <f>VLOOKUP(G1446,'[1]CONFIG.'!$B:$C,2,0)</f>
        <v>EVA</v>
      </c>
      <c r="P1446" t="str">
        <f>VLOOKUP(O1446,'[1]CONFIG.'!$C:$D,2,0)</f>
        <v>74 98046078</v>
      </c>
    </row>
    <row r="1447" spans="1:16" x14ac:dyDescent="0.3">
      <c r="A1447" t="s">
        <v>10312</v>
      </c>
      <c r="B1447" t="s">
        <v>10313</v>
      </c>
      <c r="C1447" t="s">
        <v>10314</v>
      </c>
      <c r="D1447" t="s">
        <v>539</v>
      </c>
      <c r="E1447" t="s">
        <v>10315</v>
      </c>
      <c r="F1447" t="s">
        <v>9802</v>
      </c>
      <c r="G1447">
        <v>204</v>
      </c>
      <c r="H1447">
        <v>500</v>
      </c>
      <c r="I1447" s="5" t="s">
        <v>10316</v>
      </c>
      <c r="J1447" s="5" t="s">
        <v>10317</v>
      </c>
      <c r="K1447" s="5" t="str">
        <f t="shared" si="44"/>
        <v>https://www.google.com/maps?q=-11.400045, -41.886555</v>
      </c>
      <c r="L1447" s="5" t="str">
        <f t="shared" si="45"/>
        <v>Abrir no Maps</v>
      </c>
      <c r="M1447" t="s">
        <v>10318</v>
      </c>
      <c r="N1447" s="5"/>
      <c r="O1447" t="str">
        <f>VLOOKUP(G1447,'[1]CONFIG.'!$B:$C,2,0)</f>
        <v>EVA</v>
      </c>
      <c r="P1447" t="str">
        <f>VLOOKUP(O1447,'[1]CONFIG.'!$C:$D,2,0)</f>
        <v>74 98046078</v>
      </c>
    </row>
    <row r="1448" spans="1:16" x14ac:dyDescent="0.3">
      <c r="A1448" t="s">
        <v>10319</v>
      </c>
      <c r="B1448" t="s">
        <v>10320</v>
      </c>
      <c r="C1448" t="s">
        <v>10321</v>
      </c>
      <c r="D1448" t="s">
        <v>539</v>
      </c>
      <c r="E1448" t="s">
        <v>10322</v>
      </c>
      <c r="F1448" t="s">
        <v>539</v>
      </c>
      <c r="G1448">
        <v>204</v>
      </c>
      <c r="H1448">
        <v>500</v>
      </c>
      <c r="I1448" s="5" t="s">
        <v>10323</v>
      </c>
      <c r="J1448" s="5" t="s">
        <v>10324</v>
      </c>
      <c r="K1448" s="5" t="str">
        <f t="shared" si="44"/>
        <v>https://www.google.com/maps?q=-11.382747, -41.827828</v>
      </c>
      <c r="L1448" s="5" t="str">
        <f t="shared" si="45"/>
        <v>Abrir no Maps</v>
      </c>
      <c r="M1448" t="s">
        <v>10325</v>
      </c>
      <c r="N1448" s="5"/>
      <c r="O1448" t="str">
        <f>VLOOKUP(G1448,'[1]CONFIG.'!$B:$C,2,0)</f>
        <v>EVA</v>
      </c>
      <c r="P1448" t="str">
        <f>VLOOKUP(O1448,'[1]CONFIG.'!$C:$D,2,0)</f>
        <v>74 98046078</v>
      </c>
    </row>
    <row r="1449" spans="1:16" x14ac:dyDescent="0.3">
      <c r="A1449" t="s">
        <v>10326</v>
      </c>
      <c r="B1449" t="s">
        <v>10327</v>
      </c>
      <c r="C1449" t="s">
        <v>10328</v>
      </c>
      <c r="D1449" t="s">
        <v>539</v>
      </c>
      <c r="E1449" t="s">
        <v>10329</v>
      </c>
      <c r="F1449" t="s">
        <v>541</v>
      </c>
      <c r="G1449">
        <v>204</v>
      </c>
      <c r="H1449">
        <v>500</v>
      </c>
      <c r="I1449" s="5" t="s">
        <v>10330</v>
      </c>
      <c r="J1449" s="5" t="s">
        <v>10331</v>
      </c>
      <c r="K1449" s="5" t="str">
        <f t="shared" si="44"/>
        <v>https://www.google.com/maps?q=-11.455485, -41.810483</v>
      </c>
      <c r="L1449" s="5" t="str">
        <f t="shared" si="45"/>
        <v>Abrir no Maps</v>
      </c>
      <c r="M1449" t="s">
        <v>10332</v>
      </c>
      <c r="N1449" s="5"/>
      <c r="O1449" t="str">
        <f>VLOOKUP(G1449,'[1]CONFIG.'!$B:$C,2,0)</f>
        <v>EVA</v>
      </c>
      <c r="P1449" t="str">
        <f>VLOOKUP(O1449,'[1]CONFIG.'!$C:$D,2,0)</f>
        <v>74 98046078</v>
      </c>
    </row>
    <row r="1450" spans="1:16" x14ac:dyDescent="0.3">
      <c r="A1450" t="s">
        <v>10333</v>
      </c>
      <c r="B1450" t="s">
        <v>10334</v>
      </c>
      <c r="C1450" t="s">
        <v>10335</v>
      </c>
      <c r="D1450" t="s">
        <v>539</v>
      </c>
      <c r="E1450" t="s">
        <v>10336</v>
      </c>
      <c r="F1450" t="s">
        <v>137</v>
      </c>
      <c r="G1450">
        <v>204</v>
      </c>
      <c r="H1450">
        <v>500</v>
      </c>
      <c r="I1450" s="5" t="s">
        <v>10337</v>
      </c>
      <c r="J1450" s="5" t="s">
        <v>10338</v>
      </c>
      <c r="K1450" s="5" t="str">
        <f t="shared" si="44"/>
        <v>https://www.google.com/maps?q=-11.382469, -41.829700</v>
      </c>
      <c r="L1450" s="5" t="str">
        <f t="shared" si="45"/>
        <v>Abrir no Maps</v>
      </c>
      <c r="M1450" t="s">
        <v>10339</v>
      </c>
      <c r="N1450" s="5"/>
      <c r="O1450" t="str">
        <f>VLOOKUP(G1450,'[1]CONFIG.'!$B:$C,2,0)</f>
        <v>EVA</v>
      </c>
      <c r="P1450" t="str">
        <f>VLOOKUP(O1450,'[1]CONFIG.'!$C:$D,2,0)</f>
        <v>74 98046078</v>
      </c>
    </row>
    <row r="1451" spans="1:16" x14ac:dyDescent="0.3">
      <c r="A1451" t="s">
        <v>10340</v>
      </c>
      <c r="B1451" t="s">
        <v>10341</v>
      </c>
      <c r="C1451" t="s">
        <v>10342</v>
      </c>
      <c r="D1451" t="s">
        <v>429</v>
      </c>
      <c r="E1451" t="s">
        <v>10343</v>
      </c>
      <c r="F1451" t="s">
        <v>137</v>
      </c>
      <c r="G1451">
        <v>201</v>
      </c>
      <c r="H1451">
        <v>300</v>
      </c>
      <c r="I1451" s="5" t="s">
        <v>10344</v>
      </c>
      <c r="J1451" s="5" t="s">
        <v>10345</v>
      </c>
      <c r="K1451" s="5" t="str">
        <f t="shared" si="44"/>
        <v>https://www.google.com/maps?q=-11.548175, -41.166832</v>
      </c>
      <c r="L1451" s="5" t="str">
        <f t="shared" si="45"/>
        <v>Abrir no Maps</v>
      </c>
      <c r="M1451" t="s">
        <v>10346</v>
      </c>
      <c r="N1451" s="5"/>
      <c r="O1451" t="str">
        <f>VLOOKUP(G1451,'[1]CONFIG.'!$B:$C,2,0)</f>
        <v>EDSON</v>
      </c>
      <c r="P1451" t="str">
        <f>VLOOKUP(O1451,'[1]CONFIG.'!$C:$D,2,0)</f>
        <v>74 99403278</v>
      </c>
    </row>
    <row r="1452" spans="1:16" x14ac:dyDescent="0.3">
      <c r="A1452" t="s">
        <v>10347</v>
      </c>
      <c r="B1452" t="s">
        <v>10348</v>
      </c>
      <c r="C1452" t="s">
        <v>10349</v>
      </c>
      <c r="D1452" t="s">
        <v>429</v>
      </c>
      <c r="E1452" t="s">
        <v>10350</v>
      </c>
      <c r="F1452" t="s">
        <v>137</v>
      </c>
      <c r="G1452">
        <v>201</v>
      </c>
      <c r="H1452">
        <v>300</v>
      </c>
      <c r="I1452" s="5" t="s">
        <v>10344</v>
      </c>
      <c r="J1452" s="5" t="s">
        <v>10345</v>
      </c>
      <c r="K1452" s="5" t="str">
        <f t="shared" si="44"/>
        <v>https://www.google.com/maps?q=-11.548175, -41.166832</v>
      </c>
      <c r="L1452" s="5" t="str">
        <f t="shared" si="45"/>
        <v>Abrir no Maps</v>
      </c>
      <c r="M1452" t="s">
        <v>10351</v>
      </c>
      <c r="N1452" s="5"/>
      <c r="O1452" t="str">
        <f>VLOOKUP(G1452,'[1]CONFIG.'!$B:$C,2,0)</f>
        <v>EDSON</v>
      </c>
      <c r="P1452" t="str">
        <f>VLOOKUP(O1452,'[1]CONFIG.'!$C:$D,2,0)</f>
        <v>74 99403278</v>
      </c>
    </row>
    <row r="1453" spans="1:16" x14ac:dyDescent="0.3">
      <c r="A1453" t="s">
        <v>10352</v>
      </c>
      <c r="B1453" t="s">
        <v>10353</v>
      </c>
      <c r="C1453" t="s">
        <v>10354</v>
      </c>
      <c r="D1453" t="s">
        <v>429</v>
      </c>
      <c r="E1453" t="s">
        <v>10355</v>
      </c>
      <c r="F1453" t="s">
        <v>137</v>
      </c>
      <c r="G1453">
        <v>201</v>
      </c>
      <c r="H1453">
        <v>300</v>
      </c>
      <c r="I1453" s="5" t="s">
        <v>10356</v>
      </c>
      <c r="J1453" s="5" t="s">
        <v>10357</v>
      </c>
      <c r="K1453" s="5" t="str">
        <f t="shared" si="44"/>
        <v>https://www.google.com/maps?q=-11.550188, -41.152405</v>
      </c>
      <c r="L1453" s="5" t="str">
        <f t="shared" si="45"/>
        <v>Abrir no Maps</v>
      </c>
      <c r="M1453" t="s">
        <v>10358</v>
      </c>
      <c r="N1453" s="5"/>
      <c r="O1453" t="str">
        <f>VLOOKUP(G1453,'[1]CONFIG.'!$B:$C,2,0)</f>
        <v>EDSON</v>
      </c>
      <c r="P1453" t="str">
        <f>VLOOKUP(O1453,'[1]CONFIG.'!$C:$D,2,0)</f>
        <v>74 99403278</v>
      </c>
    </row>
    <row r="1454" spans="1:16" x14ac:dyDescent="0.3">
      <c r="A1454" t="s">
        <v>10359</v>
      </c>
      <c r="B1454" t="s">
        <v>10360</v>
      </c>
      <c r="C1454" t="s">
        <v>10361</v>
      </c>
      <c r="D1454" t="s">
        <v>429</v>
      </c>
      <c r="E1454" t="s">
        <v>10362</v>
      </c>
      <c r="F1454" t="s">
        <v>137</v>
      </c>
      <c r="G1454">
        <v>201</v>
      </c>
      <c r="H1454">
        <v>300</v>
      </c>
      <c r="I1454" s="5" t="s">
        <v>10363</v>
      </c>
      <c r="J1454" s="5" t="s">
        <v>10364</v>
      </c>
      <c r="K1454" s="5" t="str">
        <f t="shared" si="44"/>
        <v>https://www.google.com/maps?q=-11.552778, -41.156944</v>
      </c>
      <c r="L1454" s="5" t="str">
        <f t="shared" si="45"/>
        <v>Abrir no Maps</v>
      </c>
      <c r="M1454" t="s">
        <v>10365</v>
      </c>
      <c r="N1454" s="5"/>
      <c r="O1454" t="str">
        <f>VLOOKUP(G1454,'[1]CONFIG.'!$B:$C,2,0)</f>
        <v>EDSON</v>
      </c>
      <c r="P1454" t="str">
        <f>VLOOKUP(O1454,'[1]CONFIG.'!$C:$D,2,0)</f>
        <v>74 99403278</v>
      </c>
    </row>
    <row r="1455" spans="1:16" x14ac:dyDescent="0.3">
      <c r="A1455" t="s">
        <v>10366</v>
      </c>
      <c r="B1455" t="s">
        <v>10367</v>
      </c>
      <c r="C1455" t="s">
        <v>10368</v>
      </c>
      <c r="D1455" t="s">
        <v>429</v>
      </c>
      <c r="E1455" t="s">
        <v>10369</v>
      </c>
      <c r="F1455" t="s">
        <v>137</v>
      </c>
      <c r="G1455">
        <v>201</v>
      </c>
      <c r="H1455">
        <v>300</v>
      </c>
      <c r="I1455" s="5" t="s">
        <v>10370</v>
      </c>
      <c r="J1455" s="5" t="s">
        <v>10371</v>
      </c>
      <c r="K1455" s="5" t="str">
        <f t="shared" si="44"/>
        <v>https://www.google.com/maps?q=-11.545330, -41.162987</v>
      </c>
      <c r="L1455" s="5" t="str">
        <f t="shared" si="45"/>
        <v>Abrir no Maps</v>
      </c>
      <c r="M1455" t="s">
        <v>10372</v>
      </c>
      <c r="N1455" s="5"/>
      <c r="O1455" t="str">
        <f>VLOOKUP(G1455,'[1]CONFIG.'!$B:$C,2,0)</f>
        <v>EDSON</v>
      </c>
      <c r="P1455" t="str">
        <f>VLOOKUP(O1455,'[1]CONFIG.'!$C:$D,2,0)</f>
        <v>74 99403278</v>
      </c>
    </row>
    <row r="1456" spans="1:16" x14ac:dyDescent="0.3">
      <c r="A1456" t="s">
        <v>10373</v>
      </c>
      <c r="B1456" t="s">
        <v>10374</v>
      </c>
      <c r="C1456" t="s">
        <v>10375</v>
      </c>
      <c r="D1456" t="s">
        <v>429</v>
      </c>
      <c r="E1456" t="s">
        <v>10376</v>
      </c>
      <c r="F1456" t="s">
        <v>137</v>
      </c>
      <c r="G1456">
        <v>201</v>
      </c>
      <c r="H1456">
        <v>300</v>
      </c>
      <c r="I1456" s="5" t="s">
        <v>10377</v>
      </c>
      <c r="J1456" s="5" t="s">
        <v>10378</v>
      </c>
      <c r="K1456" s="5" t="str">
        <f t="shared" si="44"/>
        <v>https://www.google.com/maps?q=-11.548520, -41.159490</v>
      </c>
      <c r="L1456" s="5" t="str">
        <f t="shared" si="45"/>
        <v>Abrir no Maps</v>
      </c>
      <c r="M1456" t="s">
        <v>10379</v>
      </c>
      <c r="N1456" s="5"/>
      <c r="O1456" t="str">
        <f>VLOOKUP(G1456,'[1]CONFIG.'!$B:$C,2,0)</f>
        <v>EDSON</v>
      </c>
      <c r="P1456" t="str">
        <f>VLOOKUP(O1456,'[1]CONFIG.'!$C:$D,2,0)</f>
        <v>74 99403278</v>
      </c>
    </row>
    <row r="1457" spans="1:16" x14ac:dyDescent="0.3">
      <c r="A1457" t="s">
        <v>10380</v>
      </c>
      <c r="B1457" t="s">
        <v>10381</v>
      </c>
      <c r="C1457" t="s">
        <v>10382</v>
      </c>
      <c r="D1457" t="s">
        <v>429</v>
      </c>
      <c r="E1457" t="s">
        <v>10383</v>
      </c>
      <c r="F1457" t="s">
        <v>137</v>
      </c>
      <c r="G1457">
        <v>201</v>
      </c>
      <c r="H1457">
        <v>300</v>
      </c>
      <c r="I1457" s="5" t="s">
        <v>10384</v>
      </c>
      <c r="J1457" s="5" t="s">
        <v>10385</v>
      </c>
      <c r="K1457" s="5" t="str">
        <f t="shared" si="44"/>
        <v>https://www.google.com/maps?q=-11.548197, -41.164150</v>
      </c>
      <c r="L1457" s="5" t="str">
        <f t="shared" si="45"/>
        <v>Abrir no Maps</v>
      </c>
      <c r="M1457" t="s">
        <v>10386</v>
      </c>
      <c r="N1457" s="5"/>
      <c r="O1457" t="str">
        <f>VLOOKUP(G1457,'[1]CONFIG.'!$B:$C,2,0)</f>
        <v>EDSON</v>
      </c>
      <c r="P1457" t="str">
        <f>VLOOKUP(O1457,'[1]CONFIG.'!$C:$D,2,0)</f>
        <v>74 99403278</v>
      </c>
    </row>
    <row r="1458" spans="1:16" x14ac:dyDescent="0.3">
      <c r="A1458" t="s">
        <v>10387</v>
      </c>
      <c r="B1458" t="s">
        <v>10388</v>
      </c>
      <c r="C1458" t="s">
        <v>10389</v>
      </c>
      <c r="D1458" t="s">
        <v>429</v>
      </c>
      <c r="E1458" t="s">
        <v>10390</v>
      </c>
      <c r="F1458" t="s">
        <v>10391</v>
      </c>
      <c r="G1458">
        <v>201</v>
      </c>
      <c r="H1458">
        <v>300</v>
      </c>
      <c r="I1458" s="5" t="s">
        <v>10392</v>
      </c>
      <c r="J1458" s="5" t="s">
        <v>10393</v>
      </c>
      <c r="K1458" s="5" t="str">
        <f t="shared" si="44"/>
        <v>https://www.google.com/maps?q=-11.549326, -41.157555</v>
      </c>
      <c r="L1458" s="5" t="str">
        <f t="shared" si="45"/>
        <v>Abrir no Maps</v>
      </c>
      <c r="M1458" t="s">
        <v>10394</v>
      </c>
      <c r="N1458" s="5"/>
      <c r="O1458" t="str">
        <f>VLOOKUP(G1458,'[1]CONFIG.'!$B:$C,2,0)</f>
        <v>EDSON</v>
      </c>
      <c r="P1458" t="str">
        <f>VLOOKUP(O1458,'[1]CONFIG.'!$C:$D,2,0)</f>
        <v>74 99403278</v>
      </c>
    </row>
    <row r="1459" spans="1:16" x14ac:dyDescent="0.3">
      <c r="A1459" t="s">
        <v>10395</v>
      </c>
      <c r="B1459" t="s">
        <v>10396</v>
      </c>
      <c r="C1459" t="s">
        <v>10397</v>
      </c>
      <c r="D1459" t="s">
        <v>429</v>
      </c>
      <c r="E1459" t="s">
        <v>10398</v>
      </c>
      <c r="F1459" t="s">
        <v>137</v>
      </c>
      <c r="G1459">
        <v>201</v>
      </c>
      <c r="H1459">
        <v>300</v>
      </c>
      <c r="I1459" s="5" t="s">
        <v>10399</v>
      </c>
      <c r="J1459" s="5" t="s">
        <v>10400</v>
      </c>
      <c r="K1459" s="5" t="str">
        <f t="shared" si="44"/>
        <v>https://www.google.com/maps?q=-11.548045, -41.160010</v>
      </c>
      <c r="L1459" s="5" t="str">
        <f t="shared" si="45"/>
        <v>Abrir no Maps</v>
      </c>
      <c r="M1459" t="s">
        <v>10401</v>
      </c>
      <c r="N1459" s="5"/>
      <c r="O1459" t="str">
        <f>VLOOKUP(G1459,'[1]CONFIG.'!$B:$C,2,0)</f>
        <v>EDSON</v>
      </c>
      <c r="P1459" t="str">
        <f>VLOOKUP(O1459,'[1]CONFIG.'!$C:$D,2,0)</f>
        <v>74 99403278</v>
      </c>
    </row>
    <row r="1460" spans="1:16" x14ac:dyDescent="0.3">
      <c r="A1460" t="s">
        <v>10402</v>
      </c>
      <c r="B1460" t="s">
        <v>10403</v>
      </c>
      <c r="C1460" t="s">
        <v>10404</v>
      </c>
      <c r="D1460" t="s">
        <v>429</v>
      </c>
      <c r="E1460" t="s">
        <v>10405</v>
      </c>
      <c r="F1460" t="s">
        <v>137</v>
      </c>
      <c r="G1460">
        <v>201</v>
      </c>
      <c r="H1460">
        <v>300</v>
      </c>
      <c r="I1460" s="5" t="s">
        <v>10406</v>
      </c>
      <c r="J1460" s="5" t="s">
        <v>10407</v>
      </c>
      <c r="K1460" s="5" t="str">
        <f t="shared" si="44"/>
        <v>https://www.google.com/maps?q=-11.552307, -41.154037</v>
      </c>
      <c r="L1460" s="5" t="str">
        <f t="shared" si="45"/>
        <v>Abrir no Maps</v>
      </c>
      <c r="M1460" t="s">
        <v>10408</v>
      </c>
      <c r="N1460" s="5"/>
      <c r="O1460" t="str">
        <f>VLOOKUP(G1460,'[1]CONFIG.'!$B:$C,2,0)</f>
        <v>EDSON</v>
      </c>
      <c r="P1460" t="str">
        <f>VLOOKUP(O1460,'[1]CONFIG.'!$C:$D,2,0)</f>
        <v>74 99403278</v>
      </c>
    </row>
    <row r="1461" spans="1:16" x14ac:dyDescent="0.3">
      <c r="A1461" t="s">
        <v>10409</v>
      </c>
      <c r="B1461" t="s">
        <v>10410</v>
      </c>
      <c r="C1461" t="s">
        <v>10411</v>
      </c>
      <c r="D1461" t="s">
        <v>429</v>
      </c>
      <c r="E1461" t="s">
        <v>10412</v>
      </c>
      <c r="F1461" t="s">
        <v>137</v>
      </c>
      <c r="G1461">
        <v>201</v>
      </c>
      <c r="H1461">
        <v>300</v>
      </c>
      <c r="I1461" s="5" t="s">
        <v>10413</v>
      </c>
      <c r="J1461" s="5" t="s">
        <v>10414</v>
      </c>
      <c r="K1461" s="5" t="str">
        <f t="shared" si="44"/>
        <v>https://www.google.com/maps?q=-11.546225, -41.152090</v>
      </c>
      <c r="L1461" s="5" t="str">
        <f t="shared" si="45"/>
        <v>Abrir no Maps</v>
      </c>
      <c r="M1461" t="s">
        <v>10415</v>
      </c>
      <c r="N1461" s="5"/>
      <c r="O1461" t="str">
        <f>VLOOKUP(G1461,'[1]CONFIG.'!$B:$C,2,0)</f>
        <v>EDSON</v>
      </c>
      <c r="P1461" t="str">
        <f>VLOOKUP(O1461,'[1]CONFIG.'!$C:$D,2,0)</f>
        <v>74 99403278</v>
      </c>
    </row>
    <row r="1462" spans="1:16" x14ac:dyDescent="0.3">
      <c r="A1462" t="s">
        <v>10416</v>
      </c>
      <c r="B1462" t="s">
        <v>10417</v>
      </c>
      <c r="C1462" t="s">
        <v>10418</v>
      </c>
      <c r="D1462" t="s">
        <v>429</v>
      </c>
      <c r="E1462" t="s">
        <v>10419</v>
      </c>
      <c r="F1462" t="s">
        <v>10420</v>
      </c>
      <c r="G1462">
        <v>201</v>
      </c>
      <c r="H1462">
        <v>300</v>
      </c>
      <c r="I1462" s="5" t="s">
        <v>10421</v>
      </c>
      <c r="J1462" s="5" t="s">
        <v>10422</v>
      </c>
      <c r="K1462" s="5" t="str">
        <f t="shared" si="44"/>
        <v>https://www.google.com/maps?q=-11.550758, -41.156530</v>
      </c>
      <c r="L1462" s="5" t="str">
        <f t="shared" si="45"/>
        <v>Abrir no Maps</v>
      </c>
      <c r="M1462" t="s">
        <v>10423</v>
      </c>
      <c r="N1462" s="5"/>
      <c r="O1462" t="str">
        <f>VLOOKUP(G1462,'[1]CONFIG.'!$B:$C,2,0)</f>
        <v>EDSON</v>
      </c>
      <c r="P1462" t="str">
        <f>VLOOKUP(O1462,'[1]CONFIG.'!$C:$D,2,0)</f>
        <v>74 99403278</v>
      </c>
    </row>
    <row r="1463" spans="1:16" x14ac:dyDescent="0.3">
      <c r="A1463" t="s">
        <v>10424</v>
      </c>
      <c r="B1463" t="s">
        <v>10425</v>
      </c>
      <c r="C1463" t="s">
        <v>10426</v>
      </c>
      <c r="D1463" t="s">
        <v>429</v>
      </c>
      <c r="E1463" t="s">
        <v>10427</v>
      </c>
      <c r="F1463" t="s">
        <v>10428</v>
      </c>
      <c r="G1463">
        <v>201</v>
      </c>
      <c r="H1463">
        <v>300</v>
      </c>
      <c r="I1463" s="5" t="s">
        <v>10429</v>
      </c>
      <c r="J1463" s="5" t="s">
        <v>10430</v>
      </c>
      <c r="K1463" s="5" t="str">
        <f t="shared" si="44"/>
        <v>https://www.google.com/maps?q=-11.545676, -41.161507</v>
      </c>
      <c r="L1463" s="5" t="str">
        <f t="shared" si="45"/>
        <v>Abrir no Maps</v>
      </c>
      <c r="M1463" t="s">
        <v>10431</v>
      </c>
      <c r="N1463" s="5"/>
      <c r="O1463" t="str">
        <f>VLOOKUP(G1463,'[1]CONFIG.'!$B:$C,2,0)</f>
        <v>EDSON</v>
      </c>
      <c r="P1463" t="str">
        <f>VLOOKUP(O1463,'[1]CONFIG.'!$C:$D,2,0)</f>
        <v>74 99403278</v>
      </c>
    </row>
    <row r="1464" spans="1:16" x14ac:dyDescent="0.3">
      <c r="A1464" t="s">
        <v>10432</v>
      </c>
      <c r="B1464" t="s">
        <v>10433</v>
      </c>
      <c r="C1464" t="s">
        <v>10434</v>
      </c>
      <c r="D1464" t="s">
        <v>429</v>
      </c>
      <c r="E1464" t="s">
        <v>10435</v>
      </c>
      <c r="F1464" t="s">
        <v>137</v>
      </c>
      <c r="G1464">
        <v>201</v>
      </c>
      <c r="H1464">
        <v>300</v>
      </c>
      <c r="I1464" s="5" t="s">
        <v>10436</v>
      </c>
      <c r="J1464" s="5" t="s">
        <v>10437</v>
      </c>
      <c r="K1464" s="5" t="str">
        <f t="shared" si="44"/>
        <v>https://www.google.com/maps?q=-11.551532, -41.157930</v>
      </c>
      <c r="L1464" s="5" t="str">
        <f t="shared" si="45"/>
        <v>Abrir no Maps</v>
      </c>
      <c r="M1464" t="s">
        <v>10438</v>
      </c>
      <c r="N1464" s="5"/>
      <c r="O1464" t="str">
        <f>VLOOKUP(G1464,'[1]CONFIG.'!$B:$C,2,0)</f>
        <v>EDSON</v>
      </c>
      <c r="P1464" t="str">
        <f>VLOOKUP(O1464,'[1]CONFIG.'!$C:$D,2,0)</f>
        <v>74 99403278</v>
      </c>
    </row>
    <row r="1465" spans="1:16" x14ac:dyDescent="0.3">
      <c r="A1465" t="s">
        <v>10439</v>
      </c>
      <c r="B1465" t="s">
        <v>10440</v>
      </c>
      <c r="C1465" t="s">
        <v>10441</v>
      </c>
      <c r="D1465" t="s">
        <v>429</v>
      </c>
      <c r="E1465" t="s">
        <v>10442</v>
      </c>
      <c r="F1465" t="s">
        <v>674</v>
      </c>
      <c r="G1465">
        <v>213</v>
      </c>
      <c r="H1465">
        <v>300</v>
      </c>
      <c r="I1465" s="5" t="s">
        <v>10443</v>
      </c>
      <c r="J1465" s="5" t="s">
        <v>10444</v>
      </c>
      <c r="K1465" s="5" t="str">
        <f t="shared" si="44"/>
        <v>https://www.google.com/maps?q=-11.764773, -41.154408</v>
      </c>
      <c r="L1465" s="5" t="str">
        <f t="shared" si="45"/>
        <v>Abrir no Maps</v>
      </c>
      <c r="M1465" t="s">
        <v>10445</v>
      </c>
      <c r="N1465" s="5"/>
      <c r="O1465" t="str">
        <f>VLOOKUP(G1465,'[1]CONFIG.'!$B:$C,2,0)</f>
        <v>DANIEL</v>
      </c>
      <c r="P1465" t="str">
        <f>VLOOKUP(O1465,'[1]CONFIG.'!$C:$D,2,0)</f>
        <v>74 99461824</v>
      </c>
    </row>
    <row r="1466" spans="1:16" x14ac:dyDescent="0.3">
      <c r="A1466" t="s">
        <v>10446</v>
      </c>
      <c r="B1466" t="s">
        <v>10447</v>
      </c>
      <c r="C1466" t="s">
        <v>10448</v>
      </c>
      <c r="D1466" t="s">
        <v>429</v>
      </c>
      <c r="E1466" t="s">
        <v>10449</v>
      </c>
      <c r="F1466" t="s">
        <v>137</v>
      </c>
      <c r="G1466">
        <v>201</v>
      </c>
      <c r="H1466">
        <v>300</v>
      </c>
      <c r="I1466" s="5" t="s">
        <v>10450</v>
      </c>
      <c r="J1466" s="5" t="s">
        <v>10451</v>
      </c>
      <c r="K1466" s="5" t="str">
        <f t="shared" si="44"/>
        <v>https://www.google.com/maps?q=-11.549153, -41.158443</v>
      </c>
      <c r="L1466" s="5" t="str">
        <f t="shared" si="45"/>
        <v>Abrir no Maps</v>
      </c>
      <c r="M1466" t="s">
        <v>10452</v>
      </c>
      <c r="N1466" s="5"/>
      <c r="O1466" t="str">
        <f>VLOOKUP(G1466,'[1]CONFIG.'!$B:$C,2,0)</f>
        <v>EDSON</v>
      </c>
      <c r="P1466" t="str">
        <f>VLOOKUP(O1466,'[1]CONFIG.'!$C:$D,2,0)</f>
        <v>74 99403278</v>
      </c>
    </row>
    <row r="1467" spans="1:16" x14ac:dyDescent="0.3">
      <c r="A1467" t="s">
        <v>10453</v>
      </c>
      <c r="B1467" t="s">
        <v>10454</v>
      </c>
      <c r="C1467" t="s">
        <v>10455</v>
      </c>
      <c r="D1467" t="s">
        <v>429</v>
      </c>
      <c r="E1467" t="s">
        <v>10456</v>
      </c>
      <c r="F1467" t="s">
        <v>137</v>
      </c>
      <c r="G1467">
        <v>201</v>
      </c>
      <c r="H1467">
        <v>300</v>
      </c>
      <c r="I1467" s="5" t="s">
        <v>10457</v>
      </c>
      <c r="J1467" s="5" t="s">
        <v>10458</v>
      </c>
      <c r="K1467" s="5" t="str">
        <f t="shared" si="44"/>
        <v>https://www.google.com/maps?q=-11.549444, -41.157500</v>
      </c>
      <c r="L1467" s="5" t="str">
        <f t="shared" si="45"/>
        <v>Abrir no Maps</v>
      </c>
      <c r="M1467" t="s">
        <v>10459</v>
      </c>
      <c r="N1467" s="5"/>
      <c r="O1467" t="str">
        <f>VLOOKUP(G1467,'[1]CONFIG.'!$B:$C,2,0)</f>
        <v>EDSON</v>
      </c>
      <c r="P1467" t="str">
        <f>VLOOKUP(O1467,'[1]CONFIG.'!$C:$D,2,0)</f>
        <v>74 99403278</v>
      </c>
    </row>
    <row r="1468" spans="1:16" x14ac:dyDescent="0.3">
      <c r="A1468" t="s">
        <v>10460</v>
      </c>
      <c r="B1468" t="s">
        <v>10461</v>
      </c>
      <c r="C1468" t="s">
        <v>10462</v>
      </c>
      <c r="D1468" t="s">
        <v>429</v>
      </c>
      <c r="E1468" t="s">
        <v>10463</v>
      </c>
      <c r="F1468" t="s">
        <v>10464</v>
      </c>
      <c r="G1468">
        <v>201</v>
      </c>
      <c r="H1468">
        <v>300</v>
      </c>
      <c r="I1468" s="5" t="s">
        <v>10465</v>
      </c>
      <c r="J1468" s="5" t="s">
        <v>10466</v>
      </c>
      <c r="K1468" s="5" t="str">
        <f t="shared" si="44"/>
        <v>https://www.google.com/maps?q=-11.546905, -41.150753</v>
      </c>
      <c r="L1468" s="5" t="str">
        <f t="shared" si="45"/>
        <v>Abrir no Maps</v>
      </c>
      <c r="M1468" t="s">
        <v>10467</v>
      </c>
      <c r="N1468" s="5"/>
      <c r="O1468" t="str">
        <f>VLOOKUP(G1468,'[1]CONFIG.'!$B:$C,2,0)</f>
        <v>EDSON</v>
      </c>
      <c r="P1468" t="str">
        <f>VLOOKUP(O1468,'[1]CONFIG.'!$C:$D,2,0)</f>
        <v>74 99403278</v>
      </c>
    </row>
    <row r="1469" spans="1:16" x14ac:dyDescent="0.3">
      <c r="A1469" t="s">
        <v>10468</v>
      </c>
      <c r="B1469" t="s">
        <v>10469</v>
      </c>
      <c r="C1469" t="s">
        <v>10470</v>
      </c>
      <c r="D1469" t="s">
        <v>429</v>
      </c>
      <c r="E1469" t="s">
        <v>10471</v>
      </c>
      <c r="F1469" t="s">
        <v>137</v>
      </c>
      <c r="G1469">
        <v>201</v>
      </c>
      <c r="H1469">
        <v>300</v>
      </c>
      <c r="I1469" s="5" t="s">
        <v>10472</v>
      </c>
      <c r="J1469" s="5" t="s">
        <v>10473</v>
      </c>
      <c r="K1469" s="5" t="str">
        <f t="shared" si="44"/>
        <v>https://www.google.com/maps?q=-11.551448, -41.156563</v>
      </c>
      <c r="L1469" s="5" t="str">
        <f t="shared" si="45"/>
        <v>Abrir no Maps</v>
      </c>
      <c r="M1469" t="s">
        <v>10474</v>
      </c>
      <c r="N1469" s="5"/>
      <c r="O1469" t="str">
        <f>VLOOKUP(G1469,'[1]CONFIG.'!$B:$C,2,0)</f>
        <v>EDSON</v>
      </c>
      <c r="P1469" t="str">
        <f>VLOOKUP(O1469,'[1]CONFIG.'!$C:$D,2,0)</f>
        <v>74 99403278</v>
      </c>
    </row>
    <row r="1470" spans="1:16" x14ac:dyDescent="0.3">
      <c r="A1470" t="s">
        <v>10475</v>
      </c>
      <c r="B1470" t="s">
        <v>10476</v>
      </c>
      <c r="C1470" t="s">
        <v>10477</v>
      </c>
      <c r="D1470" t="s">
        <v>429</v>
      </c>
      <c r="E1470" t="s">
        <v>10478</v>
      </c>
      <c r="F1470" t="s">
        <v>10479</v>
      </c>
      <c r="G1470">
        <v>201</v>
      </c>
      <c r="H1470">
        <v>300</v>
      </c>
      <c r="I1470" s="5" t="s">
        <v>10480</v>
      </c>
      <c r="J1470" s="5" t="s">
        <v>10481</v>
      </c>
      <c r="K1470" s="5" t="str">
        <f t="shared" si="44"/>
        <v>https://www.google.com/maps?q=-11.539384, -41.172665</v>
      </c>
      <c r="L1470" s="5" t="str">
        <f t="shared" si="45"/>
        <v>Abrir no Maps</v>
      </c>
      <c r="M1470" t="s">
        <v>10482</v>
      </c>
      <c r="N1470" s="5"/>
      <c r="O1470" t="str">
        <f>VLOOKUP(G1470,'[1]CONFIG.'!$B:$C,2,0)</f>
        <v>EDSON</v>
      </c>
      <c r="P1470" t="str">
        <f>VLOOKUP(O1470,'[1]CONFIG.'!$C:$D,2,0)</f>
        <v>74 99403278</v>
      </c>
    </row>
    <row r="1471" spans="1:16" x14ac:dyDescent="0.3">
      <c r="A1471" t="s">
        <v>10483</v>
      </c>
      <c r="B1471" t="s">
        <v>10484</v>
      </c>
      <c r="C1471" t="s">
        <v>10485</v>
      </c>
      <c r="D1471" t="s">
        <v>429</v>
      </c>
      <c r="E1471" t="s">
        <v>10486</v>
      </c>
      <c r="F1471" t="s">
        <v>10428</v>
      </c>
      <c r="G1471">
        <v>201</v>
      </c>
      <c r="H1471">
        <v>300</v>
      </c>
      <c r="I1471" s="5" t="s">
        <v>10487</v>
      </c>
      <c r="J1471" s="5" t="s">
        <v>10488</v>
      </c>
      <c r="K1471" s="5" t="str">
        <f t="shared" si="44"/>
        <v>https://www.google.com/maps?q=-11.547836, -41.161068</v>
      </c>
      <c r="L1471" s="5" t="str">
        <f t="shared" si="45"/>
        <v>Abrir no Maps</v>
      </c>
      <c r="M1471" t="s">
        <v>10489</v>
      </c>
      <c r="N1471" s="5"/>
      <c r="O1471" t="str">
        <f>VLOOKUP(G1471,'[1]CONFIG.'!$B:$C,2,0)</f>
        <v>EDSON</v>
      </c>
      <c r="P1471" t="str">
        <f>VLOOKUP(O1471,'[1]CONFIG.'!$C:$D,2,0)</f>
        <v>74 99403278</v>
      </c>
    </row>
    <row r="1472" spans="1:16" x14ac:dyDescent="0.3">
      <c r="A1472" t="s">
        <v>10490</v>
      </c>
      <c r="B1472" t="s">
        <v>10491</v>
      </c>
      <c r="C1472" t="s">
        <v>10492</v>
      </c>
      <c r="D1472" t="s">
        <v>429</v>
      </c>
      <c r="E1472" t="s">
        <v>10493</v>
      </c>
      <c r="F1472" t="s">
        <v>10464</v>
      </c>
      <c r="G1472">
        <v>201</v>
      </c>
      <c r="H1472">
        <v>300</v>
      </c>
      <c r="I1472" s="5" t="s">
        <v>10494</v>
      </c>
      <c r="J1472" s="5" t="s">
        <v>10495</v>
      </c>
      <c r="K1472" s="5" t="str">
        <f t="shared" si="44"/>
        <v>https://www.google.com/maps?q=-11.546389, -41.152500</v>
      </c>
      <c r="L1472" s="5" t="str">
        <f t="shared" si="45"/>
        <v>Abrir no Maps</v>
      </c>
      <c r="M1472" t="s">
        <v>10496</v>
      </c>
      <c r="N1472" s="5"/>
      <c r="O1472" t="str">
        <f>VLOOKUP(G1472,'[1]CONFIG.'!$B:$C,2,0)</f>
        <v>EDSON</v>
      </c>
      <c r="P1472" t="str">
        <f>VLOOKUP(O1472,'[1]CONFIG.'!$C:$D,2,0)</f>
        <v>74 99403278</v>
      </c>
    </row>
    <row r="1473" spans="1:16" x14ac:dyDescent="0.3">
      <c r="A1473" t="s">
        <v>10497</v>
      </c>
      <c r="B1473" t="s">
        <v>10498</v>
      </c>
      <c r="C1473" t="s">
        <v>10499</v>
      </c>
      <c r="D1473" t="s">
        <v>8047</v>
      </c>
      <c r="E1473" t="s">
        <v>10500</v>
      </c>
      <c r="F1473" t="s">
        <v>8084</v>
      </c>
      <c r="G1473">
        <v>214</v>
      </c>
      <c r="H1473">
        <v>200</v>
      </c>
      <c r="I1473" s="5" t="s">
        <v>10501</v>
      </c>
      <c r="J1473" s="5" t="s">
        <v>10502</v>
      </c>
      <c r="K1473" s="5" t="str">
        <f t="shared" si="44"/>
        <v>https://www.google.com/maps?q=-10.978590, -42.357554</v>
      </c>
      <c r="L1473" s="5" t="str">
        <f t="shared" si="45"/>
        <v>Abrir no Maps</v>
      </c>
      <c r="M1473" t="s">
        <v>10503</v>
      </c>
      <c r="N1473" s="5"/>
      <c r="O1473" t="str">
        <f>VLOOKUP(G1473,'[1]CONFIG.'!$B:$C,2,0)</f>
        <v>GEOVANA</v>
      </c>
      <c r="P1473" t="str">
        <f>VLOOKUP(O1473,'[1]CONFIG.'!$C:$D,2,0)</f>
        <v>74 99523491</v>
      </c>
    </row>
    <row r="1474" spans="1:16" x14ac:dyDescent="0.3">
      <c r="A1474" t="s">
        <v>10504</v>
      </c>
      <c r="B1474" t="s">
        <v>10505</v>
      </c>
      <c r="C1474" t="s">
        <v>10506</v>
      </c>
      <c r="D1474" t="s">
        <v>429</v>
      </c>
      <c r="E1474" t="s">
        <v>10507</v>
      </c>
      <c r="F1474" t="s">
        <v>10428</v>
      </c>
      <c r="G1474">
        <v>201</v>
      </c>
      <c r="H1474">
        <v>300</v>
      </c>
      <c r="I1474" s="5" t="s">
        <v>10508</v>
      </c>
      <c r="J1474" s="5" t="s">
        <v>10509</v>
      </c>
      <c r="K1474" s="5" t="str">
        <f t="shared" si="44"/>
        <v>https://www.google.com/maps?q=-11.544976, -41.164074</v>
      </c>
      <c r="L1474" s="5" t="str">
        <f t="shared" si="45"/>
        <v>Abrir no Maps</v>
      </c>
      <c r="M1474" t="s">
        <v>10510</v>
      </c>
      <c r="N1474" s="5"/>
      <c r="O1474" t="str">
        <f>VLOOKUP(G1474,'[1]CONFIG.'!$B:$C,2,0)</f>
        <v>EDSON</v>
      </c>
      <c r="P1474" t="str">
        <f>VLOOKUP(O1474,'[1]CONFIG.'!$C:$D,2,0)</f>
        <v>74 99403278</v>
      </c>
    </row>
    <row r="1475" spans="1:16" x14ac:dyDescent="0.3">
      <c r="A1475" t="s">
        <v>10511</v>
      </c>
      <c r="B1475" t="s">
        <v>10512</v>
      </c>
      <c r="C1475" t="s">
        <v>10513</v>
      </c>
      <c r="D1475" t="s">
        <v>429</v>
      </c>
      <c r="E1475" t="s">
        <v>10514</v>
      </c>
      <c r="F1475" t="s">
        <v>137</v>
      </c>
      <c r="G1475">
        <v>201</v>
      </c>
      <c r="H1475">
        <v>300</v>
      </c>
      <c r="I1475" s="5" t="s">
        <v>10515</v>
      </c>
      <c r="J1475" s="5" t="s">
        <v>10516</v>
      </c>
      <c r="K1475" s="5" t="str">
        <f t="shared" si="44"/>
        <v>https://www.google.com/maps?q=-11.544640, -41.170460</v>
      </c>
      <c r="L1475" s="5" t="str">
        <f t="shared" si="45"/>
        <v>Abrir no Maps</v>
      </c>
      <c r="M1475">
        <v>0</v>
      </c>
      <c r="N1475" s="5"/>
      <c r="O1475" t="str">
        <f>VLOOKUP(G1475,'[1]CONFIG.'!$B:$C,2,0)</f>
        <v>EDSON</v>
      </c>
      <c r="P1475" t="str">
        <f>VLOOKUP(O1475,'[1]CONFIG.'!$C:$D,2,0)</f>
        <v>74 99403278</v>
      </c>
    </row>
    <row r="1476" spans="1:16" x14ac:dyDescent="0.3">
      <c r="A1476" t="s">
        <v>10517</v>
      </c>
      <c r="B1476" t="s">
        <v>10518</v>
      </c>
      <c r="C1476" t="s">
        <v>10519</v>
      </c>
      <c r="D1476" t="s">
        <v>429</v>
      </c>
      <c r="E1476" t="s">
        <v>10520</v>
      </c>
      <c r="F1476" t="s">
        <v>10521</v>
      </c>
      <c r="G1476">
        <v>201</v>
      </c>
      <c r="H1476">
        <v>300</v>
      </c>
      <c r="I1476" s="5" t="s">
        <v>10522</v>
      </c>
      <c r="J1476" s="5" t="s">
        <v>10523</v>
      </c>
      <c r="K1476" s="5" t="str">
        <f t="shared" ref="K1476:K1539" si="46">"https://www.google.com/maps?q="&amp;""&amp;LEFT(I1476,3)&amp;"."&amp;RIGHT(I1476,6)&amp;", "&amp;LEFT(J1476,3)&amp;"."&amp;RIGHT(J1476,6)</f>
        <v>https://www.google.com/maps?q=-11.547995, -41.167572</v>
      </c>
      <c r="L1476" s="5" t="str">
        <f t="shared" ref="L1476:L1539" si="47">HYPERLINK(K1476,"Abrir no Maps")</f>
        <v>Abrir no Maps</v>
      </c>
      <c r="M1476" t="s">
        <v>10524</v>
      </c>
      <c r="N1476" s="5"/>
      <c r="O1476" t="str">
        <f>VLOOKUP(G1476,'[1]CONFIG.'!$B:$C,2,0)</f>
        <v>EDSON</v>
      </c>
      <c r="P1476" t="str">
        <f>VLOOKUP(O1476,'[1]CONFIG.'!$C:$D,2,0)</f>
        <v>74 99403278</v>
      </c>
    </row>
    <row r="1477" spans="1:16" x14ac:dyDescent="0.3">
      <c r="A1477" t="s">
        <v>10525</v>
      </c>
      <c r="B1477" t="s">
        <v>10526</v>
      </c>
      <c r="C1477" t="s">
        <v>10527</v>
      </c>
      <c r="D1477" t="s">
        <v>429</v>
      </c>
      <c r="E1477" t="s">
        <v>10528</v>
      </c>
      <c r="F1477" t="s">
        <v>137</v>
      </c>
      <c r="G1477">
        <v>201</v>
      </c>
      <c r="H1477">
        <v>300</v>
      </c>
      <c r="I1477" s="5" t="s">
        <v>10529</v>
      </c>
      <c r="J1477" s="5" t="s">
        <v>10530</v>
      </c>
      <c r="K1477" s="5" t="str">
        <f t="shared" si="46"/>
        <v>https://www.google.com/maps?q=-11.548094, -41.159054</v>
      </c>
      <c r="L1477" s="5" t="str">
        <f t="shared" si="47"/>
        <v>Abrir no Maps</v>
      </c>
      <c r="M1477" t="s">
        <v>10531</v>
      </c>
      <c r="N1477" s="5"/>
      <c r="O1477" t="str">
        <f>VLOOKUP(G1477,'[1]CONFIG.'!$B:$C,2,0)</f>
        <v>EDSON</v>
      </c>
      <c r="P1477" t="str">
        <f>VLOOKUP(O1477,'[1]CONFIG.'!$C:$D,2,0)</f>
        <v>74 99403278</v>
      </c>
    </row>
    <row r="1478" spans="1:16" x14ac:dyDescent="0.3">
      <c r="A1478" t="s">
        <v>10532</v>
      </c>
      <c r="B1478" t="s">
        <v>10533</v>
      </c>
      <c r="C1478" t="s">
        <v>10534</v>
      </c>
      <c r="D1478" t="s">
        <v>429</v>
      </c>
      <c r="E1478" t="s">
        <v>10535</v>
      </c>
      <c r="F1478" t="s">
        <v>137</v>
      </c>
      <c r="G1478">
        <v>201</v>
      </c>
      <c r="H1478">
        <v>300</v>
      </c>
      <c r="I1478" s="5" t="s">
        <v>10536</v>
      </c>
      <c r="J1478" s="5" t="s">
        <v>10537</v>
      </c>
      <c r="K1478" s="5" t="str">
        <f t="shared" si="46"/>
        <v>https://www.google.com/maps?q=-11.551495, -41.158060</v>
      </c>
      <c r="L1478" s="5" t="str">
        <f t="shared" si="47"/>
        <v>Abrir no Maps</v>
      </c>
      <c r="M1478" t="s">
        <v>10538</v>
      </c>
      <c r="N1478" s="5"/>
      <c r="O1478" t="str">
        <f>VLOOKUP(G1478,'[1]CONFIG.'!$B:$C,2,0)</f>
        <v>EDSON</v>
      </c>
      <c r="P1478" t="str">
        <f>VLOOKUP(O1478,'[1]CONFIG.'!$C:$D,2,0)</f>
        <v>74 99403278</v>
      </c>
    </row>
    <row r="1479" spans="1:16" x14ac:dyDescent="0.3">
      <c r="A1479" t="s">
        <v>10539</v>
      </c>
      <c r="B1479" t="s">
        <v>10540</v>
      </c>
      <c r="C1479" t="s">
        <v>10541</v>
      </c>
      <c r="D1479" t="s">
        <v>429</v>
      </c>
      <c r="E1479" t="s">
        <v>10542</v>
      </c>
      <c r="F1479" t="s">
        <v>137</v>
      </c>
      <c r="G1479">
        <v>201</v>
      </c>
      <c r="H1479">
        <v>300</v>
      </c>
      <c r="I1479" s="5" t="s">
        <v>10529</v>
      </c>
      <c r="J1479" s="5" t="s">
        <v>10530</v>
      </c>
      <c r="K1479" s="5" t="str">
        <f t="shared" si="46"/>
        <v>https://www.google.com/maps?q=-11.548094, -41.159054</v>
      </c>
      <c r="L1479" s="5" t="str">
        <f t="shared" si="47"/>
        <v>Abrir no Maps</v>
      </c>
      <c r="M1479" t="s">
        <v>10543</v>
      </c>
      <c r="N1479" s="5"/>
      <c r="O1479" t="str">
        <f>VLOOKUP(G1479,'[1]CONFIG.'!$B:$C,2,0)</f>
        <v>EDSON</v>
      </c>
      <c r="P1479" t="str">
        <f>VLOOKUP(O1479,'[1]CONFIG.'!$C:$D,2,0)</f>
        <v>74 99403278</v>
      </c>
    </row>
    <row r="1480" spans="1:16" x14ac:dyDescent="0.3">
      <c r="A1480" t="s">
        <v>10544</v>
      </c>
      <c r="B1480" t="s">
        <v>10545</v>
      </c>
      <c r="C1480" t="s">
        <v>10546</v>
      </c>
      <c r="D1480" t="s">
        <v>429</v>
      </c>
      <c r="E1480" t="s">
        <v>10547</v>
      </c>
      <c r="F1480" t="s">
        <v>137</v>
      </c>
      <c r="G1480">
        <v>201</v>
      </c>
      <c r="H1480">
        <v>300</v>
      </c>
      <c r="I1480" s="5" t="s">
        <v>10548</v>
      </c>
      <c r="J1480" s="5" t="s">
        <v>10549</v>
      </c>
      <c r="K1480" s="5" t="str">
        <f t="shared" si="46"/>
        <v>https://www.google.com/maps?q=-11.551607, -41.154940</v>
      </c>
      <c r="L1480" s="5" t="str">
        <f t="shared" si="47"/>
        <v>Abrir no Maps</v>
      </c>
      <c r="M1480" t="s">
        <v>10550</v>
      </c>
      <c r="N1480" s="5"/>
      <c r="O1480" t="str">
        <f>VLOOKUP(G1480,'[1]CONFIG.'!$B:$C,2,0)</f>
        <v>EDSON</v>
      </c>
      <c r="P1480" t="str">
        <f>VLOOKUP(O1480,'[1]CONFIG.'!$C:$D,2,0)</f>
        <v>74 99403278</v>
      </c>
    </row>
    <row r="1481" spans="1:16" x14ac:dyDescent="0.3">
      <c r="A1481" t="s">
        <v>10551</v>
      </c>
      <c r="B1481" t="s">
        <v>10552</v>
      </c>
      <c r="C1481" t="s">
        <v>10553</v>
      </c>
      <c r="D1481" t="s">
        <v>429</v>
      </c>
      <c r="E1481" t="s">
        <v>10554</v>
      </c>
      <c r="F1481" t="s">
        <v>137</v>
      </c>
      <c r="G1481">
        <v>201</v>
      </c>
      <c r="H1481">
        <v>300</v>
      </c>
      <c r="I1481" s="5" t="s">
        <v>10555</v>
      </c>
      <c r="J1481" s="5" t="s">
        <v>10556</v>
      </c>
      <c r="K1481" s="5" t="str">
        <f t="shared" si="46"/>
        <v>https://www.google.com/maps?q=-11.549613, -41.160793</v>
      </c>
      <c r="L1481" s="5" t="str">
        <f t="shared" si="47"/>
        <v>Abrir no Maps</v>
      </c>
      <c r="M1481" t="s">
        <v>10557</v>
      </c>
      <c r="N1481" s="5"/>
      <c r="O1481" t="str">
        <f>VLOOKUP(G1481,'[1]CONFIG.'!$B:$C,2,0)</f>
        <v>EDSON</v>
      </c>
      <c r="P1481" t="str">
        <f>VLOOKUP(O1481,'[1]CONFIG.'!$C:$D,2,0)</f>
        <v>74 99403278</v>
      </c>
    </row>
    <row r="1482" spans="1:16" x14ac:dyDescent="0.3">
      <c r="A1482" t="s">
        <v>10558</v>
      </c>
      <c r="B1482" t="s">
        <v>10559</v>
      </c>
      <c r="C1482" t="s">
        <v>10560</v>
      </c>
      <c r="D1482" t="s">
        <v>429</v>
      </c>
      <c r="E1482" t="s">
        <v>10561</v>
      </c>
      <c r="F1482" t="s">
        <v>137</v>
      </c>
      <c r="G1482">
        <v>201</v>
      </c>
      <c r="H1482">
        <v>300</v>
      </c>
      <c r="I1482" s="5" t="s">
        <v>10562</v>
      </c>
      <c r="J1482" s="5" t="s">
        <v>10563</v>
      </c>
      <c r="K1482" s="5" t="str">
        <f t="shared" si="46"/>
        <v>https://www.google.com/maps?q=-11.548021, -41.159122</v>
      </c>
      <c r="L1482" s="5" t="str">
        <f t="shared" si="47"/>
        <v>Abrir no Maps</v>
      </c>
      <c r="M1482" t="s">
        <v>10564</v>
      </c>
      <c r="N1482" s="5"/>
      <c r="O1482" t="str">
        <f>VLOOKUP(G1482,'[1]CONFIG.'!$B:$C,2,0)</f>
        <v>EDSON</v>
      </c>
      <c r="P1482" t="str">
        <f>VLOOKUP(O1482,'[1]CONFIG.'!$C:$D,2,0)</f>
        <v>74 99403278</v>
      </c>
    </row>
    <row r="1483" spans="1:16" x14ac:dyDescent="0.3">
      <c r="A1483" t="s">
        <v>10565</v>
      </c>
      <c r="B1483" t="s">
        <v>10566</v>
      </c>
      <c r="C1483" t="s">
        <v>10567</v>
      </c>
      <c r="D1483" t="s">
        <v>5973</v>
      </c>
      <c r="E1483" t="s">
        <v>10568</v>
      </c>
      <c r="F1483" t="s">
        <v>137</v>
      </c>
      <c r="G1483">
        <v>202</v>
      </c>
      <c r="H1483">
        <v>500</v>
      </c>
      <c r="I1483" s="5" t="s">
        <v>10569</v>
      </c>
      <c r="J1483" s="5" t="s">
        <v>10570</v>
      </c>
      <c r="K1483" s="5" t="str">
        <f t="shared" si="46"/>
        <v>https://www.google.com/maps?q=-11.968904, -41.641070</v>
      </c>
      <c r="L1483" s="5" t="str">
        <f t="shared" si="47"/>
        <v>Abrir no Maps</v>
      </c>
      <c r="M1483" t="s">
        <v>10571</v>
      </c>
      <c r="N1483" s="5"/>
      <c r="O1483" t="str">
        <f>VLOOKUP(G1483,'[1]CONFIG.'!$B:$C,2,0)</f>
        <v>ARISTON</v>
      </c>
      <c r="P1483" t="str">
        <f>VLOOKUP(O1483,'[1]CONFIG.'!$C:$D,2,0)</f>
        <v>74 99384078</v>
      </c>
    </row>
    <row r="1484" spans="1:16" x14ac:dyDescent="0.3">
      <c r="A1484" t="s">
        <v>10572</v>
      </c>
      <c r="B1484" t="s">
        <v>10573</v>
      </c>
      <c r="C1484" t="s">
        <v>10574</v>
      </c>
      <c r="D1484" t="s">
        <v>429</v>
      </c>
      <c r="E1484" t="s">
        <v>10575</v>
      </c>
      <c r="F1484" t="s">
        <v>137</v>
      </c>
      <c r="G1484">
        <v>201</v>
      </c>
      <c r="H1484">
        <v>300</v>
      </c>
      <c r="I1484" s="5" t="s">
        <v>10576</v>
      </c>
      <c r="J1484" s="5" t="s">
        <v>10577</v>
      </c>
      <c r="K1484" s="5" t="str">
        <f t="shared" si="46"/>
        <v>https://www.google.com/maps?q=-11.548451, -41.161304</v>
      </c>
      <c r="L1484" s="5" t="str">
        <f t="shared" si="47"/>
        <v>Abrir no Maps</v>
      </c>
      <c r="M1484" t="s">
        <v>10578</v>
      </c>
      <c r="N1484" s="5"/>
      <c r="O1484" t="str">
        <f>VLOOKUP(G1484,'[1]CONFIG.'!$B:$C,2,0)</f>
        <v>EDSON</v>
      </c>
      <c r="P1484" t="str">
        <f>VLOOKUP(O1484,'[1]CONFIG.'!$C:$D,2,0)</f>
        <v>74 99403278</v>
      </c>
    </row>
    <row r="1485" spans="1:16" x14ac:dyDescent="0.3">
      <c r="A1485" t="s">
        <v>10579</v>
      </c>
      <c r="B1485" t="s">
        <v>10580</v>
      </c>
      <c r="C1485" t="s">
        <v>10581</v>
      </c>
      <c r="D1485" t="s">
        <v>429</v>
      </c>
      <c r="E1485" t="s">
        <v>10582</v>
      </c>
      <c r="F1485" t="s">
        <v>137</v>
      </c>
      <c r="G1485">
        <v>201</v>
      </c>
      <c r="H1485">
        <v>300</v>
      </c>
      <c r="I1485" s="5" t="s">
        <v>10583</v>
      </c>
      <c r="J1485" s="5" t="s">
        <v>10584</v>
      </c>
      <c r="K1485" s="5" t="str">
        <f t="shared" si="46"/>
        <v>https://www.google.com/maps?q=-11.551262, -41.149857</v>
      </c>
      <c r="L1485" s="5" t="str">
        <f t="shared" si="47"/>
        <v>Abrir no Maps</v>
      </c>
      <c r="M1485" t="s">
        <v>10585</v>
      </c>
      <c r="N1485" s="5"/>
      <c r="O1485" t="str">
        <f>VLOOKUP(G1485,'[1]CONFIG.'!$B:$C,2,0)</f>
        <v>EDSON</v>
      </c>
      <c r="P1485" t="str">
        <f>VLOOKUP(O1485,'[1]CONFIG.'!$C:$D,2,0)</f>
        <v>74 99403278</v>
      </c>
    </row>
    <row r="1486" spans="1:16" x14ac:dyDescent="0.3">
      <c r="A1486" t="s">
        <v>10586</v>
      </c>
      <c r="B1486" t="s">
        <v>10587</v>
      </c>
      <c r="C1486" t="s">
        <v>10588</v>
      </c>
      <c r="D1486" t="s">
        <v>429</v>
      </c>
      <c r="E1486" t="s">
        <v>10589</v>
      </c>
      <c r="F1486" t="s">
        <v>137</v>
      </c>
      <c r="G1486">
        <v>201</v>
      </c>
      <c r="H1486">
        <v>300</v>
      </c>
      <c r="I1486" s="5" t="s">
        <v>10590</v>
      </c>
      <c r="J1486" s="5" t="s">
        <v>10591</v>
      </c>
      <c r="K1486" s="5" t="str">
        <f t="shared" si="46"/>
        <v>https://www.google.com/maps?q=-11.548614, -41.159218</v>
      </c>
      <c r="L1486" s="5" t="str">
        <f t="shared" si="47"/>
        <v>Abrir no Maps</v>
      </c>
      <c r="M1486" t="s">
        <v>10592</v>
      </c>
      <c r="N1486" s="5"/>
      <c r="O1486" t="str">
        <f>VLOOKUP(G1486,'[1]CONFIG.'!$B:$C,2,0)</f>
        <v>EDSON</v>
      </c>
      <c r="P1486" t="str">
        <f>VLOOKUP(O1486,'[1]CONFIG.'!$C:$D,2,0)</f>
        <v>74 99403278</v>
      </c>
    </row>
    <row r="1487" spans="1:16" x14ac:dyDescent="0.3">
      <c r="A1487" t="s">
        <v>10593</v>
      </c>
      <c r="B1487" t="s">
        <v>10594</v>
      </c>
      <c r="C1487" t="s">
        <v>10595</v>
      </c>
      <c r="D1487" t="s">
        <v>429</v>
      </c>
      <c r="E1487" t="s">
        <v>10596</v>
      </c>
      <c r="F1487" t="s">
        <v>137</v>
      </c>
      <c r="G1487">
        <v>201</v>
      </c>
      <c r="H1487">
        <v>300</v>
      </c>
      <c r="I1487" s="5" t="s">
        <v>10597</v>
      </c>
      <c r="J1487" s="5" t="s">
        <v>10598</v>
      </c>
      <c r="K1487" s="5" t="str">
        <f t="shared" si="46"/>
        <v>https://www.google.com/maps?q=-11.550167, -41.157470</v>
      </c>
      <c r="L1487" s="5" t="str">
        <f t="shared" si="47"/>
        <v>Abrir no Maps</v>
      </c>
      <c r="M1487" t="s">
        <v>10599</v>
      </c>
      <c r="N1487" s="5"/>
      <c r="O1487" t="str">
        <f>VLOOKUP(G1487,'[1]CONFIG.'!$B:$C,2,0)</f>
        <v>EDSON</v>
      </c>
      <c r="P1487" t="str">
        <f>VLOOKUP(O1487,'[1]CONFIG.'!$C:$D,2,0)</f>
        <v>74 99403278</v>
      </c>
    </row>
    <row r="1488" spans="1:16" x14ac:dyDescent="0.3">
      <c r="A1488" t="s">
        <v>10600</v>
      </c>
      <c r="B1488" t="s">
        <v>4263</v>
      </c>
      <c r="C1488" t="s">
        <v>10601</v>
      </c>
      <c r="D1488" t="s">
        <v>429</v>
      </c>
      <c r="E1488" t="s">
        <v>10602</v>
      </c>
      <c r="F1488" t="s">
        <v>137</v>
      </c>
      <c r="G1488">
        <v>201</v>
      </c>
      <c r="H1488">
        <v>300</v>
      </c>
      <c r="I1488" s="5" t="s">
        <v>10603</v>
      </c>
      <c r="J1488" s="5" t="s">
        <v>10604</v>
      </c>
      <c r="K1488" s="5" t="str">
        <f t="shared" si="46"/>
        <v>https://www.google.com/maps?q=-11.546578, -41.173275</v>
      </c>
      <c r="L1488" s="5" t="str">
        <f t="shared" si="47"/>
        <v>Abrir no Maps</v>
      </c>
      <c r="M1488" t="s">
        <v>10605</v>
      </c>
      <c r="N1488" s="5"/>
      <c r="O1488" t="str">
        <f>VLOOKUP(G1488,'[1]CONFIG.'!$B:$C,2,0)</f>
        <v>EDSON</v>
      </c>
      <c r="P1488" t="str">
        <f>VLOOKUP(O1488,'[1]CONFIG.'!$C:$D,2,0)</f>
        <v>74 99403278</v>
      </c>
    </row>
    <row r="1489" spans="1:16" x14ac:dyDescent="0.3">
      <c r="A1489" t="s">
        <v>10606</v>
      </c>
      <c r="B1489" t="s">
        <v>10607</v>
      </c>
      <c r="C1489" t="s">
        <v>10608</v>
      </c>
      <c r="D1489" t="s">
        <v>429</v>
      </c>
      <c r="E1489" t="s">
        <v>10609</v>
      </c>
      <c r="F1489" t="s">
        <v>429</v>
      </c>
      <c r="G1489">
        <v>201</v>
      </c>
      <c r="H1489">
        <v>300</v>
      </c>
      <c r="I1489" s="5" t="s">
        <v>10610</v>
      </c>
      <c r="J1489" s="5" t="s">
        <v>10611</v>
      </c>
      <c r="K1489" s="5" t="str">
        <f t="shared" si="46"/>
        <v>https://www.google.com/maps?q=-11.544785, -41.162178</v>
      </c>
      <c r="L1489" s="5" t="str">
        <f t="shared" si="47"/>
        <v>Abrir no Maps</v>
      </c>
      <c r="M1489" t="s">
        <v>10612</v>
      </c>
      <c r="N1489" s="5"/>
      <c r="O1489" t="str">
        <f>VLOOKUP(G1489,'[1]CONFIG.'!$B:$C,2,0)</f>
        <v>EDSON</v>
      </c>
      <c r="P1489" t="str">
        <f>VLOOKUP(O1489,'[1]CONFIG.'!$C:$D,2,0)</f>
        <v>74 99403278</v>
      </c>
    </row>
    <row r="1490" spans="1:16" x14ac:dyDescent="0.3">
      <c r="A1490" t="s">
        <v>10613</v>
      </c>
      <c r="B1490" t="s">
        <v>10614</v>
      </c>
      <c r="C1490" t="s">
        <v>10615</v>
      </c>
      <c r="D1490" t="s">
        <v>429</v>
      </c>
      <c r="E1490" t="s">
        <v>10616</v>
      </c>
      <c r="F1490" t="s">
        <v>10464</v>
      </c>
      <c r="G1490">
        <v>201</v>
      </c>
      <c r="H1490">
        <v>300</v>
      </c>
      <c r="I1490" s="5" t="s">
        <v>10617</v>
      </c>
      <c r="J1490" s="5" t="s">
        <v>10618</v>
      </c>
      <c r="K1490" s="5" t="str">
        <f t="shared" si="46"/>
        <v>https://www.google.com/maps?q=-11.547640, -41.149760</v>
      </c>
      <c r="L1490" s="5" t="str">
        <f t="shared" si="47"/>
        <v>Abrir no Maps</v>
      </c>
      <c r="M1490" t="s">
        <v>10619</v>
      </c>
      <c r="N1490" s="5"/>
      <c r="O1490" t="str">
        <f>VLOOKUP(G1490,'[1]CONFIG.'!$B:$C,2,0)</f>
        <v>EDSON</v>
      </c>
      <c r="P1490" t="str">
        <f>VLOOKUP(O1490,'[1]CONFIG.'!$C:$D,2,0)</f>
        <v>74 99403278</v>
      </c>
    </row>
    <row r="1491" spans="1:16" x14ac:dyDescent="0.3">
      <c r="A1491" t="s">
        <v>10620</v>
      </c>
      <c r="B1491" t="s">
        <v>10621</v>
      </c>
      <c r="C1491" t="s">
        <v>10622</v>
      </c>
      <c r="D1491" t="s">
        <v>429</v>
      </c>
      <c r="E1491" t="s">
        <v>10623</v>
      </c>
      <c r="F1491" t="s">
        <v>10521</v>
      </c>
      <c r="G1491">
        <v>201</v>
      </c>
      <c r="H1491">
        <v>300</v>
      </c>
      <c r="I1491" s="5" t="s">
        <v>10624</v>
      </c>
      <c r="J1491" s="5" t="s">
        <v>10625</v>
      </c>
      <c r="K1491" s="5" t="str">
        <f t="shared" si="46"/>
        <v>https://www.google.com/maps?q=-11.550487, -41.160930</v>
      </c>
      <c r="L1491" s="5" t="str">
        <f t="shared" si="47"/>
        <v>Abrir no Maps</v>
      </c>
      <c r="M1491">
        <v>0</v>
      </c>
      <c r="N1491" s="5"/>
      <c r="O1491" t="str">
        <f>VLOOKUP(G1491,'[1]CONFIG.'!$B:$C,2,0)</f>
        <v>EDSON</v>
      </c>
      <c r="P1491" t="str">
        <f>VLOOKUP(O1491,'[1]CONFIG.'!$C:$D,2,0)</f>
        <v>74 99403278</v>
      </c>
    </row>
    <row r="1492" spans="1:16" x14ac:dyDescent="0.3">
      <c r="A1492" t="s">
        <v>10626</v>
      </c>
      <c r="B1492" t="s">
        <v>10627</v>
      </c>
      <c r="C1492" t="s">
        <v>10628</v>
      </c>
      <c r="D1492" t="s">
        <v>429</v>
      </c>
      <c r="E1492" t="s">
        <v>10629</v>
      </c>
      <c r="F1492" t="s">
        <v>137</v>
      </c>
      <c r="G1492">
        <v>201</v>
      </c>
      <c r="H1492">
        <v>300</v>
      </c>
      <c r="I1492" s="5" t="s">
        <v>10630</v>
      </c>
      <c r="J1492" s="5" t="s">
        <v>10631</v>
      </c>
      <c r="K1492" s="5" t="str">
        <f t="shared" si="46"/>
        <v>https://www.google.com/maps?q=-11.550030, -41.153847</v>
      </c>
      <c r="L1492" s="5" t="str">
        <f t="shared" si="47"/>
        <v>Abrir no Maps</v>
      </c>
      <c r="M1492" t="s">
        <v>10632</v>
      </c>
      <c r="N1492" s="5"/>
      <c r="O1492" t="str">
        <f>VLOOKUP(G1492,'[1]CONFIG.'!$B:$C,2,0)</f>
        <v>EDSON</v>
      </c>
      <c r="P1492" t="str">
        <f>VLOOKUP(O1492,'[1]CONFIG.'!$C:$D,2,0)</f>
        <v>74 99403278</v>
      </c>
    </row>
    <row r="1493" spans="1:16" x14ac:dyDescent="0.3">
      <c r="A1493" t="s">
        <v>10633</v>
      </c>
      <c r="B1493" t="s">
        <v>10634</v>
      </c>
      <c r="C1493" t="s">
        <v>10635</v>
      </c>
      <c r="D1493" t="s">
        <v>429</v>
      </c>
      <c r="E1493" t="s">
        <v>10636</v>
      </c>
      <c r="F1493" t="s">
        <v>137</v>
      </c>
      <c r="G1493">
        <v>201</v>
      </c>
      <c r="H1493">
        <v>300</v>
      </c>
      <c r="I1493" s="5" t="s">
        <v>10637</v>
      </c>
      <c r="J1493" s="5" t="s">
        <v>10638</v>
      </c>
      <c r="K1493" s="5" t="str">
        <f t="shared" si="46"/>
        <v>https://www.google.com/maps?q=-11.553625, -41.163700</v>
      </c>
      <c r="L1493" s="5" t="str">
        <f t="shared" si="47"/>
        <v>Abrir no Maps</v>
      </c>
      <c r="M1493" t="s">
        <v>10639</v>
      </c>
      <c r="N1493" s="5"/>
      <c r="O1493" t="str">
        <f>VLOOKUP(G1493,'[1]CONFIG.'!$B:$C,2,0)</f>
        <v>EDSON</v>
      </c>
      <c r="P1493" t="str">
        <f>VLOOKUP(O1493,'[1]CONFIG.'!$C:$D,2,0)</f>
        <v>74 99403278</v>
      </c>
    </row>
    <row r="1494" spans="1:16" x14ac:dyDescent="0.3">
      <c r="A1494" t="s">
        <v>10640</v>
      </c>
      <c r="B1494" t="s">
        <v>10641</v>
      </c>
      <c r="C1494" t="s">
        <v>10642</v>
      </c>
      <c r="D1494" t="s">
        <v>429</v>
      </c>
      <c r="E1494" t="s">
        <v>10643</v>
      </c>
      <c r="F1494" t="s">
        <v>10644</v>
      </c>
      <c r="G1494">
        <v>213</v>
      </c>
      <c r="H1494">
        <v>300</v>
      </c>
      <c r="I1494" s="5" t="s">
        <v>10645</v>
      </c>
      <c r="J1494" s="5" t="s">
        <v>10646</v>
      </c>
      <c r="K1494" s="5" t="str">
        <f t="shared" si="46"/>
        <v>https://www.google.com/maps?q=-11.765434, -41.154576</v>
      </c>
      <c r="L1494" s="5" t="str">
        <f t="shared" si="47"/>
        <v>Abrir no Maps</v>
      </c>
      <c r="M1494" t="s">
        <v>10647</v>
      </c>
      <c r="N1494" s="5"/>
      <c r="O1494" t="str">
        <f>VLOOKUP(G1494,'[1]CONFIG.'!$B:$C,2,0)</f>
        <v>DANIEL</v>
      </c>
      <c r="P1494" t="str">
        <f>VLOOKUP(O1494,'[1]CONFIG.'!$C:$D,2,0)</f>
        <v>74 99461824</v>
      </c>
    </row>
    <row r="1495" spans="1:16" x14ac:dyDescent="0.3">
      <c r="A1495" t="s">
        <v>10648</v>
      </c>
      <c r="B1495" t="s">
        <v>10649</v>
      </c>
      <c r="C1495" t="s">
        <v>10650</v>
      </c>
      <c r="D1495" t="s">
        <v>429</v>
      </c>
      <c r="E1495" t="s">
        <v>10651</v>
      </c>
      <c r="F1495" t="s">
        <v>10652</v>
      </c>
      <c r="G1495">
        <v>205</v>
      </c>
      <c r="H1495">
        <v>300</v>
      </c>
      <c r="I1495" s="5" t="s">
        <v>10653</v>
      </c>
      <c r="J1495" s="5" t="s">
        <v>10654</v>
      </c>
      <c r="K1495" s="5" t="str">
        <f t="shared" si="46"/>
        <v>https://www.google.com/maps?q=-11.274416, -41.019329</v>
      </c>
      <c r="L1495" s="5" t="str">
        <f t="shared" si="47"/>
        <v>Abrir no Maps</v>
      </c>
      <c r="M1495" t="s">
        <v>10655</v>
      </c>
      <c r="N1495" s="5"/>
      <c r="O1495" t="str">
        <f>VLOOKUP(G1495,'[1]CONFIG.'!$B:$C,2,0)</f>
        <v>EMETIO</v>
      </c>
      <c r="P1495" t="str">
        <f>VLOOKUP(O1495,'[1]CONFIG.'!$C:$D,2,0)</f>
        <v>74 98039589</v>
      </c>
    </row>
    <row r="1496" spans="1:16" x14ac:dyDescent="0.3">
      <c r="A1496" t="s">
        <v>10656</v>
      </c>
      <c r="B1496" t="s">
        <v>10657</v>
      </c>
      <c r="C1496" t="s">
        <v>10658</v>
      </c>
      <c r="D1496" t="s">
        <v>429</v>
      </c>
      <c r="E1496" t="s">
        <v>10659</v>
      </c>
      <c r="F1496" t="s">
        <v>137</v>
      </c>
      <c r="G1496">
        <v>201</v>
      </c>
      <c r="H1496">
        <v>300</v>
      </c>
      <c r="I1496" s="5" t="s">
        <v>10660</v>
      </c>
      <c r="J1496" s="5" t="s">
        <v>10661</v>
      </c>
      <c r="K1496" s="5" t="str">
        <f t="shared" si="46"/>
        <v>https://www.google.com/maps?q=-11.548377, -41.159470</v>
      </c>
      <c r="L1496" s="5" t="str">
        <f t="shared" si="47"/>
        <v>Abrir no Maps</v>
      </c>
      <c r="M1496" t="s">
        <v>10662</v>
      </c>
      <c r="N1496" s="5"/>
      <c r="O1496" t="str">
        <f>VLOOKUP(G1496,'[1]CONFIG.'!$B:$C,2,0)</f>
        <v>EDSON</v>
      </c>
      <c r="P1496" t="str">
        <f>VLOOKUP(O1496,'[1]CONFIG.'!$C:$D,2,0)</f>
        <v>74 99403278</v>
      </c>
    </row>
    <row r="1497" spans="1:16" x14ac:dyDescent="0.3">
      <c r="A1497" t="s">
        <v>10663</v>
      </c>
      <c r="B1497" t="s">
        <v>10664</v>
      </c>
      <c r="C1497" t="s">
        <v>10665</v>
      </c>
      <c r="D1497" t="s">
        <v>429</v>
      </c>
      <c r="E1497" t="s">
        <v>10666</v>
      </c>
      <c r="F1497" t="s">
        <v>10667</v>
      </c>
      <c r="G1497">
        <v>213</v>
      </c>
      <c r="H1497">
        <v>300</v>
      </c>
      <c r="I1497" s="5" t="s">
        <v>10668</v>
      </c>
      <c r="J1497" s="5" t="s">
        <v>10669</v>
      </c>
      <c r="K1497" s="5" t="str">
        <f t="shared" si="46"/>
        <v>https://www.google.com/maps?q=-11.763141, -41.153720</v>
      </c>
      <c r="L1497" s="5" t="str">
        <f t="shared" si="47"/>
        <v>Abrir no Maps</v>
      </c>
      <c r="M1497" t="s">
        <v>10670</v>
      </c>
      <c r="N1497" s="5"/>
      <c r="O1497" t="str">
        <f>VLOOKUP(G1497,'[1]CONFIG.'!$B:$C,2,0)</f>
        <v>DANIEL</v>
      </c>
      <c r="P1497" t="str">
        <f>VLOOKUP(O1497,'[1]CONFIG.'!$C:$D,2,0)</f>
        <v>74 99461824</v>
      </c>
    </row>
    <row r="1498" spans="1:16" x14ac:dyDescent="0.3">
      <c r="A1498" t="s">
        <v>10671</v>
      </c>
      <c r="B1498" t="s">
        <v>10672</v>
      </c>
      <c r="C1498" t="s">
        <v>10673</v>
      </c>
      <c r="D1498" t="s">
        <v>429</v>
      </c>
      <c r="E1498" t="s">
        <v>10674</v>
      </c>
      <c r="F1498" t="s">
        <v>10675</v>
      </c>
      <c r="G1498">
        <v>201</v>
      </c>
      <c r="H1498">
        <v>300</v>
      </c>
      <c r="I1498" s="5" t="s">
        <v>10676</v>
      </c>
      <c r="J1498" s="5" t="s">
        <v>10677</v>
      </c>
      <c r="K1498" s="5" t="str">
        <f t="shared" si="46"/>
        <v>https://www.google.com/maps?q=-11.557054, -41.154951</v>
      </c>
      <c r="L1498" s="5" t="str">
        <f t="shared" si="47"/>
        <v>Abrir no Maps</v>
      </c>
      <c r="M1498" t="s">
        <v>10678</v>
      </c>
      <c r="N1498" s="5"/>
      <c r="O1498" t="str">
        <f>VLOOKUP(G1498,'[1]CONFIG.'!$B:$C,2,0)</f>
        <v>EDSON</v>
      </c>
      <c r="P1498" t="str">
        <f>VLOOKUP(O1498,'[1]CONFIG.'!$C:$D,2,0)</f>
        <v>74 99403278</v>
      </c>
    </row>
    <row r="1499" spans="1:16" x14ac:dyDescent="0.3">
      <c r="A1499" t="s">
        <v>10679</v>
      </c>
      <c r="B1499" t="s">
        <v>10680</v>
      </c>
      <c r="C1499" t="s">
        <v>10681</v>
      </c>
      <c r="D1499" t="s">
        <v>429</v>
      </c>
      <c r="E1499" t="s">
        <v>10682</v>
      </c>
      <c r="F1499" t="s">
        <v>10683</v>
      </c>
      <c r="G1499">
        <v>201</v>
      </c>
      <c r="H1499">
        <v>300</v>
      </c>
      <c r="I1499" s="5" t="s">
        <v>10684</v>
      </c>
      <c r="J1499" s="5" t="s">
        <v>10685</v>
      </c>
      <c r="K1499" s="5" t="str">
        <f t="shared" si="46"/>
        <v>https://www.google.com/maps?q=-11.546380, -41.173115</v>
      </c>
      <c r="L1499" s="5" t="str">
        <f t="shared" si="47"/>
        <v>Abrir no Maps</v>
      </c>
      <c r="M1499" t="s">
        <v>10686</v>
      </c>
      <c r="N1499" s="5"/>
      <c r="O1499" t="str">
        <f>VLOOKUP(G1499,'[1]CONFIG.'!$B:$C,2,0)</f>
        <v>EDSON</v>
      </c>
      <c r="P1499" t="str">
        <f>VLOOKUP(O1499,'[1]CONFIG.'!$C:$D,2,0)</f>
        <v>74 99403278</v>
      </c>
    </row>
    <row r="1500" spans="1:16" x14ac:dyDescent="0.3">
      <c r="A1500" t="s">
        <v>10687</v>
      </c>
      <c r="B1500" t="s">
        <v>10688</v>
      </c>
      <c r="C1500" t="s">
        <v>10689</v>
      </c>
      <c r="D1500" t="s">
        <v>429</v>
      </c>
      <c r="E1500" t="s">
        <v>10690</v>
      </c>
      <c r="F1500" t="s">
        <v>431</v>
      </c>
      <c r="G1500">
        <v>201</v>
      </c>
      <c r="H1500">
        <v>300</v>
      </c>
      <c r="I1500" s="5" t="s">
        <v>10691</v>
      </c>
      <c r="J1500" s="5" t="s">
        <v>10692</v>
      </c>
      <c r="K1500" s="5" t="str">
        <f t="shared" si="46"/>
        <v>https://www.google.com/maps?q=-11.542790, -41.155033</v>
      </c>
      <c r="L1500" s="5" t="str">
        <f t="shared" si="47"/>
        <v>Abrir no Maps</v>
      </c>
      <c r="M1500" t="s">
        <v>10693</v>
      </c>
      <c r="N1500" s="5"/>
      <c r="O1500" t="str">
        <f>VLOOKUP(G1500,'[1]CONFIG.'!$B:$C,2,0)</f>
        <v>EDSON</v>
      </c>
      <c r="P1500" t="str">
        <f>VLOOKUP(O1500,'[1]CONFIG.'!$C:$D,2,0)</f>
        <v>74 99403278</v>
      </c>
    </row>
    <row r="1501" spans="1:16" x14ac:dyDescent="0.3">
      <c r="A1501" t="s">
        <v>10694</v>
      </c>
      <c r="B1501" t="s">
        <v>10695</v>
      </c>
      <c r="C1501" t="s">
        <v>10696</v>
      </c>
      <c r="D1501" t="s">
        <v>429</v>
      </c>
      <c r="E1501" t="s">
        <v>10697</v>
      </c>
      <c r="F1501" t="s">
        <v>10464</v>
      </c>
      <c r="G1501">
        <v>201</v>
      </c>
      <c r="H1501">
        <v>300</v>
      </c>
      <c r="I1501" s="5" t="s">
        <v>10698</v>
      </c>
      <c r="J1501" s="5" t="s">
        <v>10699</v>
      </c>
      <c r="K1501" s="5" t="str">
        <f t="shared" si="46"/>
        <v>https://www.google.com/maps?q=-11.550731, -41.150314</v>
      </c>
      <c r="L1501" s="5" t="str">
        <f t="shared" si="47"/>
        <v>Abrir no Maps</v>
      </c>
      <c r="M1501" t="s">
        <v>10700</v>
      </c>
      <c r="N1501" s="5"/>
      <c r="O1501" t="str">
        <f>VLOOKUP(G1501,'[1]CONFIG.'!$B:$C,2,0)</f>
        <v>EDSON</v>
      </c>
      <c r="P1501" t="str">
        <f>VLOOKUP(O1501,'[1]CONFIG.'!$C:$D,2,0)</f>
        <v>74 99403278</v>
      </c>
    </row>
    <row r="1502" spans="1:16" x14ac:dyDescent="0.3">
      <c r="A1502" t="s">
        <v>10701</v>
      </c>
      <c r="B1502" t="s">
        <v>10702</v>
      </c>
      <c r="C1502" t="s">
        <v>10703</v>
      </c>
      <c r="D1502" t="s">
        <v>429</v>
      </c>
      <c r="E1502" t="s">
        <v>10704</v>
      </c>
      <c r="F1502" t="s">
        <v>137</v>
      </c>
      <c r="G1502">
        <v>201</v>
      </c>
      <c r="H1502">
        <v>300</v>
      </c>
      <c r="I1502" s="5" t="s">
        <v>10705</v>
      </c>
      <c r="J1502" s="5" t="s">
        <v>10706</v>
      </c>
      <c r="K1502" s="5" t="str">
        <f t="shared" si="46"/>
        <v>https://www.google.com/maps?q=-11.548147, -41.165772</v>
      </c>
      <c r="L1502" s="5" t="str">
        <f t="shared" si="47"/>
        <v>Abrir no Maps</v>
      </c>
      <c r="M1502" t="s">
        <v>10707</v>
      </c>
      <c r="N1502" s="5"/>
      <c r="O1502" t="str">
        <f>VLOOKUP(G1502,'[1]CONFIG.'!$B:$C,2,0)</f>
        <v>EDSON</v>
      </c>
      <c r="P1502" t="str">
        <f>VLOOKUP(O1502,'[1]CONFIG.'!$C:$D,2,0)</f>
        <v>74 99403278</v>
      </c>
    </row>
    <row r="1503" spans="1:16" x14ac:dyDescent="0.3">
      <c r="A1503" t="s">
        <v>10708</v>
      </c>
      <c r="B1503" t="s">
        <v>10709</v>
      </c>
      <c r="C1503" t="s">
        <v>10710</v>
      </c>
      <c r="D1503" t="s">
        <v>429</v>
      </c>
      <c r="E1503" t="s">
        <v>10711</v>
      </c>
      <c r="F1503" t="s">
        <v>137</v>
      </c>
      <c r="G1503">
        <v>201</v>
      </c>
      <c r="H1503">
        <v>300</v>
      </c>
      <c r="I1503" s="5" t="s">
        <v>10712</v>
      </c>
      <c r="J1503" s="5" t="s">
        <v>10713</v>
      </c>
      <c r="K1503" s="5" t="str">
        <f t="shared" si="46"/>
        <v>https://www.google.com/maps?q=-11.545812, -41.168094</v>
      </c>
      <c r="L1503" s="5" t="str">
        <f t="shared" si="47"/>
        <v>Abrir no Maps</v>
      </c>
      <c r="M1503" t="s">
        <v>10714</v>
      </c>
      <c r="N1503" s="5"/>
      <c r="O1503" t="str">
        <f>VLOOKUP(G1503,'[1]CONFIG.'!$B:$C,2,0)</f>
        <v>EDSON</v>
      </c>
      <c r="P1503" t="str">
        <f>VLOOKUP(O1503,'[1]CONFIG.'!$C:$D,2,0)</f>
        <v>74 99403278</v>
      </c>
    </row>
    <row r="1504" spans="1:16" x14ac:dyDescent="0.3">
      <c r="A1504" t="s">
        <v>10715</v>
      </c>
      <c r="B1504" t="s">
        <v>10716</v>
      </c>
      <c r="C1504" t="s">
        <v>10717</v>
      </c>
      <c r="D1504" t="s">
        <v>429</v>
      </c>
      <c r="E1504" t="s">
        <v>10718</v>
      </c>
      <c r="F1504" t="s">
        <v>429</v>
      </c>
      <c r="G1504">
        <v>201</v>
      </c>
      <c r="H1504">
        <v>300</v>
      </c>
      <c r="I1504" s="5" t="s">
        <v>10719</v>
      </c>
      <c r="J1504" s="5" t="s">
        <v>10720</v>
      </c>
      <c r="K1504" s="5" t="str">
        <f t="shared" si="46"/>
        <v>https://www.google.com/maps?q=-11.545105, -41.163364</v>
      </c>
      <c r="L1504" s="5" t="str">
        <f t="shared" si="47"/>
        <v>Abrir no Maps</v>
      </c>
      <c r="M1504" t="s">
        <v>10721</v>
      </c>
      <c r="N1504" s="5"/>
      <c r="O1504" t="str">
        <f>VLOOKUP(G1504,'[1]CONFIG.'!$B:$C,2,0)</f>
        <v>EDSON</v>
      </c>
      <c r="P1504" t="str">
        <f>VLOOKUP(O1504,'[1]CONFIG.'!$C:$D,2,0)</f>
        <v>74 99403278</v>
      </c>
    </row>
    <row r="1505" spans="1:16" x14ac:dyDescent="0.3">
      <c r="A1505" t="s">
        <v>10722</v>
      </c>
      <c r="B1505" t="s">
        <v>10723</v>
      </c>
      <c r="C1505" t="s">
        <v>10724</v>
      </c>
      <c r="D1505" t="s">
        <v>429</v>
      </c>
      <c r="E1505" t="s">
        <v>10725</v>
      </c>
      <c r="F1505" t="s">
        <v>137</v>
      </c>
      <c r="G1505">
        <v>201</v>
      </c>
      <c r="H1505">
        <v>300</v>
      </c>
      <c r="I1505" s="5" t="s">
        <v>10726</v>
      </c>
      <c r="J1505" s="5" t="s">
        <v>10727</v>
      </c>
      <c r="K1505" s="5" t="str">
        <f t="shared" si="46"/>
        <v>https://www.google.com/maps?q=-11.551913, -41.157673</v>
      </c>
      <c r="L1505" s="5" t="str">
        <f t="shared" si="47"/>
        <v>Abrir no Maps</v>
      </c>
      <c r="M1505" t="s">
        <v>10728</v>
      </c>
      <c r="N1505" s="5"/>
      <c r="O1505" t="str">
        <f>VLOOKUP(G1505,'[1]CONFIG.'!$B:$C,2,0)</f>
        <v>EDSON</v>
      </c>
      <c r="P1505" t="str">
        <f>VLOOKUP(O1505,'[1]CONFIG.'!$C:$D,2,0)</f>
        <v>74 99403278</v>
      </c>
    </row>
    <row r="1506" spans="1:16" x14ac:dyDescent="0.3">
      <c r="A1506" t="s">
        <v>10729</v>
      </c>
      <c r="B1506" t="s">
        <v>10730</v>
      </c>
      <c r="C1506" t="s">
        <v>10731</v>
      </c>
      <c r="D1506" t="s">
        <v>429</v>
      </c>
      <c r="E1506" t="s">
        <v>10732</v>
      </c>
      <c r="F1506" t="s">
        <v>10733</v>
      </c>
      <c r="G1506">
        <v>205</v>
      </c>
      <c r="H1506">
        <v>300</v>
      </c>
      <c r="I1506" s="5" t="s">
        <v>10734</v>
      </c>
      <c r="J1506" s="5" t="s">
        <v>10735</v>
      </c>
      <c r="K1506" s="5" t="str">
        <f t="shared" si="46"/>
        <v>https://www.google.com/maps?q=-11.446111, -41.381390</v>
      </c>
      <c r="L1506" s="5" t="str">
        <f t="shared" si="47"/>
        <v>Abrir no Maps</v>
      </c>
      <c r="M1506" t="s">
        <v>10736</v>
      </c>
      <c r="N1506" s="5"/>
      <c r="O1506" t="str">
        <f>VLOOKUP(G1506,'[1]CONFIG.'!$B:$C,2,0)</f>
        <v>EMETIO</v>
      </c>
      <c r="P1506" t="str">
        <f>VLOOKUP(O1506,'[1]CONFIG.'!$C:$D,2,0)</f>
        <v>74 98039589</v>
      </c>
    </row>
    <row r="1507" spans="1:16" x14ac:dyDescent="0.3">
      <c r="A1507" t="s">
        <v>10737</v>
      </c>
      <c r="B1507" t="s">
        <v>10738</v>
      </c>
      <c r="C1507" t="s">
        <v>10739</v>
      </c>
      <c r="D1507" t="s">
        <v>429</v>
      </c>
      <c r="E1507" t="s">
        <v>10740</v>
      </c>
      <c r="F1507" t="s">
        <v>10741</v>
      </c>
      <c r="G1507">
        <v>213</v>
      </c>
      <c r="H1507">
        <v>300</v>
      </c>
      <c r="I1507" s="5" t="s">
        <v>10742</v>
      </c>
      <c r="J1507" s="5" t="s">
        <v>10743</v>
      </c>
      <c r="K1507" s="5" t="str">
        <f t="shared" si="46"/>
        <v>https://www.google.com/maps?q=-11.765457, -41.154247</v>
      </c>
      <c r="L1507" s="5" t="str">
        <f t="shared" si="47"/>
        <v>Abrir no Maps</v>
      </c>
      <c r="M1507" t="s">
        <v>10744</v>
      </c>
      <c r="N1507" s="5"/>
      <c r="O1507" t="str">
        <f>VLOOKUP(G1507,'[1]CONFIG.'!$B:$C,2,0)</f>
        <v>DANIEL</v>
      </c>
      <c r="P1507" t="str">
        <f>VLOOKUP(O1507,'[1]CONFIG.'!$C:$D,2,0)</f>
        <v>74 99461824</v>
      </c>
    </row>
    <row r="1508" spans="1:16" x14ac:dyDescent="0.3">
      <c r="A1508" t="s">
        <v>10745</v>
      </c>
      <c r="B1508" t="s">
        <v>10746</v>
      </c>
      <c r="C1508" t="s">
        <v>10747</v>
      </c>
      <c r="D1508" t="s">
        <v>429</v>
      </c>
      <c r="E1508" t="s">
        <v>10748</v>
      </c>
      <c r="F1508" t="s">
        <v>429</v>
      </c>
      <c r="G1508">
        <v>205</v>
      </c>
      <c r="H1508">
        <v>300</v>
      </c>
      <c r="I1508" s="5" t="s">
        <v>10749</v>
      </c>
      <c r="J1508" s="5" t="s">
        <v>10750</v>
      </c>
      <c r="K1508" s="5" t="str">
        <f t="shared" si="46"/>
        <v>https://www.google.com/maps?q=-11.409722, -41.373055</v>
      </c>
      <c r="L1508" s="5" t="str">
        <f t="shared" si="47"/>
        <v>Abrir no Maps</v>
      </c>
      <c r="M1508" t="s">
        <v>10751</v>
      </c>
      <c r="N1508" s="5"/>
      <c r="O1508" t="str">
        <f>VLOOKUP(G1508,'[1]CONFIG.'!$B:$C,2,0)</f>
        <v>EMETIO</v>
      </c>
      <c r="P1508" t="str">
        <f>VLOOKUP(O1508,'[1]CONFIG.'!$C:$D,2,0)</f>
        <v>74 98039589</v>
      </c>
    </row>
    <row r="1509" spans="1:16" x14ac:dyDescent="0.3">
      <c r="A1509" t="s">
        <v>10752</v>
      </c>
      <c r="B1509" t="s">
        <v>10753</v>
      </c>
      <c r="C1509" t="s">
        <v>10754</v>
      </c>
      <c r="D1509" t="s">
        <v>429</v>
      </c>
      <c r="E1509" t="s">
        <v>10755</v>
      </c>
      <c r="F1509" t="s">
        <v>10428</v>
      </c>
      <c r="G1509">
        <v>201</v>
      </c>
      <c r="H1509">
        <v>300</v>
      </c>
      <c r="I1509" s="5" t="s">
        <v>10756</v>
      </c>
      <c r="J1509" s="5" t="s">
        <v>10757</v>
      </c>
      <c r="K1509" s="5" t="str">
        <f t="shared" si="46"/>
        <v>https://www.google.com/maps?q=-11.548611, -41.160000</v>
      </c>
      <c r="L1509" s="5" t="str">
        <f t="shared" si="47"/>
        <v>Abrir no Maps</v>
      </c>
      <c r="M1509" t="s">
        <v>10758</v>
      </c>
      <c r="N1509" s="5"/>
      <c r="O1509" t="str">
        <f>VLOOKUP(G1509,'[1]CONFIG.'!$B:$C,2,0)</f>
        <v>EDSON</v>
      </c>
      <c r="P1509" t="str">
        <f>VLOOKUP(O1509,'[1]CONFIG.'!$C:$D,2,0)</f>
        <v>74 99403278</v>
      </c>
    </row>
    <row r="1510" spans="1:16" x14ac:dyDescent="0.3">
      <c r="A1510" t="s">
        <v>10759</v>
      </c>
      <c r="B1510" t="s">
        <v>10760</v>
      </c>
      <c r="C1510" t="s">
        <v>10761</v>
      </c>
      <c r="D1510" t="s">
        <v>429</v>
      </c>
      <c r="E1510" t="s">
        <v>10762</v>
      </c>
      <c r="F1510" t="s">
        <v>10763</v>
      </c>
      <c r="G1510">
        <v>205</v>
      </c>
      <c r="H1510">
        <v>300</v>
      </c>
      <c r="I1510" s="5" t="s">
        <v>10764</v>
      </c>
      <c r="J1510" s="5" t="s">
        <v>10765</v>
      </c>
      <c r="K1510" s="5" t="str">
        <f t="shared" si="46"/>
        <v>https://www.google.com/maps?q=-11.273889, -41.017223</v>
      </c>
      <c r="L1510" s="5" t="str">
        <f t="shared" si="47"/>
        <v>Abrir no Maps</v>
      </c>
      <c r="M1510" t="s">
        <v>10766</v>
      </c>
      <c r="N1510" s="5"/>
      <c r="O1510" t="str">
        <f>VLOOKUP(G1510,'[1]CONFIG.'!$B:$C,2,0)</f>
        <v>EMETIO</v>
      </c>
      <c r="P1510" t="str">
        <f>VLOOKUP(O1510,'[1]CONFIG.'!$C:$D,2,0)</f>
        <v>74 98039589</v>
      </c>
    </row>
    <row r="1511" spans="1:16" x14ac:dyDescent="0.3">
      <c r="A1511" t="s">
        <v>10767</v>
      </c>
      <c r="B1511" t="s">
        <v>10768</v>
      </c>
      <c r="C1511" t="s">
        <v>10769</v>
      </c>
      <c r="D1511" t="s">
        <v>429</v>
      </c>
      <c r="E1511" t="s">
        <v>10770</v>
      </c>
      <c r="F1511" t="s">
        <v>431</v>
      </c>
      <c r="G1511">
        <v>201</v>
      </c>
      <c r="H1511">
        <v>300</v>
      </c>
      <c r="I1511" s="5" t="s">
        <v>10771</v>
      </c>
      <c r="J1511" s="5" t="s">
        <v>10772</v>
      </c>
      <c r="K1511" s="5" t="str">
        <f t="shared" si="46"/>
        <v>https://www.google.com/maps?q=-11.545113, -41.154922</v>
      </c>
      <c r="L1511" s="5" t="str">
        <f t="shared" si="47"/>
        <v>Abrir no Maps</v>
      </c>
      <c r="M1511" t="s">
        <v>10773</v>
      </c>
      <c r="N1511" s="5"/>
      <c r="O1511" t="str">
        <f>VLOOKUP(G1511,'[1]CONFIG.'!$B:$C,2,0)</f>
        <v>EDSON</v>
      </c>
      <c r="P1511" t="str">
        <f>VLOOKUP(O1511,'[1]CONFIG.'!$C:$D,2,0)</f>
        <v>74 99403278</v>
      </c>
    </row>
    <row r="1512" spans="1:16" x14ac:dyDescent="0.3">
      <c r="A1512" t="s">
        <v>10774</v>
      </c>
      <c r="B1512" t="s">
        <v>10775</v>
      </c>
      <c r="C1512" t="s">
        <v>10776</v>
      </c>
      <c r="D1512" t="s">
        <v>429</v>
      </c>
      <c r="E1512" t="s">
        <v>10777</v>
      </c>
      <c r="F1512" t="s">
        <v>10464</v>
      </c>
      <c r="G1512">
        <v>201</v>
      </c>
      <c r="H1512">
        <v>300</v>
      </c>
      <c r="I1512" s="5" t="s">
        <v>10778</v>
      </c>
      <c r="J1512" s="5" t="s">
        <v>10779</v>
      </c>
      <c r="K1512" s="5" t="str">
        <f t="shared" si="46"/>
        <v>https://www.google.com/maps?q=-11.547350, -41.145477</v>
      </c>
      <c r="L1512" s="5" t="str">
        <f t="shared" si="47"/>
        <v>Abrir no Maps</v>
      </c>
      <c r="M1512" t="s">
        <v>10780</v>
      </c>
      <c r="N1512" s="5"/>
      <c r="O1512" t="str">
        <f>VLOOKUP(G1512,'[1]CONFIG.'!$B:$C,2,0)</f>
        <v>EDSON</v>
      </c>
      <c r="P1512" t="str">
        <f>VLOOKUP(O1512,'[1]CONFIG.'!$C:$D,2,0)</f>
        <v>74 99403278</v>
      </c>
    </row>
    <row r="1513" spans="1:16" x14ac:dyDescent="0.3">
      <c r="A1513" t="s">
        <v>10781</v>
      </c>
      <c r="B1513" t="s">
        <v>10782</v>
      </c>
      <c r="C1513" t="s">
        <v>10783</v>
      </c>
      <c r="D1513" t="s">
        <v>429</v>
      </c>
      <c r="E1513" t="s">
        <v>10784</v>
      </c>
      <c r="F1513" t="s">
        <v>10521</v>
      </c>
      <c r="G1513">
        <v>201</v>
      </c>
      <c r="H1513">
        <v>300</v>
      </c>
      <c r="I1513" s="5" t="s">
        <v>10785</v>
      </c>
      <c r="J1513" s="5" t="s">
        <v>10786</v>
      </c>
      <c r="K1513" s="5" t="str">
        <f t="shared" si="46"/>
        <v>https://www.google.com/maps?q=-11.555005, -41.161273</v>
      </c>
      <c r="L1513" s="5" t="str">
        <f t="shared" si="47"/>
        <v>Abrir no Maps</v>
      </c>
      <c r="M1513" t="s">
        <v>10787</v>
      </c>
      <c r="N1513" s="5"/>
      <c r="O1513" t="str">
        <f>VLOOKUP(G1513,'[1]CONFIG.'!$B:$C,2,0)</f>
        <v>EDSON</v>
      </c>
      <c r="P1513" t="str">
        <f>VLOOKUP(O1513,'[1]CONFIG.'!$C:$D,2,0)</f>
        <v>74 99403278</v>
      </c>
    </row>
    <row r="1514" spans="1:16" x14ac:dyDescent="0.3">
      <c r="A1514" t="s">
        <v>10788</v>
      </c>
      <c r="B1514" t="s">
        <v>10789</v>
      </c>
      <c r="C1514" t="s">
        <v>10790</v>
      </c>
      <c r="D1514" t="s">
        <v>429</v>
      </c>
      <c r="E1514" t="s">
        <v>10791</v>
      </c>
      <c r="F1514" t="s">
        <v>10521</v>
      </c>
      <c r="G1514">
        <v>201</v>
      </c>
      <c r="H1514">
        <v>300</v>
      </c>
      <c r="I1514" s="5" t="s">
        <v>10792</v>
      </c>
      <c r="J1514" s="5" t="s">
        <v>10793</v>
      </c>
      <c r="K1514" s="5" t="str">
        <f t="shared" si="46"/>
        <v>https://www.google.com/maps?q=-11.548604, -41.165134</v>
      </c>
      <c r="L1514" s="5" t="str">
        <f t="shared" si="47"/>
        <v>Abrir no Maps</v>
      </c>
      <c r="M1514" t="s">
        <v>10794</v>
      </c>
      <c r="N1514" s="5"/>
      <c r="O1514" t="str">
        <f>VLOOKUP(G1514,'[1]CONFIG.'!$B:$C,2,0)</f>
        <v>EDSON</v>
      </c>
      <c r="P1514" t="str">
        <f>VLOOKUP(O1514,'[1]CONFIG.'!$C:$D,2,0)</f>
        <v>74 99403278</v>
      </c>
    </row>
    <row r="1515" spans="1:16" x14ac:dyDescent="0.3">
      <c r="A1515" t="s">
        <v>10795</v>
      </c>
      <c r="B1515" t="s">
        <v>10796</v>
      </c>
      <c r="C1515" t="s">
        <v>10797</v>
      </c>
      <c r="D1515" t="s">
        <v>429</v>
      </c>
      <c r="E1515" t="s">
        <v>10798</v>
      </c>
      <c r="F1515" t="s">
        <v>137</v>
      </c>
      <c r="G1515">
        <v>201</v>
      </c>
      <c r="H1515">
        <v>300</v>
      </c>
      <c r="I1515" s="5" t="s">
        <v>10799</v>
      </c>
      <c r="J1515" s="5" t="s">
        <v>10800</v>
      </c>
      <c r="K1515" s="5" t="str">
        <f t="shared" si="46"/>
        <v>https://www.google.com/maps?q=-11.549343, -41.157467</v>
      </c>
      <c r="L1515" s="5" t="str">
        <f t="shared" si="47"/>
        <v>Abrir no Maps</v>
      </c>
      <c r="M1515" t="s">
        <v>10801</v>
      </c>
      <c r="N1515" s="5"/>
      <c r="O1515" t="str">
        <f>VLOOKUP(G1515,'[1]CONFIG.'!$B:$C,2,0)</f>
        <v>EDSON</v>
      </c>
      <c r="P1515" t="str">
        <f>VLOOKUP(O1515,'[1]CONFIG.'!$C:$D,2,0)</f>
        <v>74 99403278</v>
      </c>
    </row>
    <row r="1516" spans="1:16" x14ac:dyDescent="0.3">
      <c r="A1516" t="s">
        <v>10802</v>
      </c>
      <c r="B1516" t="s">
        <v>10803</v>
      </c>
      <c r="C1516" t="s">
        <v>10804</v>
      </c>
      <c r="D1516" t="s">
        <v>429</v>
      </c>
      <c r="E1516" t="s">
        <v>10805</v>
      </c>
      <c r="F1516" t="s">
        <v>137</v>
      </c>
      <c r="G1516">
        <v>201</v>
      </c>
      <c r="H1516">
        <v>300</v>
      </c>
      <c r="I1516" s="5" t="s">
        <v>10806</v>
      </c>
      <c r="J1516" s="5" t="s">
        <v>10807</v>
      </c>
      <c r="K1516" s="5" t="str">
        <f t="shared" si="46"/>
        <v>https://www.google.com/maps?q=-11.548727, -41.160587</v>
      </c>
      <c r="L1516" s="5" t="str">
        <f t="shared" si="47"/>
        <v>Abrir no Maps</v>
      </c>
      <c r="M1516" t="s">
        <v>10808</v>
      </c>
      <c r="N1516" s="5"/>
      <c r="O1516" t="str">
        <f>VLOOKUP(G1516,'[1]CONFIG.'!$B:$C,2,0)</f>
        <v>EDSON</v>
      </c>
      <c r="P1516" t="str">
        <f>VLOOKUP(O1516,'[1]CONFIG.'!$C:$D,2,0)</f>
        <v>74 99403278</v>
      </c>
    </row>
    <row r="1517" spans="1:16" x14ac:dyDescent="0.3">
      <c r="A1517" t="s">
        <v>10809</v>
      </c>
      <c r="B1517" t="s">
        <v>10810</v>
      </c>
      <c r="C1517" t="s">
        <v>10811</v>
      </c>
      <c r="D1517" t="s">
        <v>429</v>
      </c>
      <c r="E1517" t="s">
        <v>10812</v>
      </c>
      <c r="F1517" t="s">
        <v>137</v>
      </c>
      <c r="G1517">
        <v>201</v>
      </c>
      <c r="H1517">
        <v>300</v>
      </c>
      <c r="I1517" s="5" t="s">
        <v>10813</v>
      </c>
      <c r="J1517" s="5" t="s">
        <v>10814</v>
      </c>
      <c r="K1517" s="5" t="str">
        <f t="shared" si="46"/>
        <v>https://www.google.com/maps?q=-11.547498, -41.151550</v>
      </c>
      <c r="L1517" s="5" t="str">
        <f t="shared" si="47"/>
        <v>Abrir no Maps</v>
      </c>
      <c r="M1517" t="s">
        <v>10815</v>
      </c>
      <c r="N1517" s="5"/>
      <c r="O1517" t="str">
        <f>VLOOKUP(G1517,'[1]CONFIG.'!$B:$C,2,0)</f>
        <v>EDSON</v>
      </c>
      <c r="P1517" t="str">
        <f>VLOOKUP(O1517,'[1]CONFIG.'!$C:$D,2,0)</f>
        <v>74 99403278</v>
      </c>
    </row>
    <row r="1518" spans="1:16" x14ac:dyDescent="0.3">
      <c r="A1518" t="s">
        <v>10816</v>
      </c>
      <c r="B1518" t="s">
        <v>10817</v>
      </c>
      <c r="C1518" t="s">
        <v>10818</v>
      </c>
      <c r="D1518" t="s">
        <v>429</v>
      </c>
      <c r="E1518" t="s">
        <v>10819</v>
      </c>
      <c r="F1518" t="s">
        <v>10521</v>
      </c>
      <c r="G1518">
        <v>201</v>
      </c>
      <c r="H1518">
        <v>300</v>
      </c>
      <c r="I1518" s="5" t="s">
        <v>10820</v>
      </c>
      <c r="J1518" s="5" t="s">
        <v>10821</v>
      </c>
      <c r="K1518" s="5" t="str">
        <f t="shared" si="46"/>
        <v>https://www.google.com/maps?q=-11.557233, -41.157433</v>
      </c>
      <c r="L1518" s="5" t="str">
        <f t="shared" si="47"/>
        <v>Abrir no Maps</v>
      </c>
      <c r="M1518" t="s">
        <v>10822</v>
      </c>
      <c r="N1518" s="5"/>
      <c r="O1518" t="str">
        <f>VLOOKUP(G1518,'[1]CONFIG.'!$B:$C,2,0)</f>
        <v>EDSON</v>
      </c>
      <c r="P1518" t="str">
        <f>VLOOKUP(O1518,'[1]CONFIG.'!$C:$D,2,0)</f>
        <v>74 99403278</v>
      </c>
    </row>
    <row r="1519" spans="1:16" x14ac:dyDescent="0.3">
      <c r="A1519" t="s">
        <v>10823</v>
      </c>
      <c r="B1519" t="s">
        <v>10824</v>
      </c>
      <c r="C1519" t="s">
        <v>10825</v>
      </c>
      <c r="D1519" t="s">
        <v>429</v>
      </c>
      <c r="E1519" t="s">
        <v>10826</v>
      </c>
      <c r="F1519" t="s">
        <v>137</v>
      </c>
      <c r="G1519">
        <v>201</v>
      </c>
      <c r="H1519">
        <v>300</v>
      </c>
      <c r="I1519" s="5" t="s">
        <v>10827</v>
      </c>
      <c r="J1519" s="5" t="s">
        <v>10828</v>
      </c>
      <c r="K1519" s="5" t="str">
        <f t="shared" si="46"/>
        <v>https://www.google.com/maps?q=-11.550183, -41.156210</v>
      </c>
      <c r="L1519" s="5" t="str">
        <f t="shared" si="47"/>
        <v>Abrir no Maps</v>
      </c>
      <c r="M1519" t="s">
        <v>10829</v>
      </c>
      <c r="N1519" s="5"/>
      <c r="O1519" t="str">
        <f>VLOOKUP(G1519,'[1]CONFIG.'!$B:$C,2,0)</f>
        <v>EDSON</v>
      </c>
      <c r="P1519" t="str">
        <f>VLOOKUP(O1519,'[1]CONFIG.'!$C:$D,2,0)</f>
        <v>74 99403278</v>
      </c>
    </row>
    <row r="1520" spans="1:16" x14ac:dyDescent="0.3">
      <c r="A1520" t="s">
        <v>10830</v>
      </c>
      <c r="B1520" t="s">
        <v>10831</v>
      </c>
      <c r="C1520" t="s">
        <v>10832</v>
      </c>
      <c r="D1520" t="s">
        <v>429</v>
      </c>
      <c r="E1520" t="s">
        <v>10833</v>
      </c>
      <c r="F1520" t="s">
        <v>10428</v>
      </c>
      <c r="G1520">
        <v>201</v>
      </c>
      <c r="H1520">
        <v>300</v>
      </c>
      <c r="I1520" s="5" t="s">
        <v>10834</v>
      </c>
      <c r="J1520" s="5" t="s">
        <v>10835</v>
      </c>
      <c r="K1520" s="5" t="str">
        <f t="shared" si="46"/>
        <v>https://www.google.com/maps?q=-11.544921, -41.163920</v>
      </c>
      <c r="L1520" s="5" t="str">
        <f t="shared" si="47"/>
        <v>Abrir no Maps</v>
      </c>
      <c r="M1520" t="s">
        <v>10836</v>
      </c>
      <c r="N1520" s="5"/>
      <c r="O1520" t="str">
        <f>VLOOKUP(G1520,'[1]CONFIG.'!$B:$C,2,0)</f>
        <v>EDSON</v>
      </c>
      <c r="P1520" t="str">
        <f>VLOOKUP(O1520,'[1]CONFIG.'!$C:$D,2,0)</f>
        <v>74 99403278</v>
      </c>
    </row>
    <row r="1521" spans="1:16" x14ac:dyDescent="0.3">
      <c r="A1521" t="s">
        <v>10837</v>
      </c>
      <c r="B1521" t="s">
        <v>10838</v>
      </c>
      <c r="C1521" t="s">
        <v>10839</v>
      </c>
      <c r="D1521" t="s">
        <v>429</v>
      </c>
      <c r="E1521" t="s">
        <v>10840</v>
      </c>
      <c r="F1521" t="s">
        <v>137</v>
      </c>
      <c r="G1521">
        <v>201</v>
      </c>
      <c r="H1521">
        <v>300</v>
      </c>
      <c r="I1521" s="5" t="s">
        <v>10841</v>
      </c>
      <c r="J1521" s="5" t="s">
        <v>10842</v>
      </c>
      <c r="K1521" s="5" t="str">
        <f t="shared" si="46"/>
        <v>https://www.google.com/maps?q=-11.550536, -41.157391</v>
      </c>
      <c r="L1521" s="5" t="str">
        <f t="shared" si="47"/>
        <v>Abrir no Maps</v>
      </c>
      <c r="M1521" t="s">
        <v>10843</v>
      </c>
      <c r="N1521" s="5"/>
      <c r="O1521" t="str">
        <f>VLOOKUP(G1521,'[1]CONFIG.'!$B:$C,2,0)</f>
        <v>EDSON</v>
      </c>
      <c r="P1521" t="str">
        <f>VLOOKUP(O1521,'[1]CONFIG.'!$C:$D,2,0)</f>
        <v>74 99403278</v>
      </c>
    </row>
    <row r="1522" spans="1:16" x14ac:dyDescent="0.3">
      <c r="A1522" t="s">
        <v>10844</v>
      </c>
      <c r="B1522" t="s">
        <v>10845</v>
      </c>
      <c r="C1522" t="s">
        <v>10846</v>
      </c>
      <c r="D1522" t="s">
        <v>429</v>
      </c>
      <c r="E1522" t="s">
        <v>10847</v>
      </c>
      <c r="F1522" t="s">
        <v>10675</v>
      </c>
      <c r="G1522">
        <v>201</v>
      </c>
      <c r="H1522">
        <v>300</v>
      </c>
      <c r="I1522" s="5" t="s">
        <v>10848</v>
      </c>
      <c r="J1522" s="5" t="s">
        <v>10849</v>
      </c>
      <c r="K1522" s="5" t="str">
        <f t="shared" si="46"/>
        <v>https://www.google.com/maps?q=-11.544165, -41.176040</v>
      </c>
      <c r="L1522" s="5" t="str">
        <f t="shared" si="47"/>
        <v>Abrir no Maps</v>
      </c>
      <c r="M1522" t="s">
        <v>10850</v>
      </c>
      <c r="N1522" s="5"/>
      <c r="O1522" t="str">
        <f>VLOOKUP(G1522,'[1]CONFIG.'!$B:$C,2,0)</f>
        <v>EDSON</v>
      </c>
      <c r="P1522" t="str">
        <f>VLOOKUP(O1522,'[1]CONFIG.'!$C:$D,2,0)</f>
        <v>74 99403278</v>
      </c>
    </row>
    <row r="1523" spans="1:16" x14ac:dyDescent="0.3">
      <c r="A1523" t="s">
        <v>10851</v>
      </c>
      <c r="B1523" t="s">
        <v>10852</v>
      </c>
      <c r="C1523" t="s">
        <v>10853</v>
      </c>
      <c r="D1523" t="s">
        <v>429</v>
      </c>
      <c r="E1523" t="s">
        <v>10854</v>
      </c>
      <c r="F1523" t="s">
        <v>137</v>
      </c>
      <c r="G1523">
        <v>201</v>
      </c>
      <c r="H1523">
        <v>300</v>
      </c>
      <c r="I1523" s="5" t="s">
        <v>10855</v>
      </c>
      <c r="J1523" s="5" t="s">
        <v>10856</v>
      </c>
      <c r="K1523" s="5" t="str">
        <f t="shared" si="46"/>
        <v>https://www.google.com/maps?q=-11.548888, -41.160313</v>
      </c>
      <c r="L1523" s="5" t="str">
        <f t="shared" si="47"/>
        <v>Abrir no Maps</v>
      </c>
      <c r="M1523" t="s">
        <v>10857</v>
      </c>
      <c r="N1523" s="5"/>
      <c r="O1523" t="str">
        <f>VLOOKUP(G1523,'[1]CONFIG.'!$B:$C,2,0)</f>
        <v>EDSON</v>
      </c>
      <c r="P1523" t="str">
        <f>VLOOKUP(O1523,'[1]CONFIG.'!$C:$D,2,0)</f>
        <v>74 99403278</v>
      </c>
    </row>
    <row r="1524" spans="1:16" x14ac:dyDescent="0.3">
      <c r="A1524" t="s">
        <v>10858</v>
      </c>
      <c r="B1524" t="s">
        <v>10859</v>
      </c>
      <c r="C1524" t="s">
        <v>10860</v>
      </c>
      <c r="D1524" t="s">
        <v>429</v>
      </c>
      <c r="E1524" t="s">
        <v>10861</v>
      </c>
      <c r="F1524" t="s">
        <v>10862</v>
      </c>
      <c r="G1524">
        <v>201</v>
      </c>
      <c r="H1524">
        <v>300</v>
      </c>
      <c r="I1524" s="5" t="s">
        <v>10863</v>
      </c>
      <c r="J1524" s="5" t="s">
        <v>10864</v>
      </c>
      <c r="K1524" s="5" t="str">
        <f t="shared" si="46"/>
        <v>https://www.google.com/maps?q=-11.545753, -41.149570</v>
      </c>
      <c r="L1524" s="5" t="str">
        <f t="shared" si="47"/>
        <v>Abrir no Maps</v>
      </c>
      <c r="M1524" t="s">
        <v>10865</v>
      </c>
      <c r="N1524" s="5"/>
      <c r="O1524" t="str">
        <f>VLOOKUP(G1524,'[1]CONFIG.'!$B:$C,2,0)</f>
        <v>EDSON</v>
      </c>
      <c r="P1524" t="str">
        <f>VLOOKUP(O1524,'[1]CONFIG.'!$C:$D,2,0)</f>
        <v>74 99403278</v>
      </c>
    </row>
    <row r="1525" spans="1:16" x14ac:dyDescent="0.3">
      <c r="A1525" t="s">
        <v>10866</v>
      </c>
      <c r="B1525" t="s">
        <v>10867</v>
      </c>
      <c r="C1525" t="s">
        <v>10868</v>
      </c>
      <c r="D1525" t="s">
        <v>429</v>
      </c>
      <c r="E1525" t="s">
        <v>10869</v>
      </c>
      <c r="F1525" t="s">
        <v>10428</v>
      </c>
      <c r="G1525">
        <v>201</v>
      </c>
      <c r="H1525">
        <v>300</v>
      </c>
      <c r="I1525" s="5" t="s">
        <v>10870</v>
      </c>
      <c r="J1525" s="5" t="s">
        <v>10871</v>
      </c>
      <c r="K1525" s="5" t="str">
        <f t="shared" si="46"/>
        <v>https://www.google.com/maps?q=-11.544741, -41.164738</v>
      </c>
      <c r="L1525" s="5" t="str">
        <f t="shared" si="47"/>
        <v>Abrir no Maps</v>
      </c>
      <c r="M1525" t="s">
        <v>10872</v>
      </c>
      <c r="N1525" s="5"/>
      <c r="O1525" t="str">
        <f>VLOOKUP(G1525,'[1]CONFIG.'!$B:$C,2,0)</f>
        <v>EDSON</v>
      </c>
      <c r="P1525" t="str">
        <f>VLOOKUP(O1525,'[1]CONFIG.'!$C:$D,2,0)</f>
        <v>74 99403278</v>
      </c>
    </row>
    <row r="1526" spans="1:16" x14ac:dyDescent="0.3">
      <c r="A1526" t="s">
        <v>10873</v>
      </c>
      <c r="B1526" t="s">
        <v>10874</v>
      </c>
      <c r="C1526" t="s">
        <v>10875</v>
      </c>
      <c r="D1526" t="s">
        <v>429</v>
      </c>
      <c r="E1526" t="s">
        <v>10876</v>
      </c>
      <c r="F1526" t="s">
        <v>10464</v>
      </c>
      <c r="G1526">
        <v>201</v>
      </c>
      <c r="H1526">
        <v>300</v>
      </c>
      <c r="I1526" s="5" t="s">
        <v>10877</v>
      </c>
      <c r="J1526" s="5" t="s">
        <v>10878</v>
      </c>
      <c r="K1526" s="5" t="str">
        <f t="shared" si="46"/>
        <v>https://www.google.com/maps?q=-11.547453, -41.148293</v>
      </c>
      <c r="L1526" s="5" t="str">
        <f t="shared" si="47"/>
        <v>Abrir no Maps</v>
      </c>
      <c r="M1526" t="s">
        <v>10879</v>
      </c>
      <c r="N1526" s="5"/>
      <c r="O1526" t="str">
        <f>VLOOKUP(G1526,'[1]CONFIG.'!$B:$C,2,0)</f>
        <v>EDSON</v>
      </c>
      <c r="P1526" t="str">
        <f>VLOOKUP(O1526,'[1]CONFIG.'!$C:$D,2,0)</f>
        <v>74 99403278</v>
      </c>
    </row>
    <row r="1527" spans="1:16" x14ac:dyDescent="0.3">
      <c r="A1527" t="s">
        <v>10880</v>
      </c>
      <c r="B1527" t="s">
        <v>10881</v>
      </c>
      <c r="C1527" t="s">
        <v>10882</v>
      </c>
      <c r="D1527" t="s">
        <v>429</v>
      </c>
      <c r="E1527" t="s">
        <v>10883</v>
      </c>
      <c r="F1527" t="s">
        <v>10428</v>
      </c>
      <c r="G1527">
        <v>201</v>
      </c>
      <c r="H1527">
        <v>300</v>
      </c>
      <c r="I1527" s="5" t="s">
        <v>10884</v>
      </c>
      <c r="J1527" s="5" t="s">
        <v>10885</v>
      </c>
      <c r="K1527" s="5" t="str">
        <f t="shared" si="46"/>
        <v>https://www.google.com/maps?q=-11.546674, -41.162193</v>
      </c>
      <c r="L1527" s="5" t="str">
        <f t="shared" si="47"/>
        <v>Abrir no Maps</v>
      </c>
      <c r="M1527" t="s">
        <v>10886</v>
      </c>
      <c r="N1527" s="5"/>
      <c r="O1527" t="str">
        <f>VLOOKUP(G1527,'[1]CONFIG.'!$B:$C,2,0)</f>
        <v>EDSON</v>
      </c>
      <c r="P1527" t="str">
        <f>VLOOKUP(O1527,'[1]CONFIG.'!$C:$D,2,0)</f>
        <v>74 99403278</v>
      </c>
    </row>
    <row r="1528" spans="1:16" x14ac:dyDescent="0.3">
      <c r="A1528" t="s">
        <v>10887</v>
      </c>
      <c r="B1528" t="s">
        <v>10888</v>
      </c>
      <c r="C1528" t="s">
        <v>10889</v>
      </c>
      <c r="D1528" t="s">
        <v>429</v>
      </c>
      <c r="E1528" t="s">
        <v>10890</v>
      </c>
      <c r="F1528" t="s">
        <v>137</v>
      </c>
      <c r="G1528">
        <v>201</v>
      </c>
      <c r="H1528">
        <v>300</v>
      </c>
      <c r="I1528" s="5" t="s">
        <v>10891</v>
      </c>
      <c r="J1528" s="5" t="s">
        <v>10892</v>
      </c>
      <c r="K1528" s="5" t="str">
        <f t="shared" si="46"/>
        <v>https://www.google.com/maps?q=-11.548993, -41.157364</v>
      </c>
      <c r="L1528" s="5" t="str">
        <f t="shared" si="47"/>
        <v>Abrir no Maps</v>
      </c>
      <c r="M1528" t="s">
        <v>10893</v>
      </c>
      <c r="N1528" s="5"/>
      <c r="O1528" t="str">
        <f>VLOOKUP(G1528,'[1]CONFIG.'!$B:$C,2,0)</f>
        <v>EDSON</v>
      </c>
      <c r="P1528" t="str">
        <f>VLOOKUP(O1528,'[1]CONFIG.'!$C:$D,2,0)</f>
        <v>74 99403278</v>
      </c>
    </row>
    <row r="1529" spans="1:16" x14ac:dyDescent="0.3">
      <c r="A1529" t="s">
        <v>10894</v>
      </c>
      <c r="B1529" t="s">
        <v>10895</v>
      </c>
      <c r="C1529" t="s">
        <v>10896</v>
      </c>
      <c r="D1529" t="s">
        <v>429</v>
      </c>
      <c r="E1529" t="s">
        <v>10897</v>
      </c>
      <c r="F1529" t="s">
        <v>137</v>
      </c>
      <c r="G1529">
        <v>201</v>
      </c>
      <c r="H1529">
        <v>300</v>
      </c>
      <c r="I1529" s="5" t="s">
        <v>10898</v>
      </c>
      <c r="J1529" s="5" t="s">
        <v>10899</v>
      </c>
      <c r="K1529" s="5" t="str">
        <f t="shared" si="46"/>
        <v>https://www.google.com/maps?q=-11.545106, -41.155094</v>
      </c>
      <c r="L1529" s="5" t="str">
        <f t="shared" si="47"/>
        <v>Abrir no Maps</v>
      </c>
      <c r="M1529" t="s">
        <v>10900</v>
      </c>
      <c r="N1529" s="5"/>
      <c r="O1529" t="str">
        <f>VLOOKUP(G1529,'[1]CONFIG.'!$B:$C,2,0)</f>
        <v>EDSON</v>
      </c>
      <c r="P1529" t="str">
        <f>VLOOKUP(O1529,'[1]CONFIG.'!$C:$D,2,0)</f>
        <v>74 99403278</v>
      </c>
    </row>
    <row r="1530" spans="1:16" x14ac:dyDescent="0.3">
      <c r="A1530" t="s">
        <v>10901</v>
      </c>
      <c r="B1530" t="s">
        <v>10902</v>
      </c>
      <c r="C1530" t="s">
        <v>10903</v>
      </c>
      <c r="D1530" t="s">
        <v>429</v>
      </c>
      <c r="E1530" t="s">
        <v>10904</v>
      </c>
      <c r="F1530" t="s">
        <v>674</v>
      </c>
      <c r="G1530">
        <v>213</v>
      </c>
      <c r="H1530">
        <v>300</v>
      </c>
      <c r="I1530" s="5" t="s">
        <v>10905</v>
      </c>
      <c r="J1530" s="5" t="s">
        <v>10906</v>
      </c>
      <c r="K1530" s="5" t="str">
        <f t="shared" si="46"/>
        <v>https://www.google.com/maps?q=-11.763239, -41.153080</v>
      </c>
      <c r="L1530" s="5" t="str">
        <f t="shared" si="47"/>
        <v>Abrir no Maps</v>
      </c>
      <c r="M1530" t="s">
        <v>10907</v>
      </c>
      <c r="N1530" s="5"/>
      <c r="O1530" t="str">
        <f>VLOOKUP(G1530,'[1]CONFIG.'!$B:$C,2,0)</f>
        <v>DANIEL</v>
      </c>
      <c r="P1530" t="str">
        <f>VLOOKUP(O1530,'[1]CONFIG.'!$C:$D,2,0)</f>
        <v>74 99461824</v>
      </c>
    </row>
    <row r="1531" spans="1:16" x14ac:dyDescent="0.3">
      <c r="A1531" t="s">
        <v>10908</v>
      </c>
      <c r="B1531" t="s">
        <v>10909</v>
      </c>
      <c r="C1531" t="s">
        <v>10910</v>
      </c>
      <c r="D1531" t="s">
        <v>429</v>
      </c>
      <c r="E1531" t="s">
        <v>10911</v>
      </c>
      <c r="F1531" t="s">
        <v>10912</v>
      </c>
      <c r="G1531">
        <v>201</v>
      </c>
      <c r="H1531">
        <v>300</v>
      </c>
      <c r="I1531" s="5" t="s">
        <v>10913</v>
      </c>
      <c r="J1531" s="5" t="s">
        <v>10914</v>
      </c>
      <c r="K1531" s="5" t="str">
        <f t="shared" si="46"/>
        <v>https://www.google.com/maps?q=-11.551699, -41.172153</v>
      </c>
      <c r="L1531" s="5" t="str">
        <f t="shared" si="47"/>
        <v>Abrir no Maps</v>
      </c>
      <c r="M1531" t="s">
        <v>10915</v>
      </c>
      <c r="N1531" s="5"/>
      <c r="O1531" t="str">
        <f>VLOOKUP(G1531,'[1]CONFIG.'!$B:$C,2,0)</f>
        <v>EDSON</v>
      </c>
      <c r="P1531" t="str">
        <f>VLOOKUP(O1531,'[1]CONFIG.'!$C:$D,2,0)</f>
        <v>74 99403278</v>
      </c>
    </row>
    <row r="1532" spans="1:16" x14ac:dyDescent="0.3">
      <c r="A1532" t="s">
        <v>10916</v>
      </c>
      <c r="B1532" t="s">
        <v>10917</v>
      </c>
      <c r="C1532" t="s">
        <v>10918</v>
      </c>
      <c r="D1532" t="s">
        <v>429</v>
      </c>
      <c r="E1532" t="s">
        <v>10919</v>
      </c>
      <c r="F1532" t="s">
        <v>10479</v>
      </c>
      <c r="G1532">
        <v>201</v>
      </c>
      <c r="H1532">
        <v>300</v>
      </c>
      <c r="I1532" s="5" t="s">
        <v>10920</v>
      </c>
      <c r="J1532" s="5" t="s">
        <v>10921</v>
      </c>
      <c r="K1532" s="5" t="str">
        <f t="shared" si="46"/>
        <v>https://www.google.com/maps?q=-11.543197, -41.171780</v>
      </c>
      <c r="L1532" s="5" t="str">
        <f t="shared" si="47"/>
        <v>Abrir no Maps</v>
      </c>
      <c r="M1532" t="s">
        <v>10922</v>
      </c>
      <c r="N1532" s="5"/>
      <c r="O1532" t="str">
        <f>VLOOKUP(G1532,'[1]CONFIG.'!$B:$C,2,0)</f>
        <v>EDSON</v>
      </c>
      <c r="P1532" t="str">
        <f>VLOOKUP(O1532,'[1]CONFIG.'!$C:$D,2,0)</f>
        <v>74 99403278</v>
      </c>
    </row>
    <row r="1533" spans="1:16" x14ac:dyDescent="0.3">
      <c r="A1533" t="s">
        <v>10923</v>
      </c>
      <c r="B1533" t="s">
        <v>10924</v>
      </c>
      <c r="C1533" t="s">
        <v>10925</v>
      </c>
      <c r="D1533" t="s">
        <v>429</v>
      </c>
      <c r="E1533" t="s">
        <v>10926</v>
      </c>
      <c r="F1533" t="s">
        <v>10644</v>
      </c>
      <c r="G1533">
        <v>213</v>
      </c>
      <c r="H1533">
        <v>300</v>
      </c>
      <c r="I1533" s="5" t="s">
        <v>10927</v>
      </c>
      <c r="J1533" s="5" t="s">
        <v>10928</v>
      </c>
      <c r="K1533" s="5" t="str">
        <f t="shared" si="46"/>
        <v>https://www.google.com/maps?q=-11.765204, -41.154434</v>
      </c>
      <c r="L1533" s="5" t="str">
        <f t="shared" si="47"/>
        <v>Abrir no Maps</v>
      </c>
      <c r="M1533" t="s">
        <v>10647</v>
      </c>
      <c r="N1533" s="5"/>
      <c r="O1533" t="str">
        <f>VLOOKUP(G1533,'[1]CONFIG.'!$B:$C,2,0)</f>
        <v>DANIEL</v>
      </c>
      <c r="P1533" t="str">
        <f>VLOOKUP(O1533,'[1]CONFIG.'!$C:$D,2,0)</f>
        <v>74 99461824</v>
      </c>
    </row>
    <row r="1534" spans="1:16" x14ac:dyDescent="0.3">
      <c r="A1534" t="s">
        <v>10929</v>
      </c>
      <c r="B1534" t="s">
        <v>10930</v>
      </c>
      <c r="C1534" t="s">
        <v>10931</v>
      </c>
      <c r="D1534" t="s">
        <v>429</v>
      </c>
      <c r="E1534" t="s">
        <v>10932</v>
      </c>
      <c r="F1534" t="s">
        <v>137</v>
      </c>
      <c r="G1534">
        <v>201</v>
      </c>
      <c r="H1534">
        <v>300</v>
      </c>
      <c r="I1534" s="5" t="s">
        <v>10933</v>
      </c>
      <c r="J1534" s="5" t="s">
        <v>10934</v>
      </c>
      <c r="K1534" s="5" t="str">
        <f t="shared" si="46"/>
        <v>https://www.google.com/maps?q=-11.550549, -41.156555</v>
      </c>
      <c r="L1534" s="5" t="str">
        <f t="shared" si="47"/>
        <v>Abrir no Maps</v>
      </c>
      <c r="M1534" t="s">
        <v>10935</v>
      </c>
      <c r="N1534" s="5"/>
      <c r="O1534" t="str">
        <f>VLOOKUP(G1534,'[1]CONFIG.'!$B:$C,2,0)</f>
        <v>EDSON</v>
      </c>
      <c r="P1534" t="str">
        <f>VLOOKUP(O1534,'[1]CONFIG.'!$C:$D,2,0)</f>
        <v>74 99403278</v>
      </c>
    </row>
    <row r="1535" spans="1:16" x14ac:dyDescent="0.3">
      <c r="A1535" t="s">
        <v>10936</v>
      </c>
      <c r="B1535" t="s">
        <v>10937</v>
      </c>
      <c r="C1535" t="s">
        <v>10938</v>
      </c>
      <c r="D1535" t="s">
        <v>429</v>
      </c>
      <c r="E1535" t="s">
        <v>10939</v>
      </c>
      <c r="F1535" t="s">
        <v>137</v>
      </c>
      <c r="G1535">
        <v>201</v>
      </c>
      <c r="H1535">
        <v>300</v>
      </c>
      <c r="I1535" s="5" t="s">
        <v>10940</v>
      </c>
      <c r="J1535" s="5" t="s">
        <v>10941</v>
      </c>
      <c r="K1535" s="5" t="str">
        <f t="shared" si="46"/>
        <v>https://www.google.com/maps?q=-11.550747, -41.156550</v>
      </c>
      <c r="L1535" s="5" t="str">
        <f t="shared" si="47"/>
        <v>Abrir no Maps</v>
      </c>
      <c r="M1535" t="s">
        <v>10942</v>
      </c>
      <c r="N1535" s="5"/>
      <c r="O1535" t="str">
        <f>VLOOKUP(G1535,'[1]CONFIG.'!$B:$C,2,0)</f>
        <v>EDSON</v>
      </c>
      <c r="P1535" t="str">
        <f>VLOOKUP(O1535,'[1]CONFIG.'!$C:$D,2,0)</f>
        <v>74 99403278</v>
      </c>
    </row>
    <row r="1536" spans="1:16" x14ac:dyDescent="0.3">
      <c r="A1536" t="s">
        <v>10943</v>
      </c>
      <c r="B1536" t="s">
        <v>10944</v>
      </c>
      <c r="C1536" t="s">
        <v>10945</v>
      </c>
      <c r="D1536" t="s">
        <v>429</v>
      </c>
      <c r="E1536" t="s">
        <v>10946</v>
      </c>
      <c r="F1536" t="s">
        <v>137</v>
      </c>
      <c r="G1536">
        <v>201</v>
      </c>
      <c r="H1536">
        <v>300</v>
      </c>
      <c r="I1536" s="5" t="s">
        <v>10947</v>
      </c>
      <c r="J1536" s="5" t="s">
        <v>10948</v>
      </c>
      <c r="K1536" s="5" t="str">
        <f t="shared" si="46"/>
        <v>https://www.google.com/maps?q=-11.550343, -41.156136</v>
      </c>
      <c r="L1536" s="5" t="str">
        <f t="shared" si="47"/>
        <v>Abrir no Maps</v>
      </c>
      <c r="M1536" t="s">
        <v>10949</v>
      </c>
      <c r="N1536" s="5"/>
      <c r="O1536" t="str">
        <f>VLOOKUP(G1536,'[1]CONFIG.'!$B:$C,2,0)</f>
        <v>EDSON</v>
      </c>
      <c r="P1536" t="str">
        <f>VLOOKUP(O1536,'[1]CONFIG.'!$C:$D,2,0)</f>
        <v>74 99403278</v>
      </c>
    </row>
    <row r="1537" spans="1:16" x14ac:dyDescent="0.3">
      <c r="A1537" t="s">
        <v>10950</v>
      </c>
      <c r="B1537" t="s">
        <v>10951</v>
      </c>
      <c r="C1537" t="s">
        <v>10952</v>
      </c>
      <c r="D1537" t="s">
        <v>429</v>
      </c>
      <c r="E1537" t="s">
        <v>10953</v>
      </c>
      <c r="F1537" t="s">
        <v>10428</v>
      </c>
      <c r="G1537">
        <v>201</v>
      </c>
      <c r="H1537">
        <v>300</v>
      </c>
      <c r="I1537" s="5" t="s">
        <v>10954</v>
      </c>
      <c r="J1537" s="5" t="s">
        <v>10955</v>
      </c>
      <c r="K1537" s="5" t="str">
        <f t="shared" si="46"/>
        <v>https://www.google.com/maps?q=-11.539636, -41.171753</v>
      </c>
      <c r="L1537" s="5" t="str">
        <f t="shared" si="47"/>
        <v>Abrir no Maps</v>
      </c>
      <c r="M1537" t="s">
        <v>10956</v>
      </c>
      <c r="N1537" s="5"/>
      <c r="O1537" t="str">
        <f>VLOOKUP(G1537,'[1]CONFIG.'!$B:$C,2,0)</f>
        <v>EDSON</v>
      </c>
      <c r="P1537" t="str">
        <f>VLOOKUP(O1537,'[1]CONFIG.'!$C:$D,2,0)</f>
        <v>74 99403278</v>
      </c>
    </row>
    <row r="1538" spans="1:16" x14ac:dyDescent="0.3">
      <c r="A1538" t="s">
        <v>10957</v>
      </c>
      <c r="B1538" t="s">
        <v>10958</v>
      </c>
      <c r="C1538" t="s">
        <v>10959</v>
      </c>
      <c r="D1538" t="s">
        <v>429</v>
      </c>
      <c r="E1538" t="s">
        <v>10960</v>
      </c>
      <c r="F1538" t="s">
        <v>10675</v>
      </c>
      <c r="G1538">
        <v>201</v>
      </c>
      <c r="H1538">
        <v>300</v>
      </c>
      <c r="I1538" s="5" t="s">
        <v>10961</v>
      </c>
      <c r="J1538" s="5" t="s">
        <v>10962</v>
      </c>
      <c r="K1538" s="5" t="str">
        <f t="shared" si="46"/>
        <v>https://www.google.com/maps?q=-11.544585, -41.175061</v>
      </c>
      <c r="L1538" s="5" t="str">
        <f t="shared" si="47"/>
        <v>Abrir no Maps</v>
      </c>
      <c r="M1538" t="s">
        <v>10963</v>
      </c>
      <c r="N1538" s="5"/>
      <c r="O1538" t="str">
        <f>VLOOKUP(G1538,'[1]CONFIG.'!$B:$C,2,0)</f>
        <v>EDSON</v>
      </c>
      <c r="P1538" t="str">
        <f>VLOOKUP(O1538,'[1]CONFIG.'!$C:$D,2,0)</f>
        <v>74 99403278</v>
      </c>
    </row>
    <row r="1539" spans="1:16" x14ac:dyDescent="0.3">
      <c r="A1539" t="s">
        <v>10964</v>
      </c>
      <c r="B1539" t="s">
        <v>10965</v>
      </c>
      <c r="C1539" t="s">
        <v>10966</v>
      </c>
      <c r="D1539" t="s">
        <v>429</v>
      </c>
      <c r="E1539" t="s">
        <v>10967</v>
      </c>
      <c r="F1539" t="s">
        <v>137</v>
      </c>
      <c r="G1539">
        <v>201</v>
      </c>
      <c r="H1539">
        <v>300</v>
      </c>
      <c r="I1539" s="5" t="s">
        <v>10968</v>
      </c>
      <c r="J1539" s="5" t="s">
        <v>10969</v>
      </c>
      <c r="K1539" s="5" t="str">
        <f t="shared" si="46"/>
        <v>https://www.google.com/maps?q=-11.549204, -41.157230</v>
      </c>
      <c r="L1539" s="5" t="str">
        <f t="shared" si="47"/>
        <v>Abrir no Maps</v>
      </c>
      <c r="M1539" t="s">
        <v>10843</v>
      </c>
      <c r="N1539" s="5"/>
      <c r="O1539" t="str">
        <f>VLOOKUP(G1539,'[1]CONFIG.'!$B:$C,2,0)</f>
        <v>EDSON</v>
      </c>
      <c r="P1539" t="str">
        <f>VLOOKUP(O1539,'[1]CONFIG.'!$C:$D,2,0)</f>
        <v>74 99403278</v>
      </c>
    </row>
    <row r="1540" spans="1:16" x14ac:dyDescent="0.3">
      <c r="A1540" t="s">
        <v>10970</v>
      </c>
      <c r="B1540" t="s">
        <v>10971</v>
      </c>
      <c r="C1540" t="s">
        <v>10972</v>
      </c>
      <c r="D1540" t="s">
        <v>429</v>
      </c>
      <c r="E1540" t="s">
        <v>10973</v>
      </c>
      <c r="F1540" t="s">
        <v>431</v>
      </c>
      <c r="G1540">
        <v>201</v>
      </c>
      <c r="H1540">
        <v>300</v>
      </c>
      <c r="I1540" s="5" t="s">
        <v>10974</v>
      </c>
      <c r="J1540" s="5" t="s">
        <v>10975</v>
      </c>
      <c r="K1540" s="5" t="str">
        <f t="shared" ref="K1540:K1603" si="48">"https://www.google.com/maps?q="&amp;""&amp;LEFT(I1540,3)&amp;"."&amp;RIGHT(I1540,6)&amp;", "&amp;LEFT(J1540,3)&amp;"."&amp;RIGHT(J1540,6)</f>
        <v>https://www.google.com/maps?q=-11.547931, -41.155647</v>
      </c>
      <c r="L1540" s="5" t="str">
        <f t="shared" ref="L1540:L1603" si="49">HYPERLINK(K1540,"Abrir no Maps")</f>
        <v>Abrir no Maps</v>
      </c>
      <c r="M1540" t="s">
        <v>10976</v>
      </c>
      <c r="N1540" s="5"/>
      <c r="O1540" t="str">
        <f>VLOOKUP(G1540,'[1]CONFIG.'!$B:$C,2,0)</f>
        <v>EDSON</v>
      </c>
      <c r="P1540" t="str">
        <f>VLOOKUP(O1540,'[1]CONFIG.'!$C:$D,2,0)</f>
        <v>74 99403278</v>
      </c>
    </row>
    <row r="1541" spans="1:16" x14ac:dyDescent="0.3">
      <c r="A1541" t="s">
        <v>10977</v>
      </c>
      <c r="B1541" t="s">
        <v>10978</v>
      </c>
      <c r="C1541" t="s">
        <v>10979</v>
      </c>
      <c r="D1541" t="s">
        <v>429</v>
      </c>
      <c r="E1541" t="s">
        <v>10980</v>
      </c>
      <c r="F1541" t="s">
        <v>10981</v>
      </c>
      <c r="G1541">
        <v>201</v>
      </c>
      <c r="H1541">
        <v>300</v>
      </c>
      <c r="I1541" s="5" t="s">
        <v>10982</v>
      </c>
      <c r="J1541" s="5" t="s">
        <v>10983</v>
      </c>
      <c r="K1541" s="5" t="str">
        <f t="shared" si="48"/>
        <v>https://www.google.com/maps?q=-11.557717, -41.155884</v>
      </c>
      <c r="L1541" s="5" t="str">
        <f t="shared" si="49"/>
        <v>Abrir no Maps</v>
      </c>
      <c r="M1541" t="s">
        <v>10984</v>
      </c>
      <c r="N1541" s="5"/>
      <c r="O1541" t="str">
        <f>VLOOKUP(G1541,'[1]CONFIG.'!$B:$C,2,0)</f>
        <v>EDSON</v>
      </c>
      <c r="P1541" t="str">
        <f>VLOOKUP(O1541,'[1]CONFIG.'!$C:$D,2,0)</f>
        <v>74 99403278</v>
      </c>
    </row>
    <row r="1542" spans="1:16" x14ac:dyDescent="0.3">
      <c r="A1542" t="s">
        <v>10985</v>
      </c>
      <c r="B1542" t="s">
        <v>10986</v>
      </c>
      <c r="C1542" t="s">
        <v>10987</v>
      </c>
      <c r="D1542" t="s">
        <v>429</v>
      </c>
      <c r="E1542" t="s">
        <v>10988</v>
      </c>
      <c r="F1542" t="s">
        <v>137</v>
      </c>
      <c r="G1542">
        <v>201</v>
      </c>
      <c r="H1542">
        <v>300</v>
      </c>
      <c r="I1542" s="5" t="s">
        <v>10989</v>
      </c>
      <c r="J1542" s="5" t="s">
        <v>10990</v>
      </c>
      <c r="K1542" s="5" t="str">
        <f t="shared" si="48"/>
        <v>https://www.google.com/maps?q=-11.549782, -41.156452</v>
      </c>
      <c r="L1542" s="5" t="str">
        <f t="shared" si="49"/>
        <v>Abrir no Maps</v>
      </c>
      <c r="M1542" t="s">
        <v>10991</v>
      </c>
      <c r="N1542" s="5"/>
      <c r="O1542" t="str">
        <f>VLOOKUP(G1542,'[1]CONFIG.'!$B:$C,2,0)</f>
        <v>EDSON</v>
      </c>
      <c r="P1542" t="str">
        <f>VLOOKUP(O1542,'[1]CONFIG.'!$C:$D,2,0)</f>
        <v>74 99403278</v>
      </c>
    </row>
    <row r="1543" spans="1:16" x14ac:dyDescent="0.3">
      <c r="A1543" t="s">
        <v>10992</v>
      </c>
      <c r="B1543" t="s">
        <v>10993</v>
      </c>
      <c r="C1543" t="s">
        <v>10994</v>
      </c>
      <c r="D1543" t="s">
        <v>429</v>
      </c>
      <c r="E1543" t="s">
        <v>10995</v>
      </c>
      <c r="F1543" t="s">
        <v>10675</v>
      </c>
      <c r="G1543">
        <v>201</v>
      </c>
      <c r="H1543">
        <v>300</v>
      </c>
      <c r="I1543" s="5" t="s">
        <v>10996</v>
      </c>
      <c r="J1543" s="5" t="s">
        <v>10997</v>
      </c>
      <c r="K1543" s="5" t="str">
        <f t="shared" si="48"/>
        <v>https://www.google.com/maps?q=-11.551484, -41.165367</v>
      </c>
      <c r="L1543" s="5" t="str">
        <f t="shared" si="49"/>
        <v>Abrir no Maps</v>
      </c>
      <c r="M1543" t="s">
        <v>10998</v>
      </c>
      <c r="N1543" s="5"/>
      <c r="O1543" t="str">
        <f>VLOOKUP(G1543,'[1]CONFIG.'!$B:$C,2,0)</f>
        <v>EDSON</v>
      </c>
      <c r="P1543" t="str">
        <f>VLOOKUP(O1543,'[1]CONFIG.'!$C:$D,2,0)</f>
        <v>74 99403278</v>
      </c>
    </row>
    <row r="1544" spans="1:16" x14ac:dyDescent="0.3">
      <c r="A1544" t="s">
        <v>10999</v>
      </c>
      <c r="B1544" t="s">
        <v>11000</v>
      </c>
      <c r="C1544" t="s">
        <v>11001</v>
      </c>
      <c r="D1544" t="s">
        <v>429</v>
      </c>
      <c r="E1544" t="s">
        <v>11002</v>
      </c>
      <c r="F1544" t="s">
        <v>10862</v>
      </c>
      <c r="G1544">
        <v>201</v>
      </c>
      <c r="H1544">
        <v>300</v>
      </c>
      <c r="I1544" s="5" t="s">
        <v>11003</v>
      </c>
      <c r="J1544" s="5" t="s">
        <v>11004</v>
      </c>
      <c r="K1544" s="5" t="str">
        <f t="shared" si="48"/>
        <v>https://www.google.com/maps?q=-11.546550, -41.149307</v>
      </c>
      <c r="L1544" s="5" t="str">
        <f t="shared" si="49"/>
        <v>Abrir no Maps</v>
      </c>
      <c r="M1544" t="s">
        <v>11005</v>
      </c>
      <c r="N1544" s="5"/>
      <c r="O1544" t="str">
        <f>VLOOKUP(G1544,'[1]CONFIG.'!$B:$C,2,0)</f>
        <v>EDSON</v>
      </c>
      <c r="P1544" t="str">
        <f>VLOOKUP(O1544,'[1]CONFIG.'!$C:$D,2,0)</f>
        <v>74 99403278</v>
      </c>
    </row>
    <row r="1545" spans="1:16" x14ac:dyDescent="0.3">
      <c r="A1545" t="s">
        <v>11006</v>
      </c>
      <c r="B1545" t="s">
        <v>11007</v>
      </c>
      <c r="C1545" t="s">
        <v>11008</v>
      </c>
      <c r="D1545" t="s">
        <v>429</v>
      </c>
      <c r="E1545" t="s">
        <v>11009</v>
      </c>
      <c r="F1545" t="s">
        <v>137</v>
      </c>
      <c r="G1545">
        <v>201</v>
      </c>
      <c r="H1545">
        <v>300</v>
      </c>
      <c r="I1545" s="5" t="s">
        <v>11010</v>
      </c>
      <c r="J1545" s="5" t="s">
        <v>11011</v>
      </c>
      <c r="K1545" s="5" t="str">
        <f t="shared" si="48"/>
        <v>https://www.google.com/maps?q=-11.550515, -41.159164</v>
      </c>
      <c r="L1545" s="5" t="str">
        <f t="shared" si="49"/>
        <v>Abrir no Maps</v>
      </c>
      <c r="M1545" t="s">
        <v>11012</v>
      </c>
      <c r="N1545" s="5"/>
      <c r="O1545" t="str">
        <f>VLOOKUP(G1545,'[1]CONFIG.'!$B:$C,2,0)</f>
        <v>EDSON</v>
      </c>
      <c r="P1545" t="str">
        <f>VLOOKUP(O1545,'[1]CONFIG.'!$C:$D,2,0)</f>
        <v>74 99403278</v>
      </c>
    </row>
    <row r="1546" spans="1:16" x14ac:dyDescent="0.3">
      <c r="A1546" t="s">
        <v>11013</v>
      </c>
      <c r="B1546" t="s">
        <v>11014</v>
      </c>
      <c r="C1546" t="s">
        <v>11015</v>
      </c>
      <c r="D1546" t="s">
        <v>429</v>
      </c>
      <c r="E1546" t="s">
        <v>11016</v>
      </c>
      <c r="F1546" t="s">
        <v>10862</v>
      </c>
      <c r="G1546">
        <v>201</v>
      </c>
      <c r="H1546">
        <v>300</v>
      </c>
      <c r="I1546" s="5" t="s">
        <v>11017</v>
      </c>
      <c r="J1546" s="5" t="s">
        <v>11018</v>
      </c>
      <c r="K1546" s="5" t="str">
        <f t="shared" si="48"/>
        <v>https://www.google.com/maps?q=-11.541108, -41.153164</v>
      </c>
      <c r="L1546" s="5" t="str">
        <f t="shared" si="49"/>
        <v>Abrir no Maps</v>
      </c>
      <c r="M1546" t="s">
        <v>11019</v>
      </c>
      <c r="N1546" s="5"/>
      <c r="O1546" t="str">
        <f>VLOOKUP(G1546,'[1]CONFIG.'!$B:$C,2,0)</f>
        <v>EDSON</v>
      </c>
      <c r="P1546" t="str">
        <f>VLOOKUP(O1546,'[1]CONFIG.'!$C:$D,2,0)</f>
        <v>74 99403278</v>
      </c>
    </row>
    <row r="1547" spans="1:16" x14ac:dyDescent="0.3">
      <c r="A1547" t="s">
        <v>11020</v>
      </c>
      <c r="B1547" t="s">
        <v>11021</v>
      </c>
      <c r="C1547" t="s">
        <v>11022</v>
      </c>
      <c r="D1547" t="s">
        <v>429</v>
      </c>
      <c r="E1547" t="s">
        <v>11023</v>
      </c>
      <c r="F1547" t="s">
        <v>137</v>
      </c>
      <c r="G1547">
        <v>201</v>
      </c>
      <c r="H1547">
        <v>300</v>
      </c>
      <c r="I1547" s="5" t="s">
        <v>11024</v>
      </c>
      <c r="J1547" s="5" t="s">
        <v>11025</v>
      </c>
      <c r="K1547" s="5" t="str">
        <f t="shared" si="48"/>
        <v>https://www.google.com/maps?q=-11.551264, -41.156750</v>
      </c>
      <c r="L1547" s="5" t="str">
        <f t="shared" si="49"/>
        <v>Abrir no Maps</v>
      </c>
      <c r="M1547" t="s">
        <v>11026</v>
      </c>
      <c r="N1547" s="5"/>
      <c r="O1547" t="str">
        <f>VLOOKUP(G1547,'[1]CONFIG.'!$B:$C,2,0)</f>
        <v>EDSON</v>
      </c>
      <c r="P1547" t="str">
        <f>VLOOKUP(O1547,'[1]CONFIG.'!$C:$D,2,0)</f>
        <v>74 99403278</v>
      </c>
    </row>
    <row r="1548" spans="1:16" x14ac:dyDescent="0.3">
      <c r="A1548" t="s">
        <v>11027</v>
      </c>
      <c r="B1548" t="s">
        <v>11028</v>
      </c>
      <c r="C1548" t="s">
        <v>11029</v>
      </c>
      <c r="D1548" t="s">
        <v>429</v>
      </c>
      <c r="E1548" t="s">
        <v>11030</v>
      </c>
      <c r="F1548" t="s">
        <v>137</v>
      </c>
      <c r="G1548">
        <v>201</v>
      </c>
      <c r="H1548">
        <v>300</v>
      </c>
      <c r="I1548" s="5" t="s">
        <v>11031</v>
      </c>
      <c r="J1548" s="5" t="s">
        <v>11032</v>
      </c>
      <c r="K1548" s="5" t="str">
        <f t="shared" si="48"/>
        <v>https://www.google.com/maps?q=-11.548572, -41.160515</v>
      </c>
      <c r="L1548" s="5" t="str">
        <f t="shared" si="49"/>
        <v>Abrir no Maps</v>
      </c>
      <c r="M1548" t="s">
        <v>11033</v>
      </c>
      <c r="N1548" s="5"/>
      <c r="O1548" t="str">
        <f>VLOOKUP(G1548,'[1]CONFIG.'!$B:$C,2,0)</f>
        <v>EDSON</v>
      </c>
      <c r="P1548" t="str">
        <f>VLOOKUP(O1548,'[1]CONFIG.'!$C:$D,2,0)</f>
        <v>74 99403278</v>
      </c>
    </row>
    <row r="1549" spans="1:16" x14ac:dyDescent="0.3">
      <c r="A1549" t="s">
        <v>11034</v>
      </c>
      <c r="B1549" t="s">
        <v>11035</v>
      </c>
      <c r="C1549" t="s">
        <v>11036</v>
      </c>
      <c r="D1549" t="s">
        <v>429</v>
      </c>
      <c r="E1549" t="s">
        <v>11037</v>
      </c>
      <c r="F1549" t="s">
        <v>429</v>
      </c>
      <c r="G1549">
        <v>201</v>
      </c>
      <c r="H1549">
        <v>300</v>
      </c>
      <c r="I1549" s="5" t="s">
        <v>11038</v>
      </c>
      <c r="J1549" s="5" t="s">
        <v>11039</v>
      </c>
      <c r="K1549" s="5" t="str">
        <f t="shared" si="48"/>
        <v>https://www.google.com/maps?q=-11.548688, -41.159520</v>
      </c>
      <c r="L1549" s="5" t="str">
        <f t="shared" si="49"/>
        <v>Abrir no Maps</v>
      </c>
      <c r="M1549" t="s">
        <v>11040</v>
      </c>
      <c r="N1549" s="5"/>
      <c r="O1549" t="str">
        <f>VLOOKUP(G1549,'[1]CONFIG.'!$B:$C,2,0)</f>
        <v>EDSON</v>
      </c>
      <c r="P1549" t="str">
        <f>VLOOKUP(O1549,'[1]CONFIG.'!$C:$D,2,0)</f>
        <v>74 99403278</v>
      </c>
    </row>
    <row r="1550" spans="1:16" x14ac:dyDescent="0.3">
      <c r="A1550" t="s">
        <v>11041</v>
      </c>
      <c r="B1550" t="s">
        <v>11042</v>
      </c>
      <c r="C1550" t="s">
        <v>11043</v>
      </c>
      <c r="D1550" t="s">
        <v>429</v>
      </c>
      <c r="E1550" t="s">
        <v>11044</v>
      </c>
      <c r="F1550" t="s">
        <v>10862</v>
      </c>
      <c r="G1550">
        <v>201</v>
      </c>
      <c r="H1550">
        <v>300</v>
      </c>
      <c r="I1550" s="5" t="s">
        <v>11045</v>
      </c>
      <c r="J1550" s="5" t="s">
        <v>11046</v>
      </c>
      <c r="K1550" s="5" t="str">
        <f t="shared" si="48"/>
        <v>https://www.google.com/maps?q=-11.544828, -41.149082</v>
      </c>
      <c r="L1550" s="5" t="str">
        <f t="shared" si="49"/>
        <v>Abrir no Maps</v>
      </c>
      <c r="M1550" t="s">
        <v>11047</v>
      </c>
      <c r="N1550" s="5"/>
      <c r="O1550" t="str">
        <f>VLOOKUP(G1550,'[1]CONFIG.'!$B:$C,2,0)</f>
        <v>EDSON</v>
      </c>
      <c r="P1550" t="str">
        <f>VLOOKUP(O1550,'[1]CONFIG.'!$C:$D,2,0)</f>
        <v>74 99403278</v>
      </c>
    </row>
    <row r="1551" spans="1:16" x14ac:dyDescent="0.3">
      <c r="A1551" t="s">
        <v>11048</v>
      </c>
      <c r="B1551" t="s">
        <v>11049</v>
      </c>
      <c r="C1551" t="s">
        <v>11050</v>
      </c>
      <c r="D1551" t="s">
        <v>429</v>
      </c>
      <c r="E1551" t="s">
        <v>11051</v>
      </c>
      <c r="F1551" t="s">
        <v>137</v>
      </c>
      <c r="G1551">
        <v>201</v>
      </c>
      <c r="H1551">
        <v>300</v>
      </c>
      <c r="I1551" s="5" t="s">
        <v>11052</v>
      </c>
      <c r="J1551" s="5" t="s">
        <v>11053</v>
      </c>
      <c r="K1551" s="5" t="str">
        <f t="shared" si="48"/>
        <v>https://www.google.com/maps?q=-11.548562, -41.161440</v>
      </c>
      <c r="L1551" s="5" t="str">
        <f t="shared" si="49"/>
        <v>Abrir no Maps</v>
      </c>
      <c r="M1551" t="s">
        <v>11054</v>
      </c>
      <c r="N1551" s="5"/>
      <c r="O1551" t="str">
        <f>VLOOKUP(G1551,'[1]CONFIG.'!$B:$C,2,0)</f>
        <v>EDSON</v>
      </c>
      <c r="P1551" t="str">
        <f>VLOOKUP(O1551,'[1]CONFIG.'!$C:$D,2,0)</f>
        <v>74 99403278</v>
      </c>
    </row>
    <row r="1552" spans="1:16" x14ac:dyDescent="0.3">
      <c r="A1552" t="s">
        <v>11055</v>
      </c>
      <c r="B1552" t="s">
        <v>11056</v>
      </c>
      <c r="C1552" t="s">
        <v>11057</v>
      </c>
      <c r="D1552" t="s">
        <v>429</v>
      </c>
      <c r="E1552" t="s">
        <v>11058</v>
      </c>
      <c r="F1552" t="s">
        <v>10862</v>
      </c>
      <c r="G1552">
        <v>201</v>
      </c>
      <c r="H1552">
        <v>300</v>
      </c>
      <c r="I1552" s="5" t="s">
        <v>11059</v>
      </c>
      <c r="J1552" s="5" t="s">
        <v>11060</v>
      </c>
      <c r="K1552" s="5" t="str">
        <f t="shared" si="48"/>
        <v>https://www.google.com/maps?q=-11.546055, -41.147034</v>
      </c>
      <c r="L1552" s="5" t="str">
        <f t="shared" si="49"/>
        <v>Abrir no Maps</v>
      </c>
      <c r="M1552" t="s">
        <v>11061</v>
      </c>
      <c r="N1552" s="5"/>
      <c r="O1552" t="str">
        <f>VLOOKUP(G1552,'[1]CONFIG.'!$B:$C,2,0)</f>
        <v>EDSON</v>
      </c>
      <c r="P1552" t="str">
        <f>VLOOKUP(O1552,'[1]CONFIG.'!$C:$D,2,0)</f>
        <v>74 99403278</v>
      </c>
    </row>
    <row r="1553" spans="1:16" x14ac:dyDescent="0.3">
      <c r="A1553" t="s">
        <v>11062</v>
      </c>
      <c r="B1553" t="s">
        <v>11063</v>
      </c>
      <c r="C1553" t="s">
        <v>11064</v>
      </c>
      <c r="D1553" t="s">
        <v>429</v>
      </c>
      <c r="E1553" t="s">
        <v>11065</v>
      </c>
      <c r="F1553" t="s">
        <v>11066</v>
      </c>
      <c r="G1553">
        <v>201</v>
      </c>
      <c r="H1553">
        <v>300</v>
      </c>
      <c r="I1553" s="5" t="s">
        <v>11067</v>
      </c>
      <c r="J1553" s="5" t="s">
        <v>11068</v>
      </c>
      <c r="K1553" s="5" t="str">
        <f t="shared" si="48"/>
        <v>https://www.google.com/maps?q=-11.521268, -41.174572</v>
      </c>
      <c r="L1553" s="5" t="str">
        <f t="shared" si="49"/>
        <v>Abrir no Maps</v>
      </c>
      <c r="M1553" t="s">
        <v>11069</v>
      </c>
      <c r="N1553" s="5"/>
      <c r="O1553" t="str">
        <f>VLOOKUP(G1553,'[1]CONFIG.'!$B:$C,2,0)</f>
        <v>EDSON</v>
      </c>
      <c r="P1553" t="str">
        <f>VLOOKUP(O1553,'[1]CONFIG.'!$C:$D,2,0)</f>
        <v>74 99403278</v>
      </c>
    </row>
    <row r="1554" spans="1:16" x14ac:dyDescent="0.3">
      <c r="A1554" t="s">
        <v>11070</v>
      </c>
      <c r="B1554" t="s">
        <v>11071</v>
      </c>
      <c r="C1554" t="s">
        <v>11072</v>
      </c>
      <c r="D1554" t="s">
        <v>429</v>
      </c>
      <c r="E1554" t="s">
        <v>11073</v>
      </c>
      <c r="F1554" t="s">
        <v>137</v>
      </c>
      <c r="G1554">
        <v>201</v>
      </c>
      <c r="H1554">
        <v>300</v>
      </c>
      <c r="I1554" s="5" t="s">
        <v>11074</v>
      </c>
      <c r="J1554" s="5" t="s">
        <v>11075</v>
      </c>
      <c r="K1554" s="5" t="str">
        <f t="shared" si="48"/>
        <v>https://www.google.com/maps?q=-11.550927, -41.156710</v>
      </c>
      <c r="L1554" s="5" t="str">
        <f t="shared" si="49"/>
        <v>Abrir no Maps</v>
      </c>
      <c r="M1554" t="s">
        <v>11076</v>
      </c>
      <c r="N1554" s="5"/>
      <c r="O1554" t="str">
        <f>VLOOKUP(G1554,'[1]CONFIG.'!$B:$C,2,0)</f>
        <v>EDSON</v>
      </c>
      <c r="P1554" t="str">
        <f>VLOOKUP(O1554,'[1]CONFIG.'!$C:$D,2,0)</f>
        <v>74 99403278</v>
      </c>
    </row>
    <row r="1555" spans="1:16" x14ac:dyDescent="0.3">
      <c r="A1555" t="s">
        <v>11077</v>
      </c>
      <c r="B1555" t="s">
        <v>11078</v>
      </c>
      <c r="C1555" t="s">
        <v>11079</v>
      </c>
      <c r="D1555" t="s">
        <v>429</v>
      </c>
      <c r="E1555" t="s">
        <v>11080</v>
      </c>
      <c r="F1555" t="s">
        <v>137</v>
      </c>
      <c r="G1555">
        <v>201</v>
      </c>
      <c r="H1555">
        <v>300</v>
      </c>
      <c r="I1555" s="5" t="s">
        <v>11081</v>
      </c>
      <c r="J1555" s="5" t="s">
        <v>11082</v>
      </c>
      <c r="K1555" s="5" t="str">
        <f t="shared" si="48"/>
        <v>https://www.google.com/maps?q=-11.549890, -41.157350</v>
      </c>
      <c r="L1555" s="5" t="str">
        <f t="shared" si="49"/>
        <v>Abrir no Maps</v>
      </c>
      <c r="M1555" t="s">
        <v>11083</v>
      </c>
      <c r="N1555" s="5"/>
      <c r="O1555" t="str">
        <f>VLOOKUP(G1555,'[1]CONFIG.'!$B:$C,2,0)</f>
        <v>EDSON</v>
      </c>
      <c r="P1555" t="str">
        <f>VLOOKUP(O1555,'[1]CONFIG.'!$C:$D,2,0)</f>
        <v>74 99403278</v>
      </c>
    </row>
    <row r="1556" spans="1:16" x14ac:dyDescent="0.3">
      <c r="A1556" t="s">
        <v>11084</v>
      </c>
      <c r="B1556" t="s">
        <v>11085</v>
      </c>
      <c r="C1556" t="s">
        <v>11086</v>
      </c>
      <c r="D1556" t="s">
        <v>429</v>
      </c>
      <c r="E1556" t="s">
        <v>11087</v>
      </c>
      <c r="F1556" t="s">
        <v>10644</v>
      </c>
      <c r="G1556">
        <v>213</v>
      </c>
      <c r="H1556">
        <v>300</v>
      </c>
      <c r="I1556" s="5" t="s">
        <v>11088</v>
      </c>
      <c r="J1556" s="5" t="s">
        <v>11089</v>
      </c>
      <c r="K1556" s="5" t="str">
        <f t="shared" si="48"/>
        <v>https://www.google.com/maps?q=-11.765468, -41.153618</v>
      </c>
      <c r="L1556" s="5" t="str">
        <f t="shared" si="49"/>
        <v>Abrir no Maps</v>
      </c>
      <c r="M1556" t="s">
        <v>11090</v>
      </c>
      <c r="N1556" s="5"/>
      <c r="O1556" t="str">
        <f>VLOOKUP(G1556,'[1]CONFIG.'!$B:$C,2,0)</f>
        <v>DANIEL</v>
      </c>
      <c r="P1556" t="str">
        <f>VLOOKUP(O1556,'[1]CONFIG.'!$C:$D,2,0)</f>
        <v>74 99461824</v>
      </c>
    </row>
    <row r="1557" spans="1:16" x14ac:dyDescent="0.3">
      <c r="A1557" t="s">
        <v>11091</v>
      </c>
      <c r="B1557" t="s">
        <v>11092</v>
      </c>
      <c r="C1557" t="s">
        <v>11093</v>
      </c>
      <c r="D1557" t="s">
        <v>429</v>
      </c>
      <c r="E1557" t="s">
        <v>11094</v>
      </c>
      <c r="F1557" t="s">
        <v>11095</v>
      </c>
      <c r="G1557">
        <v>201</v>
      </c>
      <c r="H1557">
        <v>300</v>
      </c>
      <c r="I1557" s="5" t="s">
        <v>11096</v>
      </c>
      <c r="J1557" s="5" t="s">
        <v>11097</v>
      </c>
      <c r="K1557" s="5" t="str">
        <f t="shared" si="48"/>
        <v>https://www.google.com/maps?q=-11.545593, -41.174355</v>
      </c>
      <c r="L1557" s="5" t="str">
        <f t="shared" si="49"/>
        <v>Abrir no Maps</v>
      </c>
      <c r="M1557" t="s">
        <v>11098</v>
      </c>
      <c r="N1557" s="5"/>
      <c r="O1557" t="str">
        <f>VLOOKUP(G1557,'[1]CONFIG.'!$B:$C,2,0)</f>
        <v>EDSON</v>
      </c>
      <c r="P1557" t="str">
        <f>VLOOKUP(O1557,'[1]CONFIG.'!$C:$D,2,0)</f>
        <v>74 99403278</v>
      </c>
    </row>
    <row r="1558" spans="1:16" x14ac:dyDescent="0.3">
      <c r="A1558" t="s">
        <v>11099</v>
      </c>
      <c r="B1558" t="s">
        <v>11100</v>
      </c>
      <c r="C1558" t="s">
        <v>11101</v>
      </c>
      <c r="D1558" t="s">
        <v>429</v>
      </c>
      <c r="E1558" t="s">
        <v>11102</v>
      </c>
      <c r="F1558" t="s">
        <v>10675</v>
      </c>
      <c r="G1558">
        <v>201</v>
      </c>
      <c r="H1558">
        <v>300</v>
      </c>
      <c r="I1558" s="5" t="s">
        <v>11103</v>
      </c>
      <c r="J1558" s="5" t="s">
        <v>11104</v>
      </c>
      <c r="K1558" s="5" t="str">
        <f t="shared" si="48"/>
        <v>https://www.google.com/maps?q=-11.557116, -41.159153</v>
      </c>
      <c r="L1558" s="5" t="str">
        <f t="shared" si="49"/>
        <v>Abrir no Maps</v>
      </c>
      <c r="M1558" t="s">
        <v>11105</v>
      </c>
      <c r="N1558" s="5"/>
      <c r="O1558" t="str">
        <f>VLOOKUP(G1558,'[1]CONFIG.'!$B:$C,2,0)</f>
        <v>EDSON</v>
      </c>
      <c r="P1558" t="str">
        <f>VLOOKUP(O1558,'[1]CONFIG.'!$C:$D,2,0)</f>
        <v>74 99403278</v>
      </c>
    </row>
    <row r="1559" spans="1:16" x14ac:dyDescent="0.3">
      <c r="A1559" t="s">
        <v>11106</v>
      </c>
      <c r="B1559" t="s">
        <v>11107</v>
      </c>
      <c r="C1559" t="s">
        <v>11108</v>
      </c>
      <c r="D1559" t="s">
        <v>429</v>
      </c>
      <c r="E1559" t="s">
        <v>11109</v>
      </c>
      <c r="F1559" t="s">
        <v>137</v>
      </c>
      <c r="G1559">
        <v>201</v>
      </c>
      <c r="H1559">
        <v>300</v>
      </c>
      <c r="I1559" s="5" t="s">
        <v>11110</v>
      </c>
      <c r="J1559" s="5" t="s">
        <v>11111</v>
      </c>
      <c r="K1559" s="5" t="str">
        <f t="shared" si="48"/>
        <v>https://www.google.com/maps?q=-11.551324, -41.156605</v>
      </c>
      <c r="L1559" s="5" t="str">
        <f t="shared" si="49"/>
        <v>Abrir no Maps</v>
      </c>
      <c r="M1559" t="s">
        <v>11112</v>
      </c>
      <c r="N1559" s="5"/>
      <c r="O1559" t="str">
        <f>VLOOKUP(G1559,'[1]CONFIG.'!$B:$C,2,0)</f>
        <v>EDSON</v>
      </c>
      <c r="P1559" t="str">
        <f>VLOOKUP(O1559,'[1]CONFIG.'!$C:$D,2,0)</f>
        <v>74 99403278</v>
      </c>
    </row>
    <row r="1560" spans="1:16" x14ac:dyDescent="0.3">
      <c r="A1560" t="s">
        <v>11113</v>
      </c>
      <c r="B1560" t="s">
        <v>11114</v>
      </c>
      <c r="C1560" t="s">
        <v>11115</v>
      </c>
      <c r="D1560" t="s">
        <v>429</v>
      </c>
      <c r="E1560" t="s">
        <v>11116</v>
      </c>
      <c r="F1560" t="s">
        <v>137</v>
      </c>
      <c r="G1560">
        <v>201</v>
      </c>
      <c r="H1560">
        <v>300</v>
      </c>
      <c r="I1560" s="5" t="s">
        <v>11117</v>
      </c>
      <c r="J1560" s="5" t="s">
        <v>11118</v>
      </c>
      <c r="K1560" s="5" t="str">
        <f t="shared" si="48"/>
        <v>https://www.google.com/maps?q=-11.547183, -41.152940</v>
      </c>
      <c r="L1560" s="5" t="str">
        <f t="shared" si="49"/>
        <v>Abrir no Maps</v>
      </c>
      <c r="M1560" t="s">
        <v>11119</v>
      </c>
      <c r="N1560" s="5"/>
      <c r="O1560" t="str">
        <f>VLOOKUP(G1560,'[1]CONFIG.'!$B:$C,2,0)</f>
        <v>EDSON</v>
      </c>
      <c r="P1560" t="str">
        <f>VLOOKUP(O1560,'[1]CONFIG.'!$C:$D,2,0)</f>
        <v>74 99403278</v>
      </c>
    </row>
    <row r="1561" spans="1:16" x14ac:dyDescent="0.3">
      <c r="A1561" t="s">
        <v>11120</v>
      </c>
      <c r="B1561" t="s">
        <v>11121</v>
      </c>
      <c r="C1561" t="s">
        <v>11122</v>
      </c>
      <c r="D1561" t="s">
        <v>429</v>
      </c>
      <c r="E1561" t="s">
        <v>11123</v>
      </c>
      <c r="F1561" t="s">
        <v>10479</v>
      </c>
      <c r="G1561">
        <v>201</v>
      </c>
      <c r="H1561">
        <v>300</v>
      </c>
      <c r="I1561" s="5" t="s">
        <v>11124</v>
      </c>
      <c r="J1561" s="5" t="s">
        <v>11125</v>
      </c>
      <c r="K1561" s="5" t="str">
        <f t="shared" si="48"/>
        <v>https://www.google.com/maps?q=-11.540433, -41.172808</v>
      </c>
      <c r="L1561" s="5" t="str">
        <f t="shared" si="49"/>
        <v>Abrir no Maps</v>
      </c>
      <c r="M1561" t="s">
        <v>11126</v>
      </c>
      <c r="N1561" s="5"/>
      <c r="O1561" t="str">
        <f>VLOOKUP(G1561,'[1]CONFIG.'!$B:$C,2,0)</f>
        <v>EDSON</v>
      </c>
      <c r="P1561" t="str">
        <f>VLOOKUP(O1561,'[1]CONFIG.'!$C:$D,2,0)</f>
        <v>74 99403278</v>
      </c>
    </row>
    <row r="1562" spans="1:16" x14ac:dyDescent="0.3">
      <c r="A1562" t="s">
        <v>11127</v>
      </c>
      <c r="B1562" t="s">
        <v>11128</v>
      </c>
      <c r="C1562" t="s">
        <v>11129</v>
      </c>
      <c r="D1562" t="s">
        <v>429</v>
      </c>
      <c r="E1562" t="s">
        <v>11130</v>
      </c>
      <c r="F1562" t="s">
        <v>10428</v>
      </c>
      <c r="G1562">
        <v>201</v>
      </c>
      <c r="H1562">
        <v>300</v>
      </c>
      <c r="I1562" s="5" t="s">
        <v>11131</v>
      </c>
      <c r="J1562" s="5" t="s">
        <v>11132</v>
      </c>
      <c r="K1562" s="5" t="str">
        <f t="shared" si="48"/>
        <v>https://www.google.com/maps?q=-11.546710, -41.165745</v>
      </c>
      <c r="L1562" s="5" t="str">
        <f t="shared" si="49"/>
        <v>Abrir no Maps</v>
      </c>
      <c r="M1562" t="s">
        <v>11133</v>
      </c>
      <c r="N1562" s="5"/>
      <c r="O1562" t="str">
        <f>VLOOKUP(G1562,'[1]CONFIG.'!$B:$C,2,0)</f>
        <v>EDSON</v>
      </c>
      <c r="P1562" t="str">
        <f>VLOOKUP(O1562,'[1]CONFIG.'!$C:$D,2,0)</f>
        <v>74 99403278</v>
      </c>
    </row>
    <row r="1563" spans="1:16" x14ac:dyDescent="0.3">
      <c r="A1563" t="s">
        <v>11134</v>
      </c>
      <c r="B1563" t="s">
        <v>11135</v>
      </c>
      <c r="C1563" t="s">
        <v>11136</v>
      </c>
      <c r="D1563" t="s">
        <v>429</v>
      </c>
      <c r="E1563" t="s">
        <v>11137</v>
      </c>
      <c r="F1563" t="s">
        <v>11138</v>
      </c>
      <c r="G1563">
        <v>201</v>
      </c>
      <c r="H1563">
        <v>300</v>
      </c>
      <c r="I1563" s="5" t="s">
        <v>11139</v>
      </c>
      <c r="J1563" s="5" t="s">
        <v>11140</v>
      </c>
      <c r="K1563" s="5" t="str">
        <f t="shared" si="48"/>
        <v>https://www.google.com/maps?q=-11.553672, -41.163815</v>
      </c>
      <c r="L1563" s="5" t="str">
        <f t="shared" si="49"/>
        <v>Abrir no Maps</v>
      </c>
      <c r="M1563" t="s">
        <v>11141</v>
      </c>
      <c r="N1563" s="5"/>
      <c r="O1563" t="str">
        <f>VLOOKUP(G1563,'[1]CONFIG.'!$B:$C,2,0)</f>
        <v>EDSON</v>
      </c>
      <c r="P1563" t="str">
        <f>VLOOKUP(O1563,'[1]CONFIG.'!$C:$D,2,0)</f>
        <v>74 99403278</v>
      </c>
    </row>
    <row r="1564" spans="1:16" x14ac:dyDescent="0.3">
      <c r="A1564" t="s">
        <v>11142</v>
      </c>
      <c r="B1564" t="s">
        <v>11143</v>
      </c>
      <c r="C1564" t="s">
        <v>11144</v>
      </c>
      <c r="D1564" t="s">
        <v>429</v>
      </c>
      <c r="E1564" t="s">
        <v>11145</v>
      </c>
      <c r="F1564" t="s">
        <v>137</v>
      </c>
      <c r="G1564">
        <v>201</v>
      </c>
      <c r="H1564">
        <v>300</v>
      </c>
      <c r="I1564" s="5" t="s">
        <v>11146</v>
      </c>
      <c r="J1564" s="5" t="s">
        <v>11147</v>
      </c>
      <c r="K1564" s="5" t="str">
        <f t="shared" si="48"/>
        <v>https://www.google.com/maps?q=-11.551106, -41.163800</v>
      </c>
      <c r="L1564" s="5" t="str">
        <f t="shared" si="49"/>
        <v>Abrir no Maps</v>
      </c>
      <c r="M1564" t="s">
        <v>11148</v>
      </c>
      <c r="N1564" s="5"/>
      <c r="O1564" t="str">
        <f>VLOOKUP(G1564,'[1]CONFIG.'!$B:$C,2,0)</f>
        <v>EDSON</v>
      </c>
      <c r="P1564" t="str">
        <f>VLOOKUP(O1564,'[1]CONFIG.'!$C:$D,2,0)</f>
        <v>74 99403278</v>
      </c>
    </row>
    <row r="1565" spans="1:16" x14ac:dyDescent="0.3">
      <c r="A1565" t="s">
        <v>11149</v>
      </c>
      <c r="B1565" t="s">
        <v>11150</v>
      </c>
      <c r="C1565" t="s">
        <v>11151</v>
      </c>
      <c r="D1565" t="s">
        <v>429</v>
      </c>
      <c r="E1565" t="s">
        <v>11152</v>
      </c>
      <c r="F1565" t="s">
        <v>137</v>
      </c>
      <c r="G1565">
        <v>201</v>
      </c>
      <c r="H1565">
        <v>300</v>
      </c>
      <c r="I1565" s="5" t="s">
        <v>11153</v>
      </c>
      <c r="J1565" s="5" t="s">
        <v>11154</v>
      </c>
      <c r="K1565" s="5" t="str">
        <f t="shared" si="48"/>
        <v>https://www.google.com/maps?q=-11.550763, -41.154217</v>
      </c>
      <c r="L1565" s="5" t="str">
        <f t="shared" si="49"/>
        <v>Abrir no Maps</v>
      </c>
      <c r="M1565" t="s">
        <v>11155</v>
      </c>
      <c r="N1565" s="5"/>
      <c r="O1565" t="str">
        <f>VLOOKUP(G1565,'[1]CONFIG.'!$B:$C,2,0)</f>
        <v>EDSON</v>
      </c>
      <c r="P1565" t="str">
        <f>VLOOKUP(O1565,'[1]CONFIG.'!$C:$D,2,0)</f>
        <v>74 99403278</v>
      </c>
    </row>
    <row r="1566" spans="1:16" x14ac:dyDescent="0.3">
      <c r="A1566" t="s">
        <v>11156</v>
      </c>
      <c r="B1566" t="s">
        <v>11157</v>
      </c>
      <c r="C1566" t="s">
        <v>11158</v>
      </c>
      <c r="D1566" t="s">
        <v>429</v>
      </c>
      <c r="E1566" t="s">
        <v>11159</v>
      </c>
      <c r="F1566" t="s">
        <v>11160</v>
      </c>
      <c r="G1566">
        <v>205</v>
      </c>
      <c r="H1566">
        <v>300</v>
      </c>
      <c r="I1566" s="5" t="s">
        <v>11161</v>
      </c>
      <c r="J1566" s="5" t="s">
        <v>11162</v>
      </c>
      <c r="K1566" s="5" t="str">
        <f t="shared" si="48"/>
        <v>https://www.google.com/maps?q=-11.409689, -41.372891</v>
      </c>
      <c r="L1566" s="5" t="str">
        <f t="shared" si="49"/>
        <v>Abrir no Maps</v>
      </c>
      <c r="M1566" t="s">
        <v>11163</v>
      </c>
      <c r="N1566" s="5"/>
      <c r="O1566" t="str">
        <f>VLOOKUP(G1566,'[1]CONFIG.'!$B:$C,2,0)</f>
        <v>EMETIO</v>
      </c>
      <c r="P1566" t="str">
        <f>VLOOKUP(O1566,'[1]CONFIG.'!$C:$D,2,0)</f>
        <v>74 98039589</v>
      </c>
    </row>
    <row r="1567" spans="1:16" x14ac:dyDescent="0.3">
      <c r="A1567" t="s">
        <v>11164</v>
      </c>
      <c r="B1567" t="s">
        <v>11165</v>
      </c>
      <c r="C1567" t="s">
        <v>11166</v>
      </c>
      <c r="D1567" t="s">
        <v>429</v>
      </c>
      <c r="E1567" t="s">
        <v>11167</v>
      </c>
      <c r="F1567" t="s">
        <v>137</v>
      </c>
      <c r="G1567">
        <v>201</v>
      </c>
      <c r="H1567">
        <v>300</v>
      </c>
      <c r="I1567" s="5" t="s">
        <v>11168</v>
      </c>
      <c r="J1567" s="5" t="s">
        <v>11169</v>
      </c>
      <c r="K1567" s="5" t="str">
        <f t="shared" si="48"/>
        <v>https://www.google.com/maps?q=-11.551751, -41.155886</v>
      </c>
      <c r="L1567" s="5" t="str">
        <f t="shared" si="49"/>
        <v>Abrir no Maps</v>
      </c>
      <c r="M1567" t="s">
        <v>11170</v>
      </c>
      <c r="N1567" s="5"/>
      <c r="O1567" t="str">
        <f>VLOOKUP(G1567,'[1]CONFIG.'!$B:$C,2,0)</f>
        <v>EDSON</v>
      </c>
      <c r="P1567" t="str">
        <f>VLOOKUP(O1567,'[1]CONFIG.'!$C:$D,2,0)</f>
        <v>74 99403278</v>
      </c>
    </row>
    <row r="1568" spans="1:16" x14ac:dyDescent="0.3">
      <c r="A1568" t="s">
        <v>11171</v>
      </c>
      <c r="B1568" t="s">
        <v>11172</v>
      </c>
      <c r="C1568" t="s">
        <v>11173</v>
      </c>
      <c r="D1568" t="s">
        <v>429</v>
      </c>
      <c r="E1568" t="s">
        <v>11174</v>
      </c>
      <c r="F1568" t="s">
        <v>10675</v>
      </c>
      <c r="G1568">
        <v>201</v>
      </c>
      <c r="H1568">
        <v>300</v>
      </c>
      <c r="I1568" s="5" t="s">
        <v>11175</v>
      </c>
      <c r="J1568" s="5" t="s">
        <v>11176</v>
      </c>
      <c r="K1568" s="5" t="str">
        <f t="shared" si="48"/>
        <v>https://www.google.com/maps?q=-11.557173, -41.156289</v>
      </c>
      <c r="L1568" s="5" t="str">
        <f t="shared" si="49"/>
        <v>Abrir no Maps</v>
      </c>
      <c r="M1568" t="s">
        <v>11177</v>
      </c>
      <c r="N1568" s="5"/>
      <c r="O1568" t="str">
        <f>VLOOKUP(G1568,'[1]CONFIG.'!$B:$C,2,0)</f>
        <v>EDSON</v>
      </c>
      <c r="P1568" t="str">
        <f>VLOOKUP(O1568,'[1]CONFIG.'!$C:$D,2,0)</f>
        <v>74 99403278</v>
      </c>
    </row>
    <row r="1569" spans="1:16" x14ac:dyDescent="0.3">
      <c r="A1569" t="s">
        <v>11178</v>
      </c>
      <c r="B1569" t="s">
        <v>11179</v>
      </c>
      <c r="C1569" t="s">
        <v>11180</v>
      </c>
      <c r="D1569" t="s">
        <v>429</v>
      </c>
      <c r="E1569" t="s">
        <v>11181</v>
      </c>
      <c r="F1569" t="s">
        <v>11182</v>
      </c>
      <c r="G1569">
        <v>201</v>
      </c>
      <c r="H1569">
        <v>300</v>
      </c>
      <c r="I1569" s="5" t="s">
        <v>11183</v>
      </c>
      <c r="J1569" s="5" t="s">
        <v>11184</v>
      </c>
      <c r="K1569" s="5" t="str">
        <f t="shared" si="48"/>
        <v>https://www.google.com/maps?q=-11.550814, -41.151024</v>
      </c>
      <c r="L1569" s="5" t="str">
        <f t="shared" si="49"/>
        <v>Abrir no Maps</v>
      </c>
      <c r="M1569" t="s">
        <v>11185</v>
      </c>
      <c r="N1569" s="5"/>
      <c r="O1569" t="str">
        <f>VLOOKUP(G1569,'[1]CONFIG.'!$B:$C,2,0)</f>
        <v>EDSON</v>
      </c>
      <c r="P1569" t="str">
        <f>VLOOKUP(O1569,'[1]CONFIG.'!$C:$D,2,0)</f>
        <v>74 99403278</v>
      </c>
    </row>
    <row r="1570" spans="1:16" x14ac:dyDescent="0.3">
      <c r="A1570" t="s">
        <v>11186</v>
      </c>
      <c r="B1570" t="s">
        <v>11187</v>
      </c>
      <c r="C1570" t="s">
        <v>11188</v>
      </c>
      <c r="D1570" t="s">
        <v>429</v>
      </c>
      <c r="E1570" t="s">
        <v>11189</v>
      </c>
      <c r="F1570" t="s">
        <v>10479</v>
      </c>
      <c r="G1570">
        <v>201</v>
      </c>
      <c r="H1570">
        <v>300</v>
      </c>
      <c r="I1570" s="5" t="s">
        <v>11190</v>
      </c>
      <c r="J1570" s="5" t="s">
        <v>11191</v>
      </c>
      <c r="K1570" s="5" t="str">
        <f t="shared" si="48"/>
        <v>https://www.google.com/maps?q=-11.543688, -41.168318</v>
      </c>
      <c r="L1570" s="5" t="str">
        <f t="shared" si="49"/>
        <v>Abrir no Maps</v>
      </c>
      <c r="M1570" t="s">
        <v>11192</v>
      </c>
      <c r="N1570" s="5"/>
      <c r="O1570" t="str">
        <f>VLOOKUP(G1570,'[1]CONFIG.'!$B:$C,2,0)</f>
        <v>EDSON</v>
      </c>
      <c r="P1570" t="str">
        <f>VLOOKUP(O1570,'[1]CONFIG.'!$C:$D,2,0)</f>
        <v>74 99403278</v>
      </c>
    </row>
    <row r="1571" spans="1:16" x14ac:dyDescent="0.3">
      <c r="A1571" t="s">
        <v>11193</v>
      </c>
      <c r="B1571" t="s">
        <v>11194</v>
      </c>
      <c r="C1571" t="s">
        <v>11195</v>
      </c>
      <c r="D1571" t="s">
        <v>429</v>
      </c>
      <c r="E1571" t="s">
        <v>11196</v>
      </c>
      <c r="F1571" t="s">
        <v>10862</v>
      </c>
      <c r="G1571">
        <v>201</v>
      </c>
      <c r="H1571">
        <v>300</v>
      </c>
      <c r="I1571" s="5" t="s">
        <v>11197</v>
      </c>
      <c r="J1571" s="5" t="s">
        <v>11198</v>
      </c>
      <c r="K1571" s="5" t="str">
        <f t="shared" si="48"/>
        <v>https://www.google.com/maps?q=-11.544843, -41.154542</v>
      </c>
      <c r="L1571" s="5" t="str">
        <f t="shared" si="49"/>
        <v>Abrir no Maps</v>
      </c>
      <c r="M1571" t="s">
        <v>1454</v>
      </c>
      <c r="N1571" s="5"/>
      <c r="O1571" t="str">
        <f>VLOOKUP(G1571,'[1]CONFIG.'!$B:$C,2,0)</f>
        <v>EDSON</v>
      </c>
      <c r="P1571" t="str">
        <f>VLOOKUP(O1571,'[1]CONFIG.'!$C:$D,2,0)</f>
        <v>74 99403278</v>
      </c>
    </row>
    <row r="1572" spans="1:16" x14ac:dyDescent="0.3">
      <c r="A1572" t="s">
        <v>11199</v>
      </c>
      <c r="B1572" t="s">
        <v>11200</v>
      </c>
      <c r="C1572" t="s">
        <v>11201</v>
      </c>
      <c r="D1572" t="s">
        <v>429</v>
      </c>
      <c r="E1572" t="s">
        <v>11202</v>
      </c>
      <c r="F1572" t="s">
        <v>11095</v>
      </c>
      <c r="G1572">
        <v>201</v>
      </c>
      <c r="H1572">
        <v>300</v>
      </c>
      <c r="I1572" s="5" t="s">
        <v>11203</v>
      </c>
      <c r="J1572" s="5" t="s">
        <v>11204</v>
      </c>
      <c r="K1572" s="5" t="str">
        <f t="shared" si="48"/>
        <v>https://www.google.com/maps?q=-11.544660, -41.170210</v>
      </c>
      <c r="L1572" s="5" t="str">
        <f t="shared" si="49"/>
        <v>Abrir no Maps</v>
      </c>
      <c r="M1572" t="s">
        <v>11205</v>
      </c>
      <c r="N1572" s="5"/>
      <c r="O1572" t="str">
        <f>VLOOKUP(G1572,'[1]CONFIG.'!$B:$C,2,0)</f>
        <v>EDSON</v>
      </c>
      <c r="P1572" t="str">
        <f>VLOOKUP(O1572,'[1]CONFIG.'!$C:$D,2,0)</f>
        <v>74 99403278</v>
      </c>
    </row>
    <row r="1573" spans="1:16" x14ac:dyDescent="0.3">
      <c r="A1573" t="s">
        <v>11206</v>
      </c>
      <c r="B1573" t="s">
        <v>11207</v>
      </c>
      <c r="C1573" t="s">
        <v>11208</v>
      </c>
      <c r="D1573" t="s">
        <v>429</v>
      </c>
      <c r="E1573" t="s">
        <v>11209</v>
      </c>
      <c r="F1573" t="s">
        <v>137</v>
      </c>
      <c r="G1573">
        <v>201</v>
      </c>
      <c r="H1573">
        <v>300</v>
      </c>
      <c r="I1573" s="5" t="s">
        <v>11210</v>
      </c>
      <c r="J1573" s="5" t="s">
        <v>11211</v>
      </c>
      <c r="K1573" s="5" t="str">
        <f t="shared" si="48"/>
        <v>https://www.google.com/maps?q=-11.548438, -41.157438</v>
      </c>
      <c r="L1573" s="5" t="str">
        <f t="shared" si="49"/>
        <v>Abrir no Maps</v>
      </c>
      <c r="M1573" t="s">
        <v>11212</v>
      </c>
      <c r="N1573" s="5"/>
      <c r="O1573" t="str">
        <f>VLOOKUP(G1573,'[1]CONFIG.'!$B:$C,2,0)</f>
        <v>EDSON</v>
      </c>
      <c r="P1573" t="str">
        <f>VLOOKUP(O1573,'[1]CONFIG.'!$C:$D,2,0)</f>
        <v>74 99403278</v>
      </c>
    </row>
    <row r="1574" spans="1:16" x14ac:dyDescent="0.3">
      <c r="A1574" t="s">
        <v>11213</v>
      </c>
      <c r="B1574" t="s">
        <v>11214</v>
      </c>
      <c r="C1574" t="s">
        <v>11215</v>
      </c>
      <c r="D1574" t="s">
        <v>429</v>
      </c>
      <c r="E1574" t="s">
        <v>11216</v>
      </c>
      <c r="F1574" t="s">
        <v>10479</v>
      </c>
      <c r="G1574">
        <v>201</v>
      </c>
      <c r="H1574">
        <v>300</v>
      </c>
      <c r="I1574" s="5" t="s">
        <v>11217</v>
      </c>
      <c r="J1574" s="5" t="s">
        <v>11218</v>
      </c>
      <c r="K1574" s="5" t="str">
        <f t="shared" si="48"/>
        <v>https://www.google.com/maps?q=-11.543591, -41.173328</v>
      </c>
      <c r="L1574" s="5" t="str">
        <f t="shared" si="49"/>
        <v>Abrir no Maps</v>
      </c>
      <c r="M1574" t="s">
        <v>11219</v>
      </c>
      <c r="N1574" s="5"/>
      <c r="O1574" t="str">
        <f>VLOOKUP(G1574,'[1]CONFIG.'!$B:$C,2,0)</f>
        <v>EDSON</v>
      </c>
      <c r="P1574" t="str">
        <f>VLOOKUP(O1574,'[1]CONFIG.'!$C:$D,2,0)</f>
        <v>74 99403278</v>
      </c>
    </row>
    <row r="1575" spans="1:16" x14ac:dyDescent="0.3">
      <c r="A1575" t="s">
        <v>11220</v>
      </c>
      <c r="B1575" t="s">
        <v>11221</v>
      </c>
      <c r="C1575" t="s">
        <v>11222</v>
      </c>
      <c r="D1575" t="s">
        <v>429</v>
      </c>
      <c r="E1575" t="s">
        <v>11223</v>
      </c>
      <c r="F1575" t="s">
        <v>137</v>
      </c>
      <c r="G1575">
        <v>201</v>
      </c>
      <c r="H1575">
        <v>300</v>
      </c>
      <c r="I1575" s="5" t="s">
        <v>11224</v>
      </c>
      <c r="J1575" s="5" t="s">
        <v>11225</v>
      </c>
      <c r="K1575" s="5" t="str">
        <f t="shared" si="48"/>
        <v>https://www.google.com/maps?q=-11.548797, -41.157071</v>
      </c>
      <c r="L1575" s="5" t="str">
        <f t="shared" si="49"/>
        <v>Abrir no Maps</v>
      </c>
      <c r="M1575" t="s">
        <v>11226</v>
      </c>
      <c r="N1575" s="5"/>
      <c r="O1575" t="str">
        <f>VLOOKUP(G1575,'[1]CONFIG.'!$B:$C,2,0)</f>
        <v>EDSON</v>
      </c>
      <c r="P1575" t="str">
        <f>VLOOKUP(O1575,'[1]CONFIG.'!$C:$D,2,0)</f>
        <v>74 99403278</v>
      </c>
    </row>
    <row r="1576" spans="1:16" x14ac:dyDescent="0.3">
      <c r="A1576" t="s">
        <v>11227</v>
      </c>
      <c r="B1576" t="s">
        <v>11228</v>
      </c>
      <c r="C1576" t="s">
        <v>11229</v>
      </c>
      <c r="D1576" t="s">
        <v>429</v>
      </c>
      <c r="E1576" t="s">
        <v>11230</v>
      </c>
      <c r="F1576" t="s">
        <v>10521</v>
      </c>
      <c r="G1576">
        <v>201</v>
      </c>
      <c r="H1576">
        <v>300</v>
      </c>
      <c r="I1576" s="5" t="s">
        <v>11231</v>
      </c>
      <c r="J1576" s="5" t="s">
        <v>11232</v>
      </c>
      <c r="K1576" s="5" t="str">
        <f t="shared" si="48"/>
        <v>https://www.google.com/maps?q=-11.547182, -41.168455</v>
      </c>
      <c r="L1576" s="5" t="str">
        <f t="shared" si="49"/>
        <v>Abrir no Maps</v>
      </c>
      <c r="M1576" t="s">
        <v>11233</v>
      </c>
      <c r="N1576" s="5"/>
      <c r="O1576" t="str">
        <f>VLOOKUP(G1576,'[1]CONFIG.'!$B:$C,2,0)</f>
        <v>EDSON</v>
      </c>
      <c r="P1576" t="str">
        <f>VLOOKUP(O1576,'[1]CONFIG.'!$C:$D,2,0)</f>
        <v>74 99403278</v>
      </c>
    </row>
    <row r="1577" spans="1:16" x14ac:dyDescent="0.3">
      <c r="A1577" t="s">
        <v>11234</v>
      </c>
      <c r="B1577" t="s">
        <v>11235</v>
      </c>
      <c r="C1577" t="s">
        <v>11236</v>
      </c>
      <c r="D1577" t="s">
        <v>429</v>
      </c>
      <c r="E1577" t="s">
        <v>11237</v>
      </c>
      <c r="F1577" t="s">
        <v>429</v>
      </c>
      <c r="G1577">
        <v>201</v>
      </c>
      <c r="H1577">
        <v>300</v>
      </c>
      <c r="I1577" s="5" t="s">
        <v>11238</v>
      </c>
      <c r="J1577" s="5" t="s">
        <v>11239</v>
      </c>
      <c r="K1577" s="5" t="str">
        <f t="shared" si="48"/>
        <v>https://www.google.com/maps?q=-11.549778, -41.168108</v>
      </c>
      <c r="L1577" s="5" t="str">
        <f t="shared" si="49"/>
        <v>Abrir no Maps</v>
      </c>
      <c r="M1577" t="s">
        <v>11240</v>
      </c>
      <c r="N1577" s="5"/>
      <c r="O1577" t="str">
        <f>VLOOKUP(G1577,'[1]CONFIG.'!$B:$C,2,0)</f>
        <v>EDSON</v>
      </c>
      <c r="P1577" t="str">
        <f>VLOOKUP(O1577,'[1]CONFIG.'!$C:$D,2,0)</f>
        <v>74 99403278</v>
      </c>
    </row>
    <row r="1578" spans="1:16" x14ac:dyDescent="0.3">
      <c r="A1578" t="s">
        <v>11241</v>
      </c>
      <c r="B1578" t="s">
        <v>11242</v>
      </c>
      <c r="C1578" t="s">
        <v>11243</v>
      </c>
      <c r="D1578" t="s">
        <v>429</v>
      </c>
      <c r="E1578" t="s">
        <v>11244</v>
      </c>
      <c r="F1578" t="s">
        <v>10652</v>
      </c>
      <c r="G1578">
        <v>205</v>
      </c>
      <c r="H1578">
        <v>300</v>
      </c>
      <c r="I1578" s="5" t="s">
        <v>11245</v>
      </c>
      <c r="J1578" s="5" t="s">
        <v>11246</v>
      </c>
      <c r="K1578" s="5" t="str">
        <f t="shared" si="48"/>
        <v>https://www.google.com/maps?q=-11.273166, -41.018525</v>
      </c>
      <c r="L1578" s="5" t="str">
        <f t="shared" si="49"/>
        <v>Abrir no Maps</v>
      </c>
      <c r="M1578" t="s">
        <v>11247</v>
      </c>
      <c r="N1578" s="5"/>
      <c r="O1578" t="str">
        <f>VLOOKUP(G1578,'[1]CONFIG.'!$B:$C,2,0)</f>
        <v>EMETIO</v>
      </c>
      <c r="P1578" t="str">
        <f>VLOOKUP(O1578,'[1]CONFIG.'!$C:$D,2,0)</f>
        <v>74 98039589</v>
      </c>
    </row>
    <row r="1579" spans="1:16" x14ac:dyDescent="0.3">
      <c r="A1579" t="s">
        <v>11248</v>
      </c>
      <c r="B1579" t="s">
        <v>11249</v>
      </c>
      <c r="C1579" t="s">
        <v>11250</v>
      </c>
      <c r="D1579" t="s">
        <v>429</v>
      </c>
      <c r="E1579" t="s">
        <v>11251</v>
      </c>
      <c r="F1579" t="s">
        <v>137</v>
      </c>
      <c r="G1579">
        <v>201</v>
      </c>
      <c r="H1579">
        <v>300</v>
      </c>
      <c r="I1579" s="5" t="s">
        <v>11252</v>
      </c>
      <c r="J1579" s="5" t="s">
        <v>11253</v>
      </c>
      <c r="K1579" s="5" t="str">
        <f t="shared" si="48"/>
        <v>https://www.google.com/maps?q=-11.549126, -41.158779</v>
      </c>
      <c r="L1579" s="5" t="str">
        <f t="shared" si="49"/>
        <v>Abrir no Maps</v>
      </c>
      <c r="M1579" t="s">
        <v>11254</v>
      </c>
      <c r="N1579" s="5"/>
      <c r="O1579" t="str">
        <f>VLOOKUP(G1579,'[1]CONFIG.'!$B:$C,2,0)</f>
        <v>EDSON</v>
      </c>
      <c r="P1579" t="str">
        <f>VLOOKUP(O1579,'[1]CONFIG.'!$C:$D,2,0)</f>
        <v>74 99403278</v>
      </c>
    </row>
    <row r="1580" spans="1:16" x14ac:dyDescent="0.3">
      <c r="A1580" t="s">
        <v>11255</v>
      </c>
      <c r="B1580" t="s">
        <v>11256</v>
      </c>
      <c r="C1580" t="s">
        <v>11257</v>
      </c>
      <c r="D1580" t="s">
        <v>5973</v>
      </c>
      <c r="E1580" t="s">
        <v>11258</v>
      </c>
      <c r="F1580" t="s">
        <v>11259</v>
      </c>
      <c r="G1580">
        <v>202</v>
      </c>
      <c r="H1580">
        <v>500</v>
      </c>
      <c r="I1580" s="5" t="s">
        <v>11260</v>
      </c>
      <c r="J1580" s="5" t="s">
        <v>11261</v>
      </c>
      <c r="K1580" s="5" t="str">
        <f t="shared" si="48"/>
        <v>https://www.google.com/maps?q=-11.966470, -41.637962</v>
      </c>
      <c r="L1580" s="5" t="str">
        <f t="shared" si="49"/>
        <v>Abrir no Maps</v>
      </c>
      <c r="M1580" t="s">
        <v>11262</v>
      </c>
      <c r="N1580" s="5"/>
      <c r="O1580" t="str">
        <f>VLOOKUP(G1580,'[1]CONFIG.'!$B:$C,2,0)</f>
        <v>ARISTON</v>
      </c>
      <c r="P1580" t="str">
        <f>VLOOKUP(O1580,'[1]CONFIG.'!$C:$D,2,0)</f>
        <v>74 99384078</v>
      </c>
    </row>
    <row r="1581" spans="1:16" x14ac:dyDescent="0.3">
      <c r="A1581" t="s">
        <v>11263</v>
      </c>
      <c r="B1581" t="s">
        <v>11264</v>
      </c>
      <c r="C1581" t="s">
        <v>11265</v>
      </c>
      <c r="D1581" t="s">
        <v>5973</v>
      </c>
      <c r="E1581" t="s">
        <v>11266</v>
      </c>
      <c r="F1581" t="s">
        <v>137</v>
      </c>
      <c r="G1581">
        <v>202</v>
      </c>
      <c r="H1581">
        <v>500</v>
      </c>
      <c r="I1581" s="5" t="s">
        <v>11267</v>
      </c>
      <c r="J1581" s="5" t="s">
        <v>11268</v>
      </c>
      <c r="K1581" s="5" t="str">
        <f t="shared" si="48"/>
        <v>https://www.google.com/maps?q=-11.967916, -41.641030</v>
      </c>
      <c r="L1581" s="5" t="str">
        <f t="shared" si="49"/>
        <v>Abrir no Maps</v>
      </c>
      <c r="M1581">
        <v>0</v>
      </c>
      <c r="N1581" s="5"/>
      <c r="O1581" t="str">
        <f>VLOOKUP(G1581,'[1]CONFIG.'!$B:$C,2,0)</f>
        <v>ARISTON</v>
      </c>
      <c r="P1581" t="str">
        <f>VLOOKUP(O1581,'[1]CONFIG.'!$C:$D,2,0)</f>
        <v>74 99384078</v>
      </c>
    </row>
    <row r="1582" spans="1:16" x14ac:dyDescent="0.3">
      <c r="A1582" t="s">
        <v>11269</v>
      </c>
      <c r="B1582" t="s">
        <v>11270</v>
      </c>
      <c r="C1582" t="s">
        <v>11271</v>
      </c>
      <c r="D1582" t="s">
        <v>5973</v>
      </c>
      <c r="E1582" t="s">
        <v>11272</v>
      </c>
      <c r="F1582" t="s">
        <v>137</v>
      </c>
      <c r="G1582">
        <v>202</v>
      </c>
      <c r="H1582">
        <v>500</v>
      </c>
      <c r="I1582" s="5" t="s">
        <v>11273</v>
      </c>
      <c r="J1582" s="5" t="s">
        <v>11274</v>
      </c>
      <c r="K1582" s="5" t="str">
        <f t="shared" si="48"/>
        <v>https://www.google.com/maps?q=-11.966213, -41.641598</v>
      </c>
      <c r="L1582" s="5" t="str">
        <f t="shared" si="49"/>
        <v>Abrir no Maps</v>
      </c>
      <c r="M1582" t="s">
        <v>11275</v>
      </c>
      <c r="N1582" s="5"/>
      <c r="O1582" t="str">
        <f>VLOOKUP(G1582,'[1]CONFIG.'!$B:$C,2,0)</f>
        <v>ARISTON</v>
      </c>
      <c r="P1582" t="str">
        <f>VLOOKUP(O1582,'[1]CONFIG.'!$C:$D,2,0)</f>
        <v>74 99384078</v>
      </c>
    </row>
    <row r="1583" spans="1:16" x14ac:dyDescent="0.3">
      <c r="A1583" t="s">
        <v>11276</v>
      </c>
      <c r="B1583" t="s">
        <v>11277</v>
      </c>
      <c r="C1583" t="s">
        <v>11278</v>
      </c>
      <c r="D1583" t="s">
        <v>5973</v>
      </c>
      <c r="E1583" t="s">
        <v>11279</v>
      </c>
      <c r="F1583" t="s">
        <v>137</v>
      </c>
      <c r="G1583">
        <v>202</v>
      </c>
      <c r="H1583">
        <v>500</v>
      </c>
      <c r="I1583" s="5" t="s">
        <v>11280</v>
      </c>
      <c r="J1583" s="5" t="s">
        <v>11281</v>
      </c>
      <c r="K1583" s="5" t="str">
        <f t="shared" si="48"/>
        <v>https://www.google.com/maps?q=-11.965796, -41.638165</v>
      </c>
      <c r="L1583" s="5" t="str">
        <f t="shared" si="49"/>
        <v>Abrir no Maps</v>
      </c>
      <c r="M1583" t="s">
        <v>11282</v>
      </c>
      <c r="N1583" s="5"/>
      <c r="O1583" t="str">
        <f>VLOOKUP(G1583,'[1]CONFIG.'!$B:$C,2,0)</f>
        <v>ARISTON</v>
      </c>
      <c r="P1583" t="str">
        <f>VLOOKUP(O1583,'[1]CONFIG.'!$C:$D,2,0)</f>
        <v>74 99384078</v>
      </c>
    </row>
    <row r="1584" spans="1:16" x14ac:dyDescent="0.3">
      <c r="A1584" t="s">
        <v>11283</v>
      </c>
      <c r="B1584" t="s">
        <v>11284</v>
      </c>
      <c r="C1584" t="s">
        <v>11285</v>
      </c>
      <c r="D1584" t="s">
        <v>5973</v>
      </c>
      <c r="E1584" t="s">
        <v>11286</v>
      </c>
      <c r="F1584" t="s">
        <v>137</v>
      </c>
      <c r="G1584">
        <v>202</v>
      </c>
      <c r="H1584">
        <v>500</v>
      </c>
      <c r="I1584" s="5" t="s">
        <v>11287</v>
      </c>
      <c r="J1584" s="5" t="s">
        <v>11288</v>
      </c>
      <c r="K1584" s="5" t="str">
        <f t="shared" si="48"/>
        <v>https://www.google.com/maps?q=-11.964800, -41.639328</v>
      </c>
      <c r="L1584" s="5" t="str">
        <f t="shared" si="49"/>
        <v>Abrir no Maps</v>
      </c>
      <c r="M1584" t="s">
        <v>11289</v>
      </c>
      <c r="N1584" s="5"/>
      <c r="O1584" t="str">
        <f>VLOOKUP(G1584,'[1]CONFIG.'!$B:$C,2,0)</f>
        <v>ARISTON</v>
      </c>
      <c r="P1584" t="str">
        <f>VLOOKUP(O1584,'[1]CONFIG.'!$C:$D,2,0)</f>
        <v>74 99384078</v>
      </c>
    </row>
    <row r="1585" spans="1:16" x14ac:dyDescent="0.3">
      <c r="A1585" t="s">
        <v>11290</v>
      </c>
      <c r="B1585" t="s">
        <v>11291</v>
      </c>
      <c r="C1585" t="s">
        <v>11292</v>
      </c>
      <c r="D1585" t="s">
        <v>5973</v>
      </c>
      <c r="E1585" t="s">
        <v>11293</v>
      </c>
      <c r="F1585" t="s">
        <v>11294</v>
      </c>
      <c r="G1585">
        <v>202</v>
      </c>
      <c r="H1585">
        <v>500</v>
      </c>
      <c r="I1585" s="5" t="s">
        <v>11295</v>
      </c>
      <c r="J1585" s="5" t="s">
        <v>11296</v>
      </c>
      <c r="K1585" s="5" t="str">
        <f t="shared" si="48"/>
        <v>https://www.google.com/maps?q=-11.923365, -41.633327</v>
      </c>
      <c r="L1585" s="5" t="str">
        <f t="shared" si="49"/>
        <v>Abrir no Maps</v>
      </c>
      <c r="M1585" t="s">
        <v>11297</v>
      </c>
      <c r="N1585" s="5"/>
      <c r="O1585" t="str">
        <f>VLOOKUP(G1585,'[1]CONFIG.'!$B:$C,2,0)</f>
        <v>ARISTON</v>
      </c>
      <c r="P1585" t="str">
        <f>VLOOKUP(O1585,'[1]CONFIG.'!$C:$D,2,0)</f>
        <v>74 99384078</v>
      </c>
    </row>
    <row r="1586" spans="1:16" x14ac:dyDescent="0.3">
      <c r="A1586" t="s">
        <v>11298</v>
      </c>
      <c r="B1586" t="s">
        <v>11299</v>
      </c>
      <c r="C1586" t="s">
        <v>11300</v>
      </c>
      <c r="D1586" t="s">
        <v>5973</v>
      </c>
      <c r="E1586" t="s">
        <v>11301</v>
      </c>
      <c r="F1586" t="s">
        <v>137</v>
      </c>
      <c r="G1586">
        <v>202</v>
      </c>
      <c r="H1586">
        <v>500</v>
      </c>
      <c r="I1586" s="5" t="s">
        <v>11302</v>
      </c>
      <c r="J1586" s="5" t="s">
        <v>11303</v>
      </c>
      <c r="K1586" s="5" t="str">
        <f t="shared" si="48"/>
        <v>https://www.google.com/maps?q=-11.968880, -41.638340</v>
      </c>
      <c r="L1586" s="5" t="str">
        <f t="shared" si="49"/>
        <v>Abrir no Maps</v>
      </c>
      <c r="M1586" t="s">
        <v>11304</v>
      </c>
      <c r="N1586" s="5"/>
      <c r="O1586" t="str">
        <f>VLOOKUP(G1586,'[1]CONFIG.'!$B:$C,2,0)</f>
        <v>ARISTON</v>
      </c>
      <c r="P1586" t="str">
        <f>VLOOKUP(O1586,'[1]CONFIG.'!$C:$D,2,0)</f>
        <v>74 99384078</v>
      </c>
    </row>
    <row r="1587" spans="1:16" x14ac:dyDescent="0.3">
      <c r="A1587" t="s">
        <v>11305</v>
      </c>
      <c r="B1587" t="s">
        <v>11306</v>
      </c>
      <c r="C1587" t="s">
        <v>11307</v>
      </c>
      <c r="D1587" t="s">
        <v>5973</v>
      </c>
      <c r="E1587" t="s">
        <v>11308</v>
      </c>
      <c r="F1587" t="s">
        <v>137</v>
      </c>
      <c r="G1587">
        <v>202</v>
      </c>
      <c r="H1587">
        <v>500</v>
      </c>
      <c r="I1587" s="5" t="s">
        <v>11309</v>
      </c>
      <c r="J1587" s="5" t="s">
        <v>11310</v>
      </c>
      <c r="K1587" s="5" t="str">
        <f t="shared" si="48"/>
        <v>https://www.google.com/maps?q=-11.968554, -41.639450</v>
      </c>
      <c r="L1587" s="5" t="str">
        <f t="shared" si="49"/>
        <v>Abrir no Maps</v>
      </c>
      <c r="M1587">
        <v>0</v>
      </c>
      <c r="N1587" s="5"/>
      <c r="O1587" t="str">
        <f>VLOOKUP(G1587,'[1]CONFIG.'!$B:$C,2,0)</f>
        <v>ARISTON</v>
      </c>
      <c r="P1587" t="str">
        <f>VLOOKUP(O1587,'[1]CONFIG.'!$C:$D,2,0)</f>
        <v>74 99384078</v>
      </c>
    </row>
    <row r="1588" spans="1:16" x14ac:dyDescent="0.3">
      <c r="A1588" t="s">
        <v>11311</v>
      </c>
      <c r="B1588" t="s">
        <v>11312</v>
      </c>
      <c r="C1588" t="s">
        <v>11313</v>
      </c>
      <c r="D1588" t="s">
        <v>5973</v>
      </c>
      <c r="E1588" t="s">
        <v>11314</v>
      </c>
      <c r="F1588" t="s">
        <v>11315</v>
      </c>
      <c r="G1588">
        <v>202</v>
      </c>
      <c r="H1588">
        <v>500</v>
      </c>
      <c r="I1588" s="5" t="s">
        <v>11316</v>
      </c>
      <c r="J1588" s="5" t="s">
        <v>11317</v>
      </c>
      <c r="K1588" s="5" t="str">
        <f t="shared" si="48"/>
        <v>https://www.google.com/maps?q=-11.965026, -41.640450</v>
      </c>
      <c r="L1588" s="5" t="str">
        <f t="shared" si="49"/>
        <v>Abrir no Maps</v>
      </c>
      <c r="M1588" t="s">
        <v>11318</v>
      </c>
      <c r="N1588" s="5"/>
      <c r="O1588" t="str">
        <f>VLOOKUP(G1588,'[1]CONFIG.'!$B:$C,2,0)</f>
        <v>ARISTON</v>
      </c>
      <c r="P1588" t="str">
        <f>VLOOKUP(O1588,'[1]CONFIG.'!$C:$D,2,0)</f>
        <v>74 99384078</v>
      </c>
    </row>
    <row r="1589" spans="1:16" x14ac:dyDescent="0.3">
      <c r="A1589" t="s">
        <v>11319</v>
      </c>
      <c r="B1589" t="s">
        <v>11320</v>
      </c>
      <c r="C1589" t="s">
        <v>11321</v>
      </c>
      <c r="D1589" t="s">
        <v>5973</v>
      </c>
      <c r="E1589" t="s">
        <v>11322</v>
      </c>
      <c r="F1589" t="s">
        <v>11323</v>
      </c>
      <c r="G1589">
        <v>202</v>
      </c>
      <c r="H1589">
        <v>500</v>
      </c>
      <c r="I1589" s="5" t="s">
        <v>11324</v>
      </c>
      <c r="J1589" s="5" t="s">
        <v>11325</v>
      </c>
      <c r="K1589" s="5" t="str">
        <f t="shared" si="48"/>
        <v>https://www.google.com/maps?q=-11.952726, -41.619270</v>
      </c>
      <c r="L1589" s="5" t="str">
        <f t="shared" si="49"/>
        <v>Abrir no Maps</v>
      </c>
      <c r="M1589" t="s">
        <v>11326</v>
      </c>
      <c r="N1589" s="5"/>
      <c r="O1589" t="str">
        <f>VLOOKUP(G1589,'[1]CONFIG.'!$B:$C,2,0)</f>
        <v>ARISTON</v>
      </c>
      <c r="P1589" t="str">
        <f>VLOOKUP(O1589,'[1]CONFIG.'!$C:$D,2,0)</f>
        <v>74 99384078</v>
      </c>
    </row>
    <row r="1590" spans="1:16" x14ac:dyDescent="0.3">
      <c r="A1590" t="s">
        <v>11327</v>
      </c>
      <c r="B1590" t="s">
        <v>11328</v>
      </c>
      <c r="C1590" t="s">
        <v>11329</v>
      </c>
      <c r="D1590" t="s">
        <v>5973</v>
      </c>
      <c r="E1590" t="s">
        <v>11330</v>
      </c>
      <c r="F1590" t="s">
        <v>137</v>
      </c>
      <c r="G1590">
        <v>202</v>
      </c>
      <c r="H1590">
        <v>500</v>
      </c>
      <c r="I1590" s="5" t="s">
        <v>11331</v>
      </c>
      <c r="J1590" s="5" t="s">
        <v>11332</v>
      </c>
      <c r="K1590" s="5" t="str">
        <f t="shared" si="48"/>
        <v>https://www.google.com/maps?q=-11.965687, -41.639060</v>
      </c>
      <c r="L1590" s="5" t="str">
        <f t="shared" si="49"/>
        <v>Abrir no Maps</v>
      </c>
      <c r="M1590" t="s">
        <v>11333</v>
      </c>
      <c r="N1590" s="5"/>
      <c r="O1590" t="str">
        <f>VLOOKUP(G1590,'[1]CONFIG.'!$B:$C,2,0)</f>
        <v>ARISTON</v>
      </c>
      <c r="P1590" t="str">
        <f>VLOOKUP(O1590,'[1]CONFIG.'!$C:$D,2,0)</f>
        <v>74 99384078</v>
      </c>
    </row>
    <row r="1591" spans="1:16" x14ac:dyDescent="0.3">
      <c r="A1591" t="s">
        <v>11334</v>
      </c>
      <c r="B1591" t="s">
        <v>11335</v>
      </c>
      <c r="C1591" t="s">
        <v>11336</v>
      </c>
      <c r="D1591" t="s">
        <v>5973</v>
      </c>
      <c r="E1591" t="s">
        <v>11337</v>
      </c>
      <c r="F1591" t="s">
        <v>11338</v>
      </c>
      <c r="G1591">
        <v>202</v>
      </c>
      <c r="H1591">
        <v>500</v>
      </c>
      <c r="I1591" s="5" t="s">
        <v>11339</v>
      </c>
      <c r="J1591" s="5" t="s">
        <v>11340</v>
      </c>
      <c r="K1591" s="5" t="str">
        <f t="shared" si="48"/>
        <v>https://www.google.com/maps?q=-11.884615, -41.652576</v>
      </c>
      <c r="L1591" s="5" t="str">
        <f t="shared" si="49"/>
        <v>Abrir no Maps</v>
      </c>
      <c r="M1591">
        <v>0</v>
      </c>
      <c r="N1591" s="5"/>
      <c r="O1591" t="str">
        <f>VLOOKUP(G1591,'[1]CONFIG.'!$B:$C,2,0)</f>
        <v>ARISTON</v>
      </c>
      <c r="P1591" t="str">
        <f>VLOOKUP(O1591,'[1]CONFIG.'!$C:$D,2,0)</f>
        <v>74 99384078</v>
      </c>
    </row>
    <row r="1592" spans="1:16" x14ac:dyDescent="0.3">
      <c r="A1592" t="s">
        <v>11341</v>
      </c>
      <c r="B1592" t="s">
        <v>11342</v>
      </c>
      <c r="C1592" t="s">
        <v>11343</v>
      </c>
      <c r="D1592" t="s">
        <v>5973</v>
      </c>
      <c r="E1592" t="s">
        <v>11344</v>
      </c>
      <c r="F1592" t="s">
        <v>11345</v>
      </c>
      <c r="G1592">
        <v>202</v>
      </c>
      <c r="H1592">
        <v>500</v>
      </c>
      <c r="I1592" s="5" t="s">
        <v>11346</v>
      </c>
      <c r="J1592" s="5" t="s">
        <v>11347</v>
      </c>
      <c r="K1592" s="5" t="str">
        <f t="shared" si="48"/>
        <v>https://www.google.com/maps?q=-11.874363, -41.671820</v>
      </c>
      <c r="L1592" s="5" t="str">
        <f t="shared" si="49"/>
        <v>Abrir no Maps</v>
      </c>
      <c r="M1592" t="s">
        <v>11348</v>
      </c>
      <c r="N1592" s="5"/>
      <c r="O1592" t="str">
        <f>VLOOKUP(G1592,'[1]CONFIG.'!$B:$C,2,0)</f>
        <v>ARISTON</v>
      </c>
      <c r="P1592" t="str">
        <f>VLOOKUP(O1592,'[1]CONFIG.'!$C:$D,2,0)</f>
        <v>74 99384078</v>
      </c>
    </row>
    <row r="1593" spans="1:16" x14ac:dyDescent="0.3">
      <c r="A1593" t="s">
        <v>11349</v>
      </c>
      <c r="B1593" t="s">
        <v>11350</v>
      </c>
      <c r="C1593" t="s">
        <v>11351</v>
      </c>
      <c r="D1593" t="s">
        <v>5750</v>
      </c>
      <c r="E1593" t="s">
        <v>11352</v>
      </c>
      <c r="F1593" t="s">
        <v>5973</v>
      </c>
      <c r="G1593">
        <v>202</v>
      </c>
      <c r="H1593">
        <v>500</v>
      </c>
      <c r="I1593" s="5" t="s">
        <v>11353</v>
      </c>
      <c r="J1593" s="5" t="s">
        <v>11354</v>
      </c>
      <c r="K1593" s="5" t="str">
        <f t="shared" si="48"/>
        <v>https://www.google.com/maps?q=-11.884189, -41.653660</v>
      </c>
      <c r="L1593" s="5" t="str">
        <f t="shared" si="49"/>
        <v>Abrir no Maps</v>
      </c>
      <c r="M1593" t="s">
        <v>11355</v>
      </c>
      <c r="N1593" s="5"/>
      <c r="O1593" t="str">
        <f>VLOOKUP(G1593,'[1]CONFIG.'!$B:$C,2,0)</f>
        <v>ARISTON</v>
      </c>
      <c r="P1593" t="str">
        <f>VLOOKUP(O1593,'[1]CONFIG.'!$C:$D,2,0)</f>
        <v>74 99384078</v>
      </c>
    </row>
    <row r="1594" spans="1:16" x14ac:dyDescent="0.3">
      <c r="A1594" t="s">
        <v>11356</v>
      </c>
      <c r="B1594" t="s">
        <v>11357</v>
      </c>
      <c r="C1594" t="s">
        <v>11358</v>
      </c>
      <c r="D1594" t="s">
        <v>5973</v>
      </c>
      <c r="E1594" t="s">
        <v>11359</v>
      </c>
      <c r="F1594" t="s">
        <v>11360</v>
      </c>
      <c r="G1594">
        <v>202</v>
      </c>
      <c r="H1594">
        <v>500</v>
      </c>
      <c r="I1594" s="5" t="s">
        <v>11361</v>
      </c>
      <c r="J1594" s="5" t="s">
        <v>11362</v>
      </c>
      <c r="K1594" s="5" t="str">
        <f t="shared" si="48"/>
        <v>https://www.google.com/maps?q=-11.968391, -41.640537</v>
      </c>
      <c r="L1594" s="5" t="str">
        <f t="shared" si="49"/>
        <v>Abrir no Maps</v>
      </c>
      <c r="M1594" t="s">
        <v>11363</v>
      </c>
      <c r="N1594" s="5"/>
      <c r="O1594" t="str">
        <f>VLOOKUP(G1594,'[1]CONFIG.'!$B:$C,2,0)</f>
        <v>ARISTON</v>
      </c>
      <c r="P1594" t="str">
        <f>VLOOKUP(O1594,'[1]CONFIG.'!$C:$D,2,0)</f>
        <v>74 99384078</v>
      </c>
    </row>
    <row r="1595" spans="1:16" x14ac:dyDescent="0.3">
      <c r="A1595" t="s">
        <v>11364</v>
      </c>
      <c r="B1595" t="s">
        <v>11365</v>
      </c>
      <c r="C1595" t="s">
        <v>11366</v>
      </c>
      <c r="D1595" t="s">
        <v>5973</v>
      </c>
      <c r="E1595" t="s">
        <v>11367</v>
      </c>
      <c r="F1595" t="s">
        <v>137</v>
      </c>
      <c r="G1595">
        <v>202</v>
      </c>
      <c r="H1595">
        <v>500</v>
      </c>
      <c r="I1595" s="5" t="s">
        <v>11368</v>
      </c>
      <c r="J1595" s="5" t="s">
        <v>11369</v>
      </c>
      <c r="K1595" s="5" t="str">
        <f t="shared" si="48"/>
        <v>https://www.google.com/maps?q=-11.965755, -41.639774</v>
      </c>
      <c r="L1595" s="5" t="str">
        <f t="shared" si="49"/>
        <v>Abrir no Maps</v>
      </c>
      <c r="M1595" t="s">
        <v>11370</v>
      </c>
      <c r="N1595" s="5"/>
      <c r="O1595" t="str">
        <f>VLOOKUP(G1595,'[1]CONFIG.'!$B:$C,2,0)</f>
        <v>ARISTON</v>
      </c>
      <c r="P1595" t="str">
        <f>VLOOKUP(O1595,'[1]CONFIG.'!$C:$D,2,0)</f>
        <v>74 99384078</v>
      </c>
    </row>
    <row r="1596" spans="1:16" x14ac:dyDescent="0.3">
      <c r="A1596" t="s">
        <v>11371</v>
      </c>
      <c r="B1596" t="s">
        <v>11372</v>
      </c>
      <c r="C1596" t="s">
        <v>11373</v>
      </c>
      <c r="D1596" t="s">
        <v>5973</v>
      </c>
      <c r="E1596" t="s">
        <v>11374</v>
      </c>
      <c r="F1596" t="s">
        <v>137</v>
      </c>
      <c r="G1596">
        <v>202</v>
      </c>
      <c r="H1596">
        <v>500</v>
      </c>
      <c r="I1596" s="5" t="s">
        <v>11375</v>
      </c>
      <c r="J1596" s="5" t="s">
        <v>11376</v>
      </c>
      <c r="K1596" s="5" t="str">
        <f t="shared" si="48"/>
        <v>https://www.google.com/maps?q=-11.965575, -41.641838</v>
      </c>
      <c r="L1596" s="5" t="str">
        <f t="shared" si="49"/>
        <v>Abrir no Maps</v>
      </c>
      <c r="M1596" t="s">
        <v>11377</v>
      </c>
      <c r="N1596" s="5"/>
      <c r="O1596" t="str">
        <f>VLOOKUP(G1596,'[1]CONFIG.'!$B:$C,2,0)</f>
        <v>ARISTON</v>
      </c>
      <c r="P1596" t="str">
        <f>VLOOKUP(O1596,'[1]CONFIG.'!$C:$D,2,0)</f>
        <v>74 99384078</v>
      </c>
    </row>
    <row r="1597" spans="1:16" x14ac:dyDescent="0.3">
      <c r="A1597" t="s">
        <v>11378</v>
      </c>
      <c r="B1597" t="s">
        <v>11379</v>
      </c>
      <c r="C1597" t="s">
        <v>11380</v>
      </c>
      <c r="D1597" t="s">
        <v>5973</v>
      </c>
      <c r="E1597" t="s">
        <v>11381</v>
      </c>
      <c r="F1597" t="s">
        <v>137</v>
      </c>
      <c r="G1597">
        <v>202</v>
      </c>
      <c r="H1597">
        <v>500</v>
      </c>
      <c r="I1597" s="5" t="s">
        <v>11382</v>
      </c>
      <c r="J1597" s="5" t="s">
        <v>11383</v>
      </c>
      <c r="K1597" s="5" t="str">
        <f t="shared" si="48"/>
        <v>https://www.google.com/maps?q=-11.964138, -41.640020</v>
      </c>
      <c r="L1597" s="5" t="str">
        <f t="shared" si="49"/>
        <v>Abrir no Maps</v>
      </c>
      <c r="M1597" t="s">
        <v>11384</v>
      </c>
      <c r="N1597" s="5"/>
      <c r="O1597" t="str">
        <f>VLOOKUP(G1597,'[1]CONFIG.'!$B:$C,2,0)</f>
        <v>ARISTON</v>
      </c>
      <c r="P1597" t="str">
        <f>VLOOKUP(O1597,'[1]CONFIG.'!$C:$D,2,0)</f>
        <v>74 99384078</v>
      </c>
    </row>
    <row r="1598" spans="1:16" x14ac:dyDescent="0.3">
      <c r="A1598" t="s">
        <v>11385</v>
      </c>
      <c r="B1598" t="s">
        <v>11386</v>
      </c>
      <c r="C1598" t="s">
        <v>11387</v>
      </c>
      <c r="D1598" t="s">
        <v>5973</v>
      </c>
      <c r="E1598" t="s">
        <v>11388</v>
      </c>
      <c r="F1598" t="s">
        <v>137</v>
      </c>
      <c r="G1598">
        <v>202</v>
      </c>
      <c r="H1598">
        <v>500</v>
      </c>
      <c r="I1598" s="5" t="s">
        <v>11389</v>
      </c>
      <c r="J1598" s="5" t="s">
        <v>11390</v>
      </c>
      <c r="K1598" s="5" t="str">
        <f t="shared" si="48"/>
        <v>https://www.google.com/maps?q=-11.966873, -41.637802</v>
      </c>
      <c r="L1598" s="5" t="str">
        <f t="shared" si="49"/>
        <v>Abrir no Maps</v>
      </c>
      <c r="M1598" t="s">
        <v>11391</v>
      </c>
      <c r="N1598" s="5"/>
      <c r="O1598" t="str">
        <f>VLOOKUP(G1598,'[1]CONFIG.'!$B:$C,2,0)</f>
        <v>ARISTON</v>
      </c>
      <c r="P1598" t="str">
        <f>VLOOKUP(O1598,'[1]CONFIG.'!$C:$D,2,0)</f>
        <v>74 99384078</v>
      </c>
    </row>
    <row r="1599" spans="1:16" x14ac:dyDescent="0.3">
      <c r="A1599" t="s">
        <v>11392</v>
      </c>
      <c r="B1599" t="s">
        <v>11393</v>
      </c>
      <c r="C1599" t="s">
        <v>11394</v>
      </c>
      <c r="D1599" t="s">
        <v>5973</v>
      </c>
      <c r="E1599" t="s">
        <v>11395</v>
      </c>
      <c r="F1599" t="s">
        <v>137</v>
      </c>
      <c r="G1599">
        <v>202</v>
      </c>
      <c r="H1599">
        <v>500</v>
      </c>
      <c r="I1599" s="5" t="s">
        <v>11396</v>
      </c>
      <c r="J1599" s="5" t="s">
        <v>11397</v>
      </c>
      <c r="K1599" s="5" t="str">
        <f t="shared" si="48"/>
        <v>https://www.google.com/maps?q=-11.965920, -41.638450</v>
      </c>
      <c r="L1599" s="5" t="str">
        <f t="shared" si="49"/>
        <v>Abrir no Maps</v>
      </c>
      <c r="M1599" t="s">
        <v>11398</v>
      </c>
      <c r="N1599" s="5"/>
      <c r="O1599" t="str">
        <f>VLOOKUP(G1599,'[1]CONFIG.'!$B:$C,2,0)</f>
        <v>ARISTON</v>
      </c>
      <c r="P1599" t="str">
        <f>VLOOKUP(O1599,'[1]CONFIG.'!$C:$D,2,0)</f>
        <v>74 99384078</v>
      </c>
    </row>
    <row r="1600" spans="1:16" x14ac:dyDescent="0.3">
      <c r="A1600" t="s">
        <v>11399</v>
      </c>
      <c r="B1600" t="s">
        <v>11400</v>
      </c>
      <c r="C1600" t="s">
        <v>11401</v>
      </c>
      <c r="D1600" t="s">
        <v>5973</v>
      </c>
      <c r="E1600" t="s">
        <v>11402</v>
      </c>
      <c r="F1600" t="s">
        <v>11403</v>
      </c>
      <c r="G1600">
        <v>202</v>
      </c>
      <c r="H1600">
        <v>500</v>
      </c>
      <c r="I1600" s="5" t="s">
        <v>11404</v>
      </c>
      <c r="J1600" s="5" t="s">
        <v>11405</v>
      </c>
      <c r="K1600" s="5" t="str">
        <f t="shared" si="48"/>
        <v>https://www.google.com/maps?q=-11.964640, -41.641800</v>
      </c>
      <c r="L1600" s="5" t="str">
        <f t="shared" si="49"/>
        <v>Abrir no Maps</v>
      </c>
      <c r="M1600" t="s">
        <v>11406</v>
      </c>
      <c r="N1600" s="5"/>
      <c r="O1600" t="str">
        <f>VLOOKUP(G1600,'[1]CONFIG.'!$B:$C,2,0)</f>
        <v>ARISTON</v>
      </c>
      <c r="P1600" t="str">
        <f>VLOOKUP(O1600,'[1]CONFIG.'!$C:$D,2,0)</f>
        <v>74 99384078</v>
      </c>
    </row>
    <row r="1601" spans="1:16" x14ac:dyDescent="0.3">
      <c r="A1601" t="s">
        <v>11407</v>
      </c>
      <c r="B1601" t="s">
        <v>11408</v>
      </c>
      <c r="C1601" t="s">
        <v>11409</v>
      </c>
      <c r="D1601" t="s">
        <v>5973</v>
      </c>
      <c r="E1601" t="s">
        <v>11410</v>
      </c>
      <c r="F1601" t="s">
        <v>137</v>
      </c>
      <c r="G1601">
        <v>202</v>
      </c>
      <c r="H1601">
        <v>500</v>
      </c>
      <c r="I1601" s="5" t="s">
        <v>11411</v>
      </c>
      <c r="J1601" s="5" t="s">
        <v>11412</v>
      </c>
      <c r="K1601" s="5" t="str">
        <f t="shared" si="48"/>
        <v>https://www.google.com/maps?q=-11.965491, -41.642014</v>
      </c>
      <c r="L1601" s="5" t="str">
        <f t="shared" si="49"/>
        <v>Abrir no Maps</v>
      </c>
      <c r="M1601" t="s">
        <v>11413</v>
      </c>
      <c r="N1601" s="5"/>
      <c r="O1601" t="str">
        <f>VLOOKUP(G1601,'[1]CONFIG.'!$B:$C,2,0)</f>
        <v>ARISTON</v>
      </c>
      <c r="P1601" t="str">
        <f>VLOOKUP(O1601,'[1]CONFIG.'!$C:$D,2,0)</f>
        <v>74 99384078</v>
      </c>
    </row>
    <row r="1602" spans="1:16" x14ac:dyDescent="0.3">
      <c r="A1602" t="s">
        <v>11414</v>
      </c>
      <c r="B1602" t="s">
        <v>11415</v>
      </c>
      <c r="C1602" t="s">
        <v>11416</v>
      </c>
      <c r="D1602" t="s">
        <v>5973</v>
      </c>
      <c r="E1602" t="s">
        <v>11417</v>
      </c>
      <c r="F1602" t="s">
        <v>11418</v>
      </c>
      <c r="G1602">
        <v>202</v>
      </c>
      <c r="H1602">
        <v>500</v>
      </c>
      <c r="I1602" s="5" t="s">
        <v>11419</v>
      </c>
      <c r="J1602" s="5" t="s">
        <v>11420</v>
      </c>
      <c r="K1602" s="5" t="str">
        <f t="shared" si="48"/>
        <v>https://www.google.com/maps?q=-11.952841, -41.619354</v>
      </c>
      <c r="L1602" s="5" t="str">
        <f t="shared" si="49"/>
        <v>Abrir no Maps</v>
      </c>
      <c r="M1602" t="s">
        <v>11421</v>
      </c>
      <c r="N1602" s="5"/>
      <c r="O1602" t="str">
        <f>VLOOKUP(G1602,'[1]CONFIG.'!$B:$C,2,0)</f>
        <v>ARISTON</v>
      </c>
      <c r="P1602" t="str">
        <f>VLOOKUP(O1602,'[1]CONFIG.'!$C:$D,2,0)</f>
        <v>74 99384078</v>
      </c>
    </row>
    <row r="1603" spans="1:16" x14ac:dyDescent="0.3">
      <c r="A1603" t="s">
        <v>11422</v>
      </c>
      <c r="B1603" t="s">
        <v>11423</v>
      </c>
      <c r="C1603" t="s">
        <v>11424</v>
      </c>
      <c r="D1603" t="s">
        <v>5973</v>
      </c>
      <c r="E1603" t="s">
        <v>11425</v>
      </c>
      <c r="F1603" t="s">
        <v>137</v>
      </c>
      <c r="G1603">
        <v>202</v>
      </c>
      <c r="H1603">
        <v>500</v>
      </c>
      <c r="I1603" s="5" t="s">
        <v>11426</v>
      </c>
      <c r="J1603" s="5" t="s">
        <v>11427</v>
      </c>
      <c r="K1603" s="5" t="str">
        <f t="shared" si="48"/>
        <v>https://www.google.com/maps?q=-11.967880, -41.637880</v>
      </c>
      <c r="L1603" s="5" t="str">
        <f t="shared" si="49"/>
        <v>Abrir no Maps</v>
      </c>
      <c r="M1603" t="s">
        <v>11428</v>
      </c>
      <c r="N1603" s="5"/>
      <c r="O1603" t="str">
        <f>VLOOKUP(G1603,'[1]CONFIG.'!$B:$C,2,0)</f>
        <v>ARISTON</v>
      </c>
      <c r="P1603" t="str">
        <f>VLOOKUP(O1603,'[1]CONFIG.'!$C:$D,2,0)</f>
        <v>74 99384078</v>
      </c>
    </row>
    <row r="1604" spans="1:16" x14ac:dyDescent="0.3">
      <c r="A1604" t="s">
        <v>11429</v>
      </c>
      <c r="B1604" t="s">
        <v>11430</v>
      </c>
      <c r="C1604" t="s">
        <v>11431</v>
      </c>
      <c r="D1604" t="s">
        <v>5973</v>
      </c>
      <c r="E1604" t="s">
        <v>11432</v>
      </c>
      <c r="F1604" t="s">
        <v>11433</v>
      </c>
      <c r="G1604">
        <v>202</v>
      </c>
      <c r="H1604">
        <v>500</v>
      </c>
      <c r="I1604" s="5" t="s">
        <v>11434</v>
      </c>
      <c r="J1604" s="5" t="s">
        <v>11435</v>
      </c>
      <c r="K1604" s="5" t="str">
        <f t="shared" ref="K1604:K1667" si="50">"https://www.google.com/maps?q="&amp;""&amp;LEFT(I1604,3)&amp;"."&amp;RIGHT(I1604,6)&amp;", "&amp;LEFT(J1604,3)&amp;"."&amp;RIGHT(J1604,6)</f>
        <v>https://www.google.com/maps?q=-11.966655, -41.672550</v>
      </c>
      <c r="L1604" s="5" t="str">
        <f t="shared" ref="L1604:L1667" si="51">HYPERLINK(K1604,"Abrir no Maps")</f>
        <v>Abrir no Maps</v>
      </c>
      <c r="M1604" t="s">
        <v>11436</v>
      </c>
      <c r="N1604" s="5"/>
      <c r="O1604" t="str">
        <f>VLOOKUP(G1604,'[1]CONFIG.'!$B:$C,2,0)</f>
        <v>ARISTON</v>
      </c>
      <c r="P1604" t="str">
        <f>VLOOKUP(O1604,'[1]CONFIG.'!$C:$D,2,0)</f>
        <v>74 99384078</v>
      </c>
    </row>
    <row r="1605" spans="1:16" x14ac:dyDescent="0.3">
      <c r="A1605" t="s">
        <v>11437</v>
      </c>
      <c r="B1605" t="s">
        <v>11438</v>
      </c>
      <c r="C1605" t="s">
        <v>11439</v>
      </c>
      <c r="D1605" t="s">
        <v>5973</v>
      </c>
      <c r="E1605" t="s">
        <v>11440</v>
      </c>
      <c r="F1605" t="s">
        <v>137</v>
      </c>
      <c r="G1605">
        <v>202</v>
      </c>
      <c r="H1605">
        <v>500</v>
      </c>
      <c r="I1605" s="5" t="s">
        <v>11441</v>
      </c>
      <c r="J1605" s="5" t="s">
        <v>11442</v>
      </c>
      <c r="K1605" s="5" t="str">
        <f t="shared" si="50"/>
        <v>https://www.google.com/maps?q=-11.966026, -41.639484</v>
      </c>
      <c r="L1605" s="5" t="str">
        <f t="shared" si="51"/>
        <v>Abrir no Maps</v>
      </c>
      <c r="M1605" t="s">
        <v>11443</v>
      </c>
      <c r="N1605" s="5"/>
      <c r="O1605" t="str">
        <f>VLOOKUP(G1605,'[1]CONFIG.'!$B:$C,2,0)</f>
        <v>ARISTON</v>
      </c>
      <c r="P1605" t="str">
        <f>VLOOKUP(O1605,'[1]CONFIG.'!$C:$D,2,0)</f>
        <v>74 99384078</v>
      </c>
    </row>
    <row r="1606" spans="1:16" x14ac:dyDescent="0.3">
      <c r="A1606" t="s">
        <v>11444</v>
      </c>
      <c r="B1606" t="s">
        <v>11445</v>
      </c>
      <c r="C1606" t="s">
        <v>11446</v>
      </c>
      <c r="D1606" t="s">
        <v>5973</v>
      </c>
      <c r="E1606" t="s">
        <v>11447</v>
      </c>
      <c r="F1606" t="s">
        <v>137</v>
      </c>
      <c r="G1606">
        <v>202</v>
      </c>
      <c r="H1606">
        <v>500</v>
      </c>
      <c r="I1606" s="5" t="s">
        <v>11448</v>
      </c>
      <c r="J1606" s="5" t="s">
        <v>11449</v>
      </c>
      <c r="K1606" s="5" t="str">
        <f t="shared" si="50"/>
        <v>https://www.google.com/maps?q=-11.966431, -41.637863</v>
      </c>
      <c r="L1606" s="5" t="str">
        <f t="shared" si="51"/>
        <v>Abrir no Maps</v>
      </c>
      <c r="M1606" t="s">
        <v>11450</v>
      </c>
      <c r="N1606" s="5"/>
      <c r="O1606" t="str">
        <f>VLOOKUP(G1606,'[1]CONFIG.'!$B:$C,2,0)</f>
        <v>ARISTON</v>
      </c>
      <c r="P1606" t="str">
        <f>VLOOKUP(O1606,'[1]CONFIG.'!$C:$D,2,0)</f>
        <v>74 99384078</v>
      </c>
    </row>
    <row r="1607" spans="1:16" x14ac:dyDescent="0.3">
      <c r="A1607" t="s">
        <v>11451</v>
      </c>
      <c r="B1607" t="s">
        <v>11452</v>
      </c>
      <c r="C1607" t="s">
        <v>11453</v>
      </c>
      <c r="D1607" t="s">
        <v>5973</v>
      </c>
      <c r="E1607" t="s">
        <v>11454</v>
      </c>
      <c r="F1607" t="s">
        <v>137</v>
      </c>
      <c r="G1607">
        <v>202</v>
      </c>
      <c r="H1607">
        <v>500</v>
      </c>
      <c r="I1607" s="5" t="s">
        <v>11455</v>
      </c>
      <c r="J1607" s="5" t="s">
        <v>11456</v>
      </c>
      <c r="K1607" s="5" t="str">
        <f t="shared" si="50"/>
        <v>https://www.google.com/maps?q=-11.966469, -41.646194</v>
      </c>
      <c r="L1607" s="5" t="str">
        <f t="shared" si="51"/>
        <v>Abrir no Maps</v>
      </c>
      <c r="M1607" t="s">
        <v>11457</v>
      </c>
      <c r="N1607" s="5"/>
      <c r="O1607" t="str">
        <f>VLOOKUP(G1607,'[1]CONFIG.'!$B:$C,2,0)</f>
        <v>ARISTON</v>
      </c>
      <c r="P1607" t="str">
        <f>VLOOKUP(O1607,'[1]CONFIG.'!$C:$D,2,0)</f>
        <v>74 99384078</v>
      </c>
    </row>
    <row r="1608" spans="1:16" x14ac:dyDescent="0.3">
      <c r="A1608" t="s">
        <v>11458</v>
      </c>
      <c r="B1608" t="s">
        <v>11459</v>
      </c>
      <c r="C1608" t="s">
        <v>11460</v>
      </c>
      <c r="D1608" t="s">
        <v>5973</v>
      </c>
      <c r="E1608" t="s">
        <v>11461</v>
      </c>
      <c r="F1608" t="s">
        <v>137</v>
      </c>
      <c r="G1608">
        <v>202</v>
      </c>
      <c r="H1608">
        <v>500</v>
      </c>
      <c r="I1608" s="5" t="s">
        <v>11462</v>
      </c>
      <c r="J1608" s="5" t="s">
        <v>11463</v>
      </c>
      <c r="K1608" s="5" t="str">
        <f t="shared" si="50"/>
        <v>https://www.google.com/maps?q=-11.971097, -41.638980</v>
      </c>
      <c r="L1608" s="5" t="str">
        <f t="shared" si="51"/>
        <v>Abrir no Maps</v>
      </c>
      <c r="M1608" t="s">
        <v>11464</v>
      </c>
      <c r="N1608" s="5"/>
      <c r="O1608" t="str">
        <f>VLOOKUP(G1608,'[1]CONFIG.'!$B:$C,2,0)</f>
        <v>ARISTON</v>
      </c>
      <c r="P1608" t="str">
        <f>VLOOKUP(O1608,'[1]CONFIG.'!$C:$D,2,0)</f>
        <v>74 99384078</v>
      </c>
    </row>
    <row r="1609" spans="1:16" x14ac:dyDescent="0.3">
      <c r="A1609" t="s">
        <v>11465</v>
      </c>
      <c r="B1609" t="s">
        <v>11466</v>
      </c>
      <c r="C1609" t="s">
        <v>11467</v>
      </c>
      <c r="D1609" t="s">
        <v>5973</v>
      </c>
      <c r="E1609" t="s">
        <v>11468</v>
      </c>
      <c r="F1609" t="s">
        <v>11315</v>
      </c>
      <c r="G1609">
        <v>202</v>
      </c>
      <c r="H1609">
        <v>500</v>
      </c>
      <c r="I1609" s="5" t="s">
        <v>11469</v>
      </c>
      <c r="J1609" s="5" t="s">
        <v>11470</v>
      </c>
      <c r="K1609" s="5" t="str">
        <f t="shared" si="50"/>
        <v>https://www.google.com/maps?q=-11.965685, -41.641384</v>
      </c>
      <c r="L1609" s="5" t="str">
        <f t="shared" si="51"/>
        <v>Abrir no Maps</v>
      </c>
      <c r="M1609" t="s">
        <v>11471</v>
      </c>
      <c r="N1609" s="5"/>
      <c r="O1609" t="str">
        <f>VLOOKUP(G1609,'[1]CONFIG.'!$B:$C,2,0)</f>
        <v>ARISTON</v>
      </c>
      <c r="P1609" t="str">
        <f>VLOOKUP(O1609,'[1]CONFIG.'!$C:$D,2,0)</f>
        <v>74 99384078</v>
      </c>
    </row>
    <row r="1610" spans="1:16" x14ac:dyDescent="0.3">
      <c r="A1610" t="s">
        <v>11472</v>
      </c>
      <c r="B1610" t="s">
        <v>11473</v>
      </c>
      <c r="C1610" t="s">
        <v>11474</v>
      </c>
      <c r="D1610" t="s">
        <v>5973</v>
      </c>
      <c r="E1610" t="s">
        <v>11475</v>
      </c>
      <c r="F1610" t="s">
        <v>137</v>
      </c>
      <c r="G1610">
        <v>202</v>
      </c>
      <c r="H1610">
        <v>500</v>
      </c>
      <c r="I1610" s="5" t="s">
        <v>11476</v>
      </c>
      <c r="J1610" s="5" t="s">
        <v>11477</v>
      </c>
      <c r="K1610" s="5" t="str">
        <f t="shared" si="50"/>
        <v>https://www.google.com/maps?q=-11.966043, -41.644444</v>
      </c>
      <c r="L1610" s="5" t="str">
        <f t="shared" si="51"/>
        <v>Abrir no Maps</v>
      </c>
      <c r="M1610" t="s">
        <v>11478</v>
      </c>
      <c r="N1610" s="5"/>
      <c r="O1610" t="str">
        <f>VLOOKUP(G1610,'[1]CONFIG.'!$B:$C,2,0)</f>
        <v>ARISTON</v>
      </c>
      <c r="P1610" t="str">
        <f>VLOOKUP(O1610,'[1]CONFIG.'!$C:$D,2,0)</f>
        <v>74 99384078</v>
      </c>
    </row>
    <row r="1611" spans="1:16" x14ac:dyDescent="0.3">
      <c r="A1611" t="s">
        <v>11479</v>
      </c>
      <c r="B1611" t="s">
        <v>11480</v>
      </c>
      <c r="C1611" t="s">
        <v>11481</v>
      </c>
      <c r="D1611" t="s">
        <v>5973</v>
      </c>
      <c r="E1611" t="s">
        <v>11482</v>
      </c>
      <c r="F1611" t="s">
        <v>11315</v>
      </c>
      <c r="G1611">
        <v>202</v>
      </c>
      <c r="H1611">
        <v>500</v>
      </c>
      <c r="I1611" s="5" t="s">
        <v>11483</v>
      </c>
      <c r="J1611" s="5" t="s">
        <v>11484</v>
      </c>
      <c r="K1611" s="5" t="str">
        <f t="shared" si="50"/>
        <v>https://www.google.com/maps?q=-11.965960, -41.644175</v>
      </c>
      <c r="L1611" s="5" t="str">
        <f t="shared" si="51"/>
        <v>Abrir no Maps</v>
      </c>
      <c r="M1611" t="s">
        <v>11485</v>
      </c>
      <c r="N1611" s="5"/>
      <c r="O1611" t="str">
        <f>VLOOKUP(G1611,'[1]CONFIG.'!$B:$C,2,0)</f>
        <v>ARISTON</v>
      </c>
      <c r="P1611" t="str">
        <f>VLOOKUP(O1611,'[1]CONFIG.'!$C:$D,2,0)</f>
        <v>74 99384078</v>
      </c>
    </row>
    <row r="1612" spans="1:16" x14ac:dyDescent="0.3">
      <c r="A1612" t="s">
        <v>11486</v>
      </c>
      <c r="B1612" t="s">
        <v>11487</v>
      </c>
      <c r="C1612" t="s">
        <v>11488</v>
      </c>
      <c r="D1612" t="s">
        <v>5973</v>
      </c>
      <c r="E1612" t="s">
        <v>11489</v>
      </c>
      <c r="F1612" t="s">
        <v>137</v>
      </c>
      <c r="G1612">
        <v>202</v>
      </c>
      <c r="H1612">
        <v>500</v>
      </c>
      <c r="I1612" s="5" t="s">
        <v>11490</v>
      </c>
      <c r="J1612" s="5" t="s">
        <v>11491</v>
      </c>
      <c r="K1612" s="5" t="str">
        <f t="shared" si="50"/>
        <v>https://www.google.com/maps?q=-11.963869, -41.640618</v>
      </c>
      <c r="L1612" s="5" t="str">
        <f t="shared" si="51"/>
        <v>Abrir no Maps</v>
      </c>
      <c r="M1612" t="s">
        <v>11492</v>
      </c>
      <c r="N1612" s="5"/>
      <c r="O1612" t="str">
        <f>VLOOKUP(G1612,'[1]CONFIG.'!$B:$C,2,0)</f>
        <v>ARISTON</v>
      </c>
      <c r="P1612" t="str">
        <f>VLOOKUP(O1612,'[1]CONFIG.'!$C:$D,2,0)</f>
        <v>74 99384078</v>
      </c>
    </row>
    <row r="1613" spans="1:16" x14ac:dyDescent="0.3">
      <c r="A1613" t="s">
        <v>11493</v>
      </c>
      <c r="B1613" t="s">
        <v>11494</v>
      </c>
      <c r="C1613" t="s">
        <v>11495</v>
      </c>
      <c r="D1613" t="s">
        <v>5973</v>
      </c>
      <c r="E1613" t="s">
        <v>11496</v>
      </c>
      <c r="F1613" t="s">
        <v>137</v>
      </c>
      <c r="G1613">
        <v>202</v>
      </c>
      <c r="H1613">
        <v>500</v>
      </c>
      <c r="I1613" s="5" t="s">
        <v>11497</v>
      </c>
      <c r="J1613" s="5" t="s">
        <v>11498</v>
      </c>
      <c r="K1613" s="5" t="str">
        <f t="shared" si="50"/>
        <v>https://www.google.com/maps?q=-11.965722, -41.639565</v>
      </c>
      <c r="L1613" s="5" t="str">
        <f t="shared" si="51"/>
        <v>Abrir no Maps</v>
      </c>
      <c r="M1613" t="s">
        <v>11499</v>
      </c>
      <c r="N1613" s="5"/>
      <c r="O1613" t="str">
        <f>VLOOKUP(G1613,'[1]CONFIG.'!$B:$C,2,0)</f>
        <v>ARISTON</v>
      </c>
      <c r="P1613" t="str">
        <f>VLOOKUP(O1613,'[1]CONFIG.'!$C:$D,2,0)</f>
        <v>74 99384078</v>
      </c>
    </row>
    <row r="1614" spans="1:16" x14ac:dyDescent="0.3">
      <c r="A1614" t="s">
        <v>11500</v>
      </c>
      <c r="B1614" t="s">
        <v>11501</v>
      </c>
      <c r="C1614" t="s">
        <v>11502</v>
      </c>
      <c r="D1614" t="s">
        <v>11503</v>
      </c>
      <c r="E1614" t="s">
        <v>11504</v>
      </c>
      <c r="F1614" t="s">
        <v>11505</v>
      </c>
      <c r="G1614">
        <v>215</v>
      </c>
      <c r="H1614">
        <v>300</v>
      </c>
      <c r="I1614" s="5" t="s">
        <v>11506</v>
      </c>
      <c r="J1614" s="5" t="s">
        <v>11507</v>
      </c>
      <c r="K1614" s="5" t="str">
        <f t="shared" si="50"/>
        <v>https://www.google.com/maps?q=-10.949010, -41.066810</v>
      </c>
      <c r="L1614" s="5" t="str">
        <f t="shared" si="51"/>
        <v>Abrir no Maps</v>
      </c>
      <c r="M1614" t="s">
        <v>11508</v>
      </c>
      <c r="N1614" s="5"/>
      <c r="O1614" t="s">
        <v>11509</v>
      </c>
      <c r="P1614" t="e">
        <f>VLOOKUP(O1614,'[1]CONFIG.'!$C:$D,2,0)</f>
        <v>#N/A</v>
      </c>
    </row>
    <row r="1615" spans="1:16" x14ac:dyDescent="0.3">
      <c r="A1615" t="s">
        <v>11510</v>
      </c>
      <c r="B1615" t="s">
        <v>11511</v>
      </c>
      <c r="C1615" t="s">
        <v>11512</v>
      </c>
      <c r="D1615" t="s">
        <v>11503</v>
      </c>
      <c r="E1615" t="s">
        <v>11513</v>
      </c>
      <c r="F1615" t="s">
        <v>11514</v>
      </c>
      <c r="G1615">
        <v>215</v>
      </c>
      <c r="H1615">
        <v>300</v>
      </c>
      <c r="I1615" s="5" t="s">
        <v>11515</v>
      </c>
      <c r="J1615" s="5" t="s">
        <v>11516</v>
      </c>
      <c r="K1615" s="5" t="str">
        <f t="shared" si="50"/>
        <v>https://www.google.com/maps?q=-10.947876, -41.065890</v>
      </c>
      <c r="L1615" s="5" t="str">
        <f t="shared" si="51"/>
        <v>Abrir no Maps</v>
      </c>
      <c r="M1615" t="s">
        <v>11517</v>
      </c>
      <c r="N1615" s="5"/>
      <c r="O1615" t="s">
        <v>11509</v>
      </c>
      <c r="P1615" t="e">
        <f>VLOOKUP(O1615,'[1]CONFIG.'!$C:$D,2,0)</f>
        <v>#N/A</v>
      </c>
    </row>
    <row r="1616" spans="1:16" x14ac:dyDescent="0.3">
      <c r="A1616" t="s">
        <v>11518</v>
      </c>
      <c r="B1616" t="s">
        <v>11519</v>
      </c>
      <c r="C1616" t="s">
        <v>11520</v>
      </c>
      <c r="D1616" t="s">
        <v>11503</v>
      </c>
      <c r="E1616" t="s">
        <v>11521</v>
      </c>
      <c r="F1616" t="s">
        <v>137</v>
      </c>
      <c r="G1616">
        <v>215</v>
      </c>
      <c r="H1616">
        <v>300</v>
      </c>
      <c r="I1616" s="5" t="s">
        <v>11522</v>
      </c>
      <c r="J1616" s="5" t="s">
        <v>11523</v>
      </c>
      <c r="K1616" s="5" t="str">
        <f t="shared" si="50"/>
        <v>https://www.google.com/maps?q=-10.971230, -41.083282</v>
      </c>
      <c r="L1616" s="5" t="str">
        <f t="shared" si="51"/>
        <v>Abrir no Maps</v>
      </c>
      <c r="M1616" t="s">
        <v>11524</v>
      </c>
      <c r="N1616" s="5"/>
      <c r="O1616" t="s">
        <v>11509</v>
      </c>
      <c r="P1616" t="e">
        <f>VLOOKUP(O1616,'[1]CONFIG.'!$C:$D,2,0)</f>
        <v>#N/A</v>
      </c>
    </row>
    <row r="1617" spans="1:16" x14ac:dyDescent="0.3">
      <c r="A1617" t="s">
        <v>11525</v>
      </c>
      <c r="B1617" t="s">
        <v>11526</v>
      </c>
      <c r="C1617" t="s">
        <v>11527</v>
      </c>
      <c r="D1617" t="s">
        <v>11503</v>
      </c>
      <c r="E1617" t="s">
        <v>11528</v>
      </c>
      <c r="F1617" t="s">
        <v>137</v>
      </c>
      <c r="G1617">
        <v>215</v>
      </c>
      <c r="H1617">
        <v>300</v>
      </c>
      <c r="I1617" s="5" t="s">
        <v>11529</v>
      </c>
      <c r="J1617" s="5" t="s">
        <v>11530</v>
      </c>
      <c r="K1617" s="5" t="str">
        <f t="shared" si="50"/>
        <v>https://www.google.com/maps?q=-10.968801, -41.080696</v>
      </c>
      <c r="L1617" s="5" t="str">
        <f t="shared" si="51"/>
        <v>Abrir no Maps</v>
      </c>
      <c r="M1617" t="s">
        <v>11531</v>
      </c>
      <c r="N1617" s="5"/>
      <c r="O1617" t="s">
        <v>11509</v>
      </c>
      <c r="P1617" t="e">
        <f>VLOOKUP(O1617,'[1]CONFIG.'!$C:$D,2,0)</f>
        <v>#N/A</v>
      </c>
    </row>
    <row r="1618" spans="1:16" x14ac:dyDescent="0.3">
      <c r="A1618" t="s">
        <v>11532</v>
      </c>
      <c r="B1618" t="s">
        <v>11533</v>
      </c>
      <c r="C1618" t="s">
        <v>11534</v>
      </c>
      <c r="D1618" t="s">
        <v>11503</v>
      </c>
      <c r="E1618" t="s">
        <v>11535</v>
      </c>
      <c r="F1618" t="s">
        <v>137</v>
      </c>
      <c r="G1618">
        <v>215</v>
      </c>
      <c r="H1618">
        <v>300</v>
      </c>
      <c r="I1618" s="5" t="s">
        <v>11536</v>
      </c>
      <c r="J1618" s="5" t="s">
        <v>11537</v>
      </c>
      <c r="K1618" s="5" t="str">
        <f t="shared" si="50"/>
        <v>https://www.google.com/maps?q=-10.969231, -41.077866</v>
      </c>
      <c r="L1618" s="5" t="str">
        <f t="shared" si="51"/>
        <v>Abrir no Maps</v>
      </c>
      <c r="M1618" t="s">
        <v>11538</v>
      </c>
      <c r="N1618" s="5"/>
      <c r="O1618" t="s">
        <v>11509</v>
      </c>
      <c r="P1618" t="e">
        <f>VLOOKUP(O1618,'[1]CONFIG.'!$C:$D,2,0)</f>
        <v>#N/A</v>
      </c>
    </row>
    <row r="1619" spans="1:16" x14ac:dyDescent="0.3">
      <c r="A1619" t="s">
        <v>11539</v>
      </c>
      <c r="B1619" t="s">
        <v>11540</v>
      </c>
      <c r="C1619" t="s">
        <v>11541</v>
      </c>
      <c r="D1619" t="s">
        <v>11503</v>
      </c>
      <c r="E1619" t="s">
        <v>11542</v>
      </c>
      <c r="F1619" t="s">
        <v>11543</v>
      </c>
      <c r="G1619">
        <v>215</v>
      </c>
      <c r="H1619">
        <v>300</v>
      </c>
      <c r="I1619" s="5" t="s">
        <v>11544</v>
      </c>
      <c r="J1619" s="5" t="s">
        <v>11545</v>
      </c>
      <c r="K1619" s="5" t="str">
        <f t="shared" si="50"/>
        <v>https://www.google.com/maps?q=-10.851010, -41.382225</v>
      </c>
      <c r="L1619" s="5" t="str">
        <f t="shared" si="51"/>
        <v>Abrir no Maps</v>
      </c>
      <c r="M1619">
        <v>0</v>
      </c>
      <c r="N1619" s="5"/>
      <c r="O1619" t="s">
        <v>11509</v>
      </c>
      <c r="P1619" t="e">
        <f>VLOOKUP(O1619,'[1]CONFIG.'!$C:$D,2,0)</f>
        <v>#N/A</v>
      </c>
    </row>
    <row r="1620" spans="1:16" x14ac:dyDescent="0.3">
      <c r="A1620" t="s">
        <v>11546</v>
      </c>
      <c r="B1620" t="s">
        <v>11547</v>
      </c>
      <c r="C1620" t="s">
        <v>11548</v>
      </c>
      <c r="D1620" t="s">
        <v>11503</v>
      </c>
      <c r="E1620" t="s">
        <v>11549</v>
      </c>
      <c r="F1620" t="s">
        <v>11550</v>
      </c>
      <c r="G1620">
        <v>215</v>
      </c>
      <c r="H1620">
        <v>300</v>
      </c>
      <c r="I1620" s="5" t="s">
        <v>11551</v>
      </c>
      <c r="J1620" s="5" t="s">
        <v>11552</v>
      </c>
      <c r="K1620" s="5" t="str">
        <f t="shared" si="50"/>
        <v>https://www.google.com/maps?q=-10.730512, -41.324770</v>
      </c>
      <c r="L1620" s="5" t="str">
        <f t="shared" si="51"/>
        <v>Abrir no Maps</v>
      </c>
      <c r="M1620" t="s">
        <v>11553</v>
      </c>
      <c r="N1620" s="5"/>
      <c r="O1620" t="s">
        <v>11509</v>
      </c>
      <c r="P1620" t="e">
        <f>VLOOKUP(O1620,'[1]CONFIG.'!$C:$D,2,0)</f>
        <v>#N/A</v>
      </c>
    </row>
    <row r="1621" spans="1:16" x14ac:dyDescent="0.3">
      <c r="A1621" t="s">
        <v>11554</v>
      </c>
      <c r="B1621" t="s">
        <v>11555</v>
      </c>
      <c r="C1621" t="s">
        <v>11556</v>
      </c>
      <c r="D1621" t="s">
        <v>11503</v>
      </c>
      <c r="E1621" t="s">
        <v>11557</v>
      </c>
      <c r="F1621" t="s">
        <v>137</v>
      </c>
      <c r="G1621">
        <v>215</v>
      </c>
      <c r="H1621">
        <v>300</v>
      </c>
      <c r="I1621" s="5" t="s">
        <v>11558</v>
      </c>
      <c r="J1621" s="5" t="s">
        <v>11559</v>
      </c>
      <c r="K1621" s="5" t="str">
        <f t="shared" si="50"/>
        <v>https://www.google.com/maps?q=-10.973487, -41.084170</v>
      </c>
      <c r="L1621" s="5" t="str">
        <f t="shared" si="51"/>
        <v>Abrir no Maps</v>
      </c>
      <c r="M1621" t="s">
        <v>11560</v>
      </c>
      <c r="N1621" s="5"/>
      <c r="O1621" t="s">
        <v>11509</v>
      </c>
      <c r="P1621" t="e">
        <f>VLOOKUP(O1621,'[1]CONFIG.'!$C:$D,2,0)</f>
        <v>#N/A</v>
      </c>
    </row>
    <row r="1622" spans="1:16" x14ac:dyDescent="0.3">
      <c r="A1622" t="s">
        <v>11561</v>
      </c>
      <c r="B1622" t="s">
        <v>11562</v>
      </c>
      <c r="C1622" t="s">
        <v>11563</v>
      </c>
      <c r="D1622" t="s">
        <v>11503</v>
      </c>
      <c r="E1622" t="s">
        <v>11564</v>
      </c>
      <c r="F1622" t="s">
        <v>11565</v>
      </c>
      <c r="G1622">
        <v>215</v>
      </c>
      <c r="H1622">
        <v>300</v>
      </c>
      <c r="I1622" s="5" t="s">
        <v>11566</v>
      </c>
      <c r="J1622" s="5" t="s">
        <v>11567</v>
      </c>
      <c r="K1622" s="5" t="str">
        <f t="shared" si="50"/>
        <v>https://www.google.com/maps?q=-10.968204, -41.077480</v>
      </c>
      <c r="L1622" s="5" t="str">
        <f t="shared" si="51"/>
        <v>Abrir no Maps</v>
      </c>
      <c r="M1622" t="s">
        <v>11568</v>
      </c>
      <c r="N1622" s="5"/>
      <c r="O1622" t="s">
        <v>11509</v>
      </c>
      <c r="P1622" t="e">
        <f>VLOOKUP(O1622,'[1]CONFIG.'!$C:$D,2,0)</f>
        <v>#N/A</v>
      </c>
    </row>
    <row r="1623" spans="1:16" x14ac:dyDescent="0.3">
      <c r="A1623" t="s">
        <v>11569</v>
      </c>
      <c r="B1623" t="s">
        <v>11570</v>
      </c>
      <c r="C1623" t="s">
        <v>11571</v>
      </c>
      <c r="D1623" t="s">
        <v>11503</v>
      </c>
      <c r="E1623" t="s">
        <v>11572</v>
      </c>
      <c r="F1623" t="s">
        <v>11573</v>
      </c>
      <c r="G1623">
        <v>215</v>
      </c>
      <c r="H1623">
        <v>300</v>
      </c>
      <c r="I1623" s="5" t="s">
        <v>11574</v>
      </c>
      <c r="J1623" s="5" t="s">
        <v>11575</v>
      </c>
      <c r="K1623" s="5" t="str">
        <f t="shared" si="50"/>
        <v>https://www.google.com/maps?q=-10.968164, -41.077847</v>
      </c>
      <c r="L1623" s="5" t="str">
        <f t="shared" si="51"/>
        <v>Abrir no Maps</v>
      </c>
      <c r="M1623" t="s">
        <v>11576</v>
      </c>
      <c r="N1623" s="5"/>
      <c r="O1623" t="s">
        <v>11509</v>
      </c>
      <c r="P1623" t="e">
        <f>VLOOKUP(O1623,'[1]CONFIG.'!$C:$D,2,0)</f>
        <v>#N/A</v>
      </c>
    </row>
    <row r="1624" spans="1:16" x14ac:dyDescent="0.3">
      <c r="A1624" t="s">
        <v>11577</v>
      </c>
      <c r="B1624" t="s">
        <v>11578</v>
      </c>
      <c r="C1624" t="s">
        <v>11579</v>
      </c>
      <c r="D1624" t="s">
        <v>11503</v>
      </c>
      <c r="E1624" t="s">
        <v>11580</v>
      </c>
      <c r="F1624" t="s">
        <v>137</v>
      </c>
      <c r="G1624">
        <v>215</v>
      </c>
      <c r="H1624">
        <v>300</v>
      </c>
      <c r="I1624" s="5" t="s">
        <v>11581</v>
      </c>
      <c r="J1624" s="5" t="s">
        <v>11582</v>
      </c>
      <c r="K1624" s="5" t="str">
        <f t="shared" si="50"/>
        <v>https://www.google.com/maps?q=-10.969348, -41.080486</v>
      </c>
      <c r="L1624" s="5" t="str">
        <f t="shared" si="51"/>
        <v>Abrir no Maps</v>
      </c>
      <c r="M1624" t="s">
        <v>11583</v>
      </c>
      <c r="N1624" s="5"/>
      <c r="O1624" t="s">
        <v>11509</v>
      </c>
      <c r="P1624" t="e">
        <f>VLOOKUP(O1624,'[1]CONFIG.'!$C:$D,2,0)</f>
        <v>#N/A</v>
      </c>
    </row>
    <row r="1625" spans="1:16" x14ac:dyDescent="0.3">
      <c r="A1625" t="s">
        <v>11584</v>
      </c>
      <c r="B1625" t="s">
        <v>11585</v>
      </c>
      <c r="C1625" t="s">
        <v>11586</v>
      </c>
      <c r="D1625" t="s">
        <v>11503</v>
      </c>
      <c r="E1625" t="s">
        <v>11587</v>
      </c>
      <c r="F1625" t="s">
        <v>137</v>
      </c>
      <c r="G1625">
        <v>215</v>
      </c>
      <c r="H1625">
        <v>300</v>
      </c>
      <c r="I1625" s="5" t="s">
        <v>11588</v>
      </c>
      <c r="J1625" s="5" t="s">
        <v>11589</v>
      </c>
      <c r="K1625" s="5" t="str">
        <f t="shared" si="50"/>
        <v>https://www.google.com/maps?q=-10.968997, -41.081480</v>
      </c>
      <c r="L1625" s="5" t="str">
        <f t="shared" si="51"/>
        <v>Abrir no Maps</v>
      </c>
      <c r="M1625" t="s">
        <v>11590</v>
      </c>
      <c r="N1625" s="5"/>
      <c r="O1625" t="s">
        <v>11509</v>
      </c>
      <c r="P1625" t="e">
        <f>VLOOKUP(O1625,'[1]CONFIG.'!$C:$D,2,0)</f>
        <v>#N/A</v>
      </c>
    </row>
    <row r="1626" spans="1:16" x14ac:dyDescent="0.3">
      <c r="A1626" t="s">
        <v>11591</v>
      </c>
      <c r="B1626" t="s">
        <v>11592</v>
      </c>
      <c r="C1626" t="s">
        <v>11593</v>
      </c>
      <c r="D1626" t="s">
        <v>11503</v>
      </c>
      <c r="E1626" t="s">
        <v>11594</v>
      </c>
      <c r="F1626" t="s">
        <v>137</v>
      </c>
      <c r="G1626">
        <v>215</v>
      </c>
      <c r="H1626">
        <v>300</v>
      </c>
      <c r="I1626" s="5" t="s">
        <v>11595</v>
      </c>
      <c r="J1626" s="5" t="s">
        <v>11596</v>
      </c>
      <c r="K1626" s="5" t="str">
        <f t="shared" si="50"/>
        <v>https://www.google.com/maps?q=-10.969593, -41.080914</v>
      </c>
      <c r="L1626" s="5" t="str">
        <f t="shared" si="51"/>
        <v>Abrir no Maps</v>
      </c>
      <c r="M1626" t="s">
        <v>11597</v>
      </c>
      <c r="N1626" s="5"/>
      <c r="O1626" t="s">
        <v>11509</v>
      </c>
      <c r="P1626" t="e">
        <f>VLOOKUP(O1626,'[1]CONFIG.'!$C:$D,2,0)</f>
        <v>#N/A</v>
      </c>
    </row>
    <row r="1627" spans="1:16" x14ac:dyDescent="0.3">
      <c r="A1627" t="s">
        <v>11598</v>
      </c>
      <c r="B1627" t="s">
        <v>11599</v>
      </c>
      <c r="C1627" t="s">
        <v>11600</v>
      </c>
      <c r="D1627" t="s">
        <v>11503</v>
      </c>
      <c r="E1627" t="s">
        <v>11601</v>
      </c>
      <c r="F1627" t="s">
        <v>137</v>
      </c>
      <c r="G1627">
        <v>215</v>
      </c>
      <c r="H1627">
        <v>300</v>
      </c>
      <c r="I1627" s="5" t="s">
        <v>11602</v>
      </c>
      <c r="J1627" s="5" t="s">
        <v>11603</v>
      </c>
      <c r="K1627" s="5" t="str">
        <f t="shared" si="50"/>
        <v>https://www.google.com/maps?q=-10.969014, -41.079075</v>
      </c>
      <c r="L1627" s="5" t="str">
        <f t="shared" si="51"/>
        <v>Abrir no Maps</v>
      </c>
      <c r="M1627" t="s">
        <v>11604</v>
      </c>
      <c r="N1627" s="5"/>
      <c r="O1627" t="s">
        <v>11509</v>
      </c>
      <c r="P1627" t="e">
        <f>VLOOKUP(O1627,'[1]CONFIG.'!$C:$D,2,0)</f>
        <v>#N/A</v>
      </c>
    </row>
    <row r="1628" spans="1:16" x14ac:dyDescent="0.3">
      <c r="A1628" t="s">
        <v>11605</v>
      </c>
      <c r="B1628" t="s">
        <v>11606</v>
      </c>
      <c r="C1628" t="s">
        <v>11607</v>
      </c>
      <c r="D1628" t="s">
        <v>11503</v>
      </c>
      <c r="E1628" t="s">
        <v>11608</v>
      </c>
      <c r="F1628" t="s">
        <v>137</v>
      </c>
      <c r="G1628">
        <v>215</v>
      </c>
      <c r="H1628">
        <v>300</v>
      </c>
      <c r="I1628" s="5" t="s">
        <v>11609</v>
      </c>
      <c r="J1628" s="5" t="s">
        <v>11610</v>
      </c>
      <c r="K1628" s="5" t="str">
        <f t="shared" si="50"/>
        <v>https://www.google.com/maps?q=-10.971111, -41.083237</v>
      </c>
      <c r="L1628" s="5" t="str">
        <f t="shared" si="51"/>
        <v>Abrir no Maps</v>
      </c>
      <c r="M1628" t="s">
        <v>11611</v>
      </c>
      <c r="N1628" s="5"/>
      <c r="O1628" t="s">
        <v>11509</v>
      </c>
      <c r="P1628" t="e">
        <f>VLOOKUP(O1628,'[1]CONFIG.'!$C:$D,2,0)</f>
        <v>#N/A</v>
      </c>
    </row>
    <row r="1629" spans="1:16" x14ac:dyDescent="0.3">
      <c r="A1629" t="s">
        <v>11612</v>
      </c>
      <c r="B1629" t="s">
        <v>11613</v>
      </c>
      <c r="C1629" t="s">
        <v>11614</v>
      </c>
      <c r="D1629" t="s">
        <v>11503</v>
      </c>
      <c r="E1629" t="s">
        <v>11615</v>
      </c>
      <c r="F1629" t="s">
        <v>11543</v>
      </c>
      <c r="G1629">
        <v>215</v>
      </c>
      <c r="H1629">
        <v>300</v>
      </c>
      <c r="I1629" s="5" t="s">
        <v>11616</v>
      </c>
      <c r="J1629" s="5" t="s">
        <v>11617</v>
      </c>
      <c r="K1629" s="5" t="str">
        <f t="shared" si="50"/>
        <v>https://www.google.com/maps?q=-10.850270, -41.380430</v>
      </c>
      <c r="L1629" s="5" t="str">
        <f t="shared" si="51"/>
        <v>Abrir no Maps</v>
      </c>
      <c r="M1629" t="s">
        <v>11618</v>
      </c>
      <c r="N1629" s="5"/>
      <c r="O1629" t="s">
        <v>11509</v>
      </c>
      <c r="P1629" t="e">
        <f>VLOOKUP(O1629,'[1]CONFIG.'!$C:$D,2,0)</f>
        <v>#N/A</v>
      </c>
    </row>
    <row r="1630" spans="1:16" x14ac:dyDescent="0.3">
      <c r="A1630" t="s">
        <v>11619</v>
      </c>
      <c r="B1630" t="s">
        <v>11620</v>
      </c>
      <c r="C1630" t="s">
        <v>11621</v>
      </c>
      <c r="D1630" t="s">
        <v>11503</v>
      </c>
      <c r="E1630" t="s">
        <v>11622</v>
      </c>
      <c r="F1630" t="s">
        <v>137</v>
      </c>
      <c r="G1630">
        <v>215</v>
      </c>
      <c r="H1630">
        <v>300</v>
      </c>
      <c r="I1630" s="5" t="s">
        <v>11623</v>
      </c>
      <c r="J1630" s="5" t="s">
        <v>11624</v>
      </c>
      <c r="K1630" s="5" t="str">
        <f t="shared" si="50"/>
        <v>https://www.google.com/maps?q=-10.948303, -41.065940</v>
      </c>
      <c r="L1630" s="5" t="str">
        <f t="shared" si="51"/>
        <v>Abrir no Maps</v>
      </c>
      <c r="M1630" t="s">
        <v>11625</v>
      </c>
      <c r="N1630" s="5"/>
      <c r="O1630" t="s">
        <v>11509</v>
      </c>
      <c r="P1630" t="e">
        <f>VLOOKUP(O1630,'[1]CONFIG.'!$C:$D,2,0)</f>
        <v>#N/A</v>
      </c>
    </row>
    <row r="1631" spans="1:16" x14ac:dyDescent="0.3">
      <c r="A1631" t="s">
        <v>11626</v>
      </c>
      <c r="B1631" t="s">
        <v>11627</v>
      </c>
      <c r="C1631" t="s">
        <v>11628</v>
      </c>
      <c r="D1631" t="s">
        <v>11503</v>
      </c>
      <c r="E1631" t="s">
        <v>11629</v>
      </c>
      <c r="F1631" t="s">
        <v>137</v>
      </c>
      <c r="G1631">
        <v>215</v>
      </c>
      <c r="H1631">
        <v>300</v>
      </c>
      <c r="I1631" s="5" t="s">
        <v>11630</v>
      </c>
      <c r="J1631" s="5" t="s">
        <v>11631</v>
      </c>
      <c r="K1631" s="5" t="str">
        <f t="shared" si="50"/>
        <v>https://www.google.com/maps?q=-10.970143, -41.081604</v>
      </c>
      <c r="L1631" s="5" t="str">
        <f t="shared" si="51"/>
        <v>Abrir no Maps</v>
      </c>
      <c r="M1631" t="s">
        <v>11632</v>
      </c>
      <c r="N1631" s="5"/>
      <c r="O1631" t="s">
        <v>11509</v>
      </c>
      <c r="P1631" t="e">
        <f>VLOOKUP(O1631,'[1]CONFIG.'!$C:$D,2,0)</f>
        <v>#N/A</v>
      </c>
    </row>
    <row r="1632" spans="1:16" x14ac:dyDescent="0.3">
      <c r="A1632" t="s">
        <v>11633</v>
      </c>
      <c r="B1632" t="s">
        <v>11634</v>
      </c>
      <c r="C1632" t="s">
        <v>11635</v>
      </c>
      <c r="D1632" t="s">
        <v>11503</v>
      </c>
      <c r="E1632" t="s">
        <v>11636</v>
      </c>
      <c r="F1632" t="s">
        <v>137</v>
      </c>
      <c r="G1632">
        <v>215</v>
      </c>
      <c r="H1632">
        <v>300</v>
      </c>
      <c r="I1632" s="5" t="s">
        <v>11637</v>
      </c>
      <c r="J1632" s="5" t="s">
        <v>11638</v>
      </c>
      <c r="K1632" s="5" t="str">
        <f t="shared" si="50"/>
        <v>https://www.google.com/maps?q=-10.968974, -41.081880</v>
      </c>
      <c r="L1632" s="5" t="str">
        <f t="shared" si="51"/>
        <v>Abrir no Maps</v>
      </c>
      <c r="M1632" t="s">
        <v>11639</v>
      </c>
      <c r="N1632" s="5"/>
      <c r="O1632" t="s">
        <v>11509</v>
      </c>
      <c r="P1632" t="e">
        <f>VLOOKUP(O1632,'[1]CONFIG.'!$C:$D,2,0)</f>
        <v>#N/A</v>
      </c>
    </row>
    <row r="1633" spans="1:16" x14ac:dyDescent="0.3">
      <c r="A1633" t="s">
        <v>11640</v>
      </c>
      <c r="B1633" t="s">
        <v>11641</v>
      </c>
      <c r="C1633" t="s">
        <v>11642</v>
      </c>
      <c r="D1633" t="s">
        <v>11503</v>
      </c>
      <c r="E1633" t="s">
        <v>11643</v>
      </c>
      <c r="F1633" t="s">
        <v>137</v>
      </c>
      <c r="G1633">
        <v>215</v>
      </c>
      <c r="H1633">
        <v>300</v>
      </c>
      <c r="I1633" s="5" t="s">
        <v>11644</v>
      </c>
      <c r="J1633" s="5" t="s">
        <v>11645</v>
      </c>
      <c r="K1633" s="5" t="str">
        <f t="shared" si="50"/>
        <v>https://www.google.com/maps?q=-10.971512, -41.083280</v>
      </c>
      <c r="L1633" s="5" t="str">
        <f t="shared" si="51"/>
        <v>Abrir no Maps</v>
      </c>
      <c r="M1633" t="s">
        <v>11646</v>
      </c>
      <c r="N1633" s="5"/>
      <c r="O1633" t="s">
        <v>11509</v>
      </c>
      <c r="P1633" t="e">
        <f>VLOOKUP(O1633,'[1]CONFIG.'!$C:$D,2,0)</f>
        <v>#N/A</v>
      </c>
    </row>
    <row r="1634" spans="1:16" x14ac:dyDescent="0.3">
      <c r="A1634" t="s">
        <v>11647</v>
      </c>
      <c r="B1634" t="s">
        <v>11648</v>
      </c>
      <c r="C1634" t="s">
        <v>11649</v>
      </c>
      <c r="D1634" t="s">
        <v>11503</v>
      </c>
      <c r="E1634" t="s">
        <v>11650</v>
      </c>
      <c r="F1634" t="s">
        <v>137</v>
      </c>
      <c r="G1634">
        <v>215</v>
      </c>
      <c r="H1634">
        <v>300</v>
      </c>
      <c r="I1634" s="5" t="s">
        <v>11651</v>
      </c>
      <c r="J1634" s="5" t="s">
        <v>11652</v>
      </c>
      <c r="K1634" s="5" t="str">
        <f t="shared" si="50"/>
        <v>https://www.google.com/maps?q=-10.969562, -41.076374</v>
      </c>
      <c r="L1634" s="5" t="str">
        <f t="shared" si="51"/>
        <v>Abrir no Maps</v>
      </c>
      <c r="M1634" t="s">
        <v>11653</v>
      </c>
      <c r="N1634" s="5"/>
      <c r="O1634" t="s">
        <v>11509</v>
      </c>
      <c r="P1634" t="e">
        <f>VLOOKUP(O1634,'[1]CONFIG.'!$C:$D,2,0)</f>
        <v>#N/A</v>
      </c>
    </row>
    <row r="1635" spans="1:16" x14ac:dyDescent="0.3">
      <c r="A1635" t="s">
        <v>11654</v>
      </c>
      <c r="B1635" t="s">
        <v>11655</v>
      </c>
      <c r="C1635" t="s">
        <v>11656</v>
      </c>
      <c r="D1635" t="s">
        <v>11503</v>
      </c>
      <c r="E1635" t="s">
        <v>11657</v>
      </c>
      <c r="F1635" t="s">
        <v>137</v>
      </c>
      <c r="G1635">
        <v>215</v>
      </c>
      <c r="H1635">
        <v>300</v>
      </c>
      <c r="I1635" s="5" t="s">
        <v>11658</v>
      </c>
      <c r="J1635" s="5" t="s">
        <v>11659</v>
      </c>
      <c r="K1635" s="5" t="str">
        <f t="shared" si="50"/>
        <v>https://www.google.com/maps?q=-10.973200, -41.084040</v>
      </c>
      <c r="L1635" s="5" t="str">
        <f t="shared" si="51"/>
        <v>Abrir no Maps</v>
      </c>
      <c r="M1635" t="s">
        <v>11660</v>
      </c>
      <c r="N1635" s="5"/>
      <c r="O1635" t="s">
        <v>11509</v>
      </c>
      <c r="P1635" t="e">
        <f>VLOOKUP(O1635,'[1]CONFIG.'!$C:$D,2,0)</f>
        <v>#N/A</v>
      </c>
    </row>
    <row r="1636" spans="1:16" x14ac:dyDescent="0.3">
      <c r="A1636" t="s">
        <v>11661</v>
      </c>
      <c r="B1636" t="s">
        <v>11662</v>
      </c>
      <c r="C1636" t="s">
        <v>11663</v>
      </c>
      <c r="D1636" t="s">
        <v>11503</v>
      </c>
      <c r="E1636" t="s">
        <v>11664</v>
      </c>
      <c r="F1636" t="s">
        <v>137</v>
      </c>
      <c r="G1636">
        <v>215</v>
      </c>
      <c r="H1636">
        <v>300</v>
      </c>
      <c r="I1636" s="5" t="s">
        <v>11665</v>
      </c>
      <c r="J1636" s="5" t="s">
        <v>11666</v>
      </c>
      <c r="K1636" s="5" t="str">
        <f t="shared" si="50"/>
        <v>https://www.google.com/maps?q=-10.852308, -41.377090</v>
      </c>
      <c r="L1636" s="5" t="str">
        <f t="shared" si="51"/>
        <v>Abrir no Maps</v>
      </c>
      <c r="M1636" t="s">
        <v>11667</v>
      </c>
      <c r="N1636" s="5"/>
      <c r="O1636" t="s">
        <v>11509</v>
      </c>
      <c r="P1636" t="e">
        <f>VLOOKUP(O1636,'[1]CONFIG.'!$C:$D,2,0)</f>
        <v>#N/A</v>
      </c>
    </row>
    <row r="1637" spans="1:16" x14ac:dyDescent="0.3">
      <c r="A1637" t="s">
        <v>11668</v>
      </c>
      <c r="B1637" t="s">
        <v>11669</v>
      </c>
      <c r="C1637" t="s">
        <v>11670</v>
      </c>
      <c r="D1637" t="s">
        <v>11503</v>
      </c>
      <c r="E1637" t="s">
        <v>11671</v>
      </c>
      <c r="F1637" t="s">
        <v>137</v>
      </c>
      <c r="G1637">
        <v>215</v>
      </c>
      <c r="H1637">
        <v>300</v>
      </c>
      <c r="I1637" s="5" t="s">
        <v>11581</v>
      </c>
      <c r="J1637" s="5" t="s">
        <v>11582</v>
      </c>
      <c r="K1637" s="5" t="str">
        <f t="shared" si="50"/>
        <v>https://www.google.com/maps?q=-10.969348, -41.080486</v>
      </c>
      <c r="L1637" s="5" t="str">
        <f t="shared" si="51"/>
        <v>Abrir no Maps</v>
      </c>
      <c r="M1637" t="s">
        <v>11672</v>
      </c>
      <c r="N1637" s="5"/>
      <c r="O1637" t="s">
        <v>11509</v>
      </c>
      <c r="P1637" t="e">
        <f>VLOOKUP(O1637,'[1]CONFIG.'!$C:$D,2,0)</f>
        <v>#N/A</v>
      </c>
    </row>
    <row r="1638" spans="1:16" x14ac:dyDescent="0.3">
      <c r="A1638" t="s">
        <v>11673</v>
      </c>
      <c r="B1638" t="s">
        <v>11674</v>
      </c>
      <c r="C1638" t="s">
        <v>11675</v>
      </c>
      <c r="D1638" t="s">
        <v>11503</v>
      </c>
      <c r="E1638" t="s">
        <v>11676</v>
      </c>
      <c r="F1638" t="s">
        <v>137</v>
      </c>
      <c r="G1638">
        <v>215</v>
      </c>
      <c r="H1638">
        <v>300</v>
      </c>
      <c r="I1638" s="5" t="s">
        <v>11677</v>
      </c>
      <c r="J1638" s="5" t="s">
        <v>11678</v>
      </c>
      <c r="K1638" s="5" t="str">
        <f t="shared" si="50"/>
        <v>https://www.google.com/maps?q=-10.970292, -41.080430</v>
      </c>
      <c r="L1638" s="5" t="str">
        <f t="shared" si="51"/>
        <v>Abrir no Maps</v>
      </c>
      <c r="M1638" t="s">
        <v>11679</v>
      </c>
      <c r="N1638" s="5"/>
      <c r="O1638" t="s">
        <v>11509</v>
      </c>
      <c r="P1638" t="e">
        <f>VLOOKUP(O1638,'[1]CONFIG.'!$C:$D,2,0)</f>
        <v>#N/A</v>
      </c>
    </row>
    <row r="1639" spans="1:16" x14ac:dyDescent="0.3">
      <c r="A1639" t="s">
        <v>11680</v>
      </c>
      <c r="B1639" t="s">
        <v>11681</v>
      </c>
      <c r="C1639" t="s">
        <v>11682</v>
      </c>
      <c r="D1639" t="s">
        <v>11503</v>
      </c>
      <c r="E1639" t="s">
        <v>11683</v>
      </c>
      <c r="F1639" t="s">
        <v>137</v>
      </c>
      <c r="G1639">
        <v>215</v>
      </c>
      <c r="H1639">
        <v>300</v>
      </c>
      <c r="I1639" s="5" t="s">
        <v>11684</v>
      </c>
      <c r="J1639" s="5" t="s">
        <v>11685</v>
      </c>
      <c r="K1639" s="5" t="str">
        <f t="shared" si="50"/>
        <v>https://www.google.com/maps?q=-10.970713, -41.080070</v>
      </c>
      <c r="L1639" s="5" t="str">
        <f t="shared" si="51"/>
        <v>Abrir no Maps</v>
      </c>
      <c r="M1639" t="s">
        <v>11686</v>
      </c>
      <c r="N1639" s="5"/>
      <c r="O1639" t="s">
        <v>11509</v>
      </c>
      <c r="P1639" t="e">
        <f>VLOOKUP(O1639,'[1]CONFIG.'!$C:$D,2,0)</f>
        <v>#N/A</v>
      </c>
    </row>
    <row r="1640" spans="1:16" x14ac:dyDescent="0.3">
      <c r="A1640" t="s">
        <v>11687</v>
      </c>
      <c r="B1640" t="s">
        <v>11688</v>
      </c>
      <c r="C1640" t="s">
        <v>11689</v>
      </c>
      <c r="D1640" t="s">
        <v>11503</v>
      </c>
      <c r="E1640" t="s">
        <v>11690</v>
      </c>
      <c r="F1640" t="s">
        <v>137</v>
      </c>
      <c r="G1640">
        <v>215</v>
      </c>
      <c r="H1640">
        <v>300</v>
      </c>
      <c r="I1640" s="5" t="s">
        <v>11691</v>
      </c>
      <c r="J1640" s="5" t="s">
        <v>11692</v>
      </c>
      <c r="K1640" s="5" t="str">
        <f t="shared" si="50"/>
        <v>https://www.google.com/maps?q=-10.969093, -41.081450</v>
      </c>
      <c r="L1640" s="5" t="str">
        <f t="shared" si="51"/>
        <v>Abrir no Maps</v>
      </c>
      <c r="M1640" t="s">
        <v>11693</v>
      </c>
      <c r="N1640" s="5"/>
      <c r="O1640" t="s">
        <v>11509</v>
      </c>
      <c r="P1640" t="e">
        <f>VLOOKUP(O1640,'[1]CONFIG.'!$C:$D,2,0)</f>
        <v>#N/A</v>
      </c>
    </row>
    <row r="1641" spans="1:16" x14ac:dyDescent="0.3">
      <c r="A1641" t="s">
        <v>11694</v>
      </c>
      <c r="B1641" t="s">
        <v>11695</v>
      </c>
      <c r="C1641" t="s">
        <v>11696</v>
      </c>
      <c r="D1641" t="s">
        <v>11503</v>
      </c>
      <c r="E1641" t="s">
        <v>11697</v>
      </c>
      <c r="F1641" t="s">
        <v>137</v>
      </c>
      <c r="G1641">
        <v>215</v>
      </c>
      <c r="H1641">
        <v>300</v>
      </c>
      <c r="I1641" s="5" t="s">
        <v>11698</v>
      </c>
      <c r="J1641" s="5" t="s">
        <v>11699</v>
      </c>
      <c r="K1641" s="5" t="str">
        <f t="shared" si="50"/>
        <v>https://www.google.com/maps?q=-10.968608, -41.075270</v>
      </c>
      <c r="L1641" s="5" t="str">
        <f t="shared" si="51"/>
        <v>Abrir no Maps</v>
      </c>
      <c r="M1641" t="s">
        <v>11700</v>
      </c>
      <c r="N1641" s="5"/>
      <c r="O1641" t="s">
        <v>11509</v>
      </c>
      <c r="P1641" t="e">
        <f>VLOOKUP(O1641,'[1]CONFIG.'!$C:$D,2,0)</f>
        <v>#N/A</v>
      </c>
    </row>
    <row r="1642" spans="1:16" x14ac:dyDescent="0.3">
      <c r="A1642" t="s">
        <v>11701</v>
      </c>
      <c r="B1642" t="s">
        <v>11702</v>
      </c>
      <c r="C1642" t="s">
        <v>11703</v>
      </c>
      <c r="D1642" t="s">
        <v>11503</v>
      </c>
      <c r="E1642" t="s">
        <v>11704</v>
      </c>
      <c r="F1642" t="s">
        <v>11543</v>
      </c>
      <c r="G1642">
        <v>215</v>
      </c>
      <c r="H1642">
        <v>300</v>
      </c>
      <c r="I1642" s="5" t="s">
        <v>11705</v>
      </c>
      <c r="J1642" s="5" t="s">
        <v>11706</v>
      </c>
      <c r="K1642" s="5" t="str">
        <f t="shared" si="50"/>
        <v>https://www.google.com/maps?q=-10.852326, -41.381420</v>
      </c>
      <c r="L1642" s="5" t="str">
        <f t="shared" si="51"/>
        <v>Abrir no Maps</v>
      </c>
      <c r="M1642" t="s">
        <v>11707</v>
      </c>
      <c r="N1642" s="5"/>
      <c r="O1642" t="s">
        <v>11509</v>
      </c>
      <c r="P1642" t="e">
        <f>VLOOKUP(O1642,'[1]CONFIG.'!$C:$D,2,0)</f>
        <v>#N/A</v>
      </c>
    </row>
    <row r="1643" spans="1:16" x14ac:dyDescent="0.3">
      <c r="A1643" t="s">
        <v>11708</v>
      </c>
      <c r="B1643" t="s">
        <v>11709</v>
      </c>
      <c r="C1643" t="s">
        <v>11710</v>
      </c>
      <c r="D1643" t="s">
        <v>11503</v>
      </c>
      <c r="E1643" t="s">
        <v>11711</v>
      </c>
      <c r="F1643" t="s">
        <v>137</v>
      </c>
      <c r="G1643">
        <v>215</v>
      </c>
      <c r="H1643">
        <v>300</v>
      </c>
      <c r="I1643" s="5" t="s">
        <v>11712</v>
      </c>
      <c r="J1643" s="5" t="s">
        <v>11713</v>
      </c>
      <c r="K1643" s="5" t="str">
        <f t="shared" si="50"/>
        <v>https://www.google.com/maps?q=-10.970115, -41.080580</v>
      </c>
      <c r="L1643" s="5" t="str">
        <f t="shared" si="51"/>
        <v>Abrir no Maps</v>
      </c>
      <c r="M1643" t="s">
        <v>11714</v>
      </c>
      <c r="N1643" s="5"/>
      <c r="O1643" t="s">
        <v>11509</v>
      </c>
      <c r="P1643" t="e">
        <f>VLOOKUP(O1643,'[1]CONFIG.'!$C:$D,2,0)</f>
        <v>#N/A</v>
      </c>
    </row>
    <row r="1644" spans="1:16" x14ac:dyDescent="0.3">
      <c r="A1644" t="s">
        <v>11715</v>
      </c>
      <c r="B1644" t="s">
        <v>11716</v>
      </c>
      <c r="C1644" t="s">
        <v>11717</v>
      </c>
      <c r="D1644" t="s">
        <v>11503</v>
      </c>
      <c r="E1644" t="s">
        <v>11718</v>
      </c>
      <c r="F1644" t="s">
        <v>11719</v>
      </c>
      <c r="G1644">
        <v>215</v>
      </c>
      <c r="H1644">
        <v>300</v>
      </c>
      <c r="I1644" s="5" t="s">
        <v>11720</v>
      </c>
      <c r="J1644" s="5" t="s">
        <v>11721</v>
      </c>
      <c r="K1644" s="5" t="str">
        <f t="shared" si="50"/>
        <v>https://www.google.com/maps?q=-10.950947, -41.068077</v>
      </c>
      <c r="L1644" s="5" t="str">
        <f t="shared" si="51"/>
        <v>Abrir no Maps</v>
      </c>
      <c r="M1644" t="s">
        <v>11722</v>
      </c>
      <c r="N1644" s="5"/>
      <c r="O1644" t="s">
        <v>11509</v>
      </c>
      <c r="P1644" t="e">
        <f>VLOOKUP(O1644,'[1]CONFIG.'!$C:$D,2,0)</f>
        <v>#N/A</v>
      </c>
    </row>
    <row r="1645" spans="1:16" x14ac:dyDescent="0.3">
      <c r="A1645" t="s">
        <v>11723</v>
      </c>
      <c r="B1645" t="s">
        <v>11724</v>
      </c>
      <c r="C1645" t="s">
        <v>11725</v>
      </c>
      <c r="D1645" t="s">
        <v>11503</v>
      </c>
      <c r="E1645" t="s">
        <v>11726</v>
      </c>
      <c r="F1645" t="s">
        <v>11727</v>
      </c>
      <c r="G1645">
        <v>215</v>
      </c>
      <c r="H1645">
        <v>300</v>
      </c>
      <c r="I1645" s="5" t="s">
        <v>11728</v>
      </c>
      <c r="J1645" s="5" t="s">
        <v>11729</v>
      </c>
      <c r="K1645" s="5" t="str">
        <f t="shared" si="50"/>
        <v>https://www.google.com/maps?q=-10.851666, -41.380833</v>
      </c>
      <c r="L1645" s="5" t="str">
        <f t="shared" si="51"/>
        <v>Abrir no Maps</v>
      </c>
      <c r="M1645" t="s">
        <v>11730</v>
      </c>
      <c r="N1645" s="5"/>
      <c r="O1645" t="s">
        <v>11509</v>
      </c>
      <c r="P1645" t="e">
        <f>VLOOKUP(O1645,'[1]CONFIG.'!$C:$D,2,0)</f>
        <v>#N/A</v>
      </c>
    </row>
    <row r="1646" spans="1:16" x14ac:dyDescent="0.3">
      <c r="A1646" t="s">
        <v>11731</v>
      </c>
      <c r="B1646" t="s">
        <v>11732</v>
      </c>
      <c r="C1646" t="s">
        <v>11733</v>
      </c>
      <c r="D1646" t="s">
        <v>11503</v>
      </c>
      <c r="E1646" t="s">
        <v>11734</v>
      </c>
      <c r="F1646" t="s">
        <v>137</v>
      </c>
      <c r="G1646">
        <v>215</v>
      </c>
      <c r="H1646">
        <v>300</v>
      </c>
      <c r="I1646" s="5" t="s">
        <v>11735</v>
      </c>
      <c r="J1646" s="5" t="s">
        <v>11736</v>
      </c>
      <c r="K1646" s="5" t="str">
        <f t="shared" si="50"/>
        <v>https://www.google.com/maps?q=-10.969722, -41.071390</v>
      </c>
      <c r="L1646" s="5" t="str">
        <f t="shared" si="51"/>
        <v>Abrir no Maps</v>
      </c>
      <c r="M1646" t="s">
        <v>11737</v>
      </c>
      <c r="N1646" s="5"/>
      <c r="O1646" t="s">
        <v>11509</v>
      </c>
      <c r="P1646" t="e">
        <f>VLOOKUP(O1646,'[1]CONFIG.'!$C:$D,2,0)</f>
        <v>#N/A</v>
      </c>
    </row>
    <row r="1647" spans="1:16" x14ac:dyDescent="0.3">
      <c r="A1647" t="s">
        <v>11738</v>
      </c>
      <c r="B1647" t="s">
        <v>11739</v>
      </c>
      <c r="C1647" t="s">
        <v>11740</v>
      </c>
      <c r="D1647" t="s">
        <v>11503</v>
      </c>
      <c r="E1647" t="s">
        <v>11741</v>
      </c>
      <c r="F1647" t="s">
        <v>137</v>
      </c>
      <c r="G1647">
        <v>215</v>
      </c>
      <c r="H1647">
        <v>300</v>
      </c>
      <c r="I1647" s="5" t="s">
        <v>11742</v>
      </c>
      <c r="J1647" s="5" t="s">
        <v>11743</v>
      </c>
      <c r="K1647" s="5" t="str">
        <f t="shared" si="50"/>
        <v>https://www.google.com/maps?q=-10.974167, -41.081390</v>
      </c>
      <c r="L1647" s="5" t="str">
        <f t="shared" si="51"/>
        <v>Abrir no Maps</v>
      </c>
      <c r="M1647" t="s">
        <v>11744</v>
      </c>
      <c r="N1647" s="5"/>
      <c r="O1647" t="s">
        <v>11509</v>
      </c>
      <c r="P1647" t="e">
        <f>VLOOKUP(O1647,'[1]CONFIG.'!$C:$D,2,0)</f>
        <v>#N/A</v>
      </c>
    </row>
    <row r="1648" spans="1:16" x14ac:dyDescent="0.3">
      <c r="A1648" t="s">
        <v>11745</v>
      </c>
      <c r="B1648" t="s">
        <v>11746</v>
      </c>
      <c r="C1648" t="s">
        <v>11747</v>
      </c>
      <c r="D1648" t="s">
        <v>11503</v>
      </c>
      <c r="E1648" t="s">
        <v>11748</v>
      </c>
      <c r="F1648" t="s">
        <v>11749</v>
      </c>
      <c r="G1648">
        <v>215</v>
      </c>
      <c r="H1648">
        <v>300</v>
      </c>
      <c r="I1648" s="5" t="s">
        <v>11750</v>
      </c>
      <c r="J1648" s="5" t="s">
        <v>11751</v>
      </c>
      <c r="K1648" s="5" t="str">
        <f t="shared" si="50"/>
        <v>https://www.google.com/maps?q=-10.967778, -41.075554</v>
      </c>
      <c r="L1648" s="5" t="str">
        <f t="shared" si="51"/>
        <v>Abrir no Maps</v>
      </c>
      <c r="M1648" t="s">
        <v>11752</v>
      </c>
      <c r="N1648" s="5"/>
      <c r="O1648" t="s">
        <v>11509</v>
      </c>
      <c r="P1648" t="e">
        <f>VLOOKUP(O1648,'[1]CONFIG.'!$C:$D,2,0)</f>
        <v>#N/A</v>
      </c>
    </row>
    <row r="1649" spans="1:16" x14ac:dyDescent="0.3">
      <c r="A1649" t="s">
        <v>11753</v>
      </c>
      <c r="B1649" t="s">
        <v>11754</v>
      </c>
      <c r="C1649" t="s">
        <v>11755</v>
      </c>
      <c r="D1649" t="s">
        <v>11503</v>
      </c>
      <c r="E1649" t="s">
        <v>11756</v>
      </c>
      <c r="F1649" t="s">
        <v>11757</v>
      </c>
      <c r="G1649">
        <v>215</v>
      </c>
      <c r="H1649">
        <v>300</v>
      </c>
      <c r="I1649" s="5" t="s">
        <v>11758</v>
      </c>
      <c r="J1649" s="5" t="s">
        <v>11759</v>
      </c>
      <c r="K1649" s="5" t="str">
        <f t="shared" si="50"/>
        <v>https://www.google.com/maps?q=-10.808056, -41.264720</v>
      </c>
      <c r="L1649" s="5" t="str">
        <f t="shared" si="51"/>
        <v>Abrir no Maps</v>
      </c>
      <c r="M1649" t="s">
        <v>11760</v>
      </c>
      <c r="N1649" s="5"/>
      <c r="O1649" t="s">
        <v>11509</v>
      </c>
      <c r="P1649" t="e">
        <f>VLOOKUP(O1649,'[1]CONFIG.'!$C:$D,2,0)</f>
        <v>#N/A</v>
      </c>
    </row>
    <row r="1650" spans="1:16" x14ac:dyDescent="0.3">
      <c r="A1650" t="s">
        <v>11761</v>
      </c>
      <c r="B1650" t="s">
        <v>11762</v>
      </c>
      <c r="C1650" t="s">
        <v>11763</v>
      </c>
      <c r="D1650" t="s">
        <v>11503</v>
      </c>
      <c r="E1650" t="s">
        <v>11764</v>
      </c>
      <c r="F1650" t="s">
        <v>137</v>
      </c>
      <c r="G1650">
        <v>215</v>
      </c>
      <c r="H1650">
        <v>300</v>
      </c>
      <c r="I1650" s="5" t="s">
        <v>11765</v>
      </c>
      <c r="J1650" s="5" t="s">
        <v>11766</v>
      </c>
      <c r="K1650" s="5" t="str">
        <f t="shared" si="50"/>
        <v>https://www.google.com/maps?q=-10.968803, -41.080452</v>
      </c>
      <c r="L1650" s="5" t="str">
        <f t="shared" si="51"/>
        <v>Abrir no Maps</v>
      </c>
      <c r="M1650" t="s">
        <v>11767</v>
      </c>
      <c r="N1650" s="5"/>
      <c r="O1650" t="s">
        <v>11509</v>
      </c>
      <c r="P1650" t="e">
        <f>VLOOKUP(O1650,'[1]CONFIG.'!$C:$D,2,0)</f>
        <v>#N/A</v>
      </c>
    </row>
    <row r="1651" spans="1:16" x14ac:dyDescent="0.3">
      <c r="A1651" t="s">
        <v>11768</v>
      </c>
      <c r="B1651" t="s">
        <v>11769</v>
      </c>
      <c r="C1651" t="s">
        <v>11770</v>
      </c>
      <c r="D1651" t="s">
        <v>11503</v>
      </c>
      <c r="E1651" t="s">
        <v>11771</v>
      </c>
      <c r="F1651" t="s">
        <v>137</v>
      </c>
      <c r="G1651">
        <v>215</v>
      </c>
      <c r="H1651">
        <v>300</v>
      </c>
      <c r="I1651" s="5" t="s">
        <v>11772</v>
      </c>
      <c r="J1651" s="5" t="s">
        <v>11773</v>
      </c>
      <c r="K1651" s="5" t="str">
        <f t="shared" si="50"/>
        <v>https://www.google.com/maps?q=-10.973333, -41.083332</v>
      </c>
      <c r="L1651" s="5" t="str">
        <f t="shared" si="51"/>
        <v>Abrir no Maps</v>
      </c>
      <c r="M1651" t="s">
        <v>11774</v>
      </c>
      <c r="N1651" s="5"/>
      <c r="O1651" t="s">
        <v>11509</v>
      </c>
      <c r="P1651" t="e">
        <f>VLOOKUP(O1651,'[1]CONFIG.'!$C:$D,2,0)</f>
        <v>#N/A</v>
      </c>
    </row>
    <row r="1652" spans="1:16" x14ac:dyDescent="0.3">
      <c r="A1652" t="s">
        <v>11775</v>
      </c>
      <c r="B1652" t="s">
        <v>11776</v>
      </c>
      <c r="C1652" t="s">
        <v>11777</v>
      </c>
      <c r="D1652" t="s">
        <v>11503</v>
      </c>
      <c r="E1652" t="s">
        <v>11778</v>
      </c>
      <c r="F1652" t="s">
        <v>137</v>
      </c>
      <c r="G1652">
        <v>215</v>
      </c>
      <c r="H1652">
        <v>300</v>
      </c>
      <c r="I1652" s="5" t="s">
        <v>11735</v>
      </c>
      <c r="J1652" s="5" t="s">
        <v>11779</v>
      </c>
      <c r="K1652" s="5" t="str">
        <f t="shared" si="50"/>
        <v>https://www.google.com/maps?q=-10.969722, -41.076390</v>
      </c>
      <c r="L1652" s="5" t="str">
        <f t="shared" si="51"/>
        <v>Abrir no Maps</v>
      </c>
      <c r="M1652" t="s">
        <v>11653</v>
      </c>
      <c r="N1652" s="5"/>
      <c r="O1652" t="s">
        <v>11509</v>
      </c>
      <c r="P1652" t="e">
        <f>VLOOKUP(O1652,'[1]CONFIG.'!$C:$D,2,0)</f>
        <v>#N/A</v>
      </c>
    </row>
    <row r="1653" spans="1:16" x14ac:dyDescent="0.3">
      <c r="A1653" t="s">
        <v>11780</v>
      </c>
      <c r="B1653" t="s">
        <v>11781</v>
      </c>
      <c r="C1653" t="s">
        <v>11782</v>
      </c>
      <c r="D1653" t="s">
        <v>11503</v>
      </c>
      <c r="E1653" t="s">
        <v>11783</v>
      </c>
      <c r="F1653" t="s">
        <v>11784</v>
      </c>
      <c r="G1653">
        <v>215</v>
      </c>
      <c r="H1653">
        <v>300</v>
      </c>
      <c r="I1653" s="5" t="s">
        <v>11785</v>
      </c>
      <c r="J1653" s="5" t="s">
        <v>11786</v>
      </c>
      <c r="K1653" s="5" t="str">
        <f t="shared" si="50"/>
        <v>https://www.google.com/maps?q=-10.974722, -40.765556</v>
      </c>
      <c r="L1653" s="5" t="str">
        <f t="shared" si="51"/>
        <v>Abrir no Maps</v>
      </c>
      <c r="M1653" t="s">
        <v>11787</v>
      </c>
      <c r="N1653" s="5"/>
      <c r="O1653" t="s">
        <v>11509</v>
      </c>
      <c r="P1653" t="e">
        <f>VLOOKUP(O1653,'[1]CONFIG.'!$C:$D,2,0)</f>
        <v>#N/A</v>
      </c>
    </row>
    <row r="1654" spans="1:16" x14ac:dyDescent="0.3">
      <c r="A1654" t="s">
        <v>11788</v>
      </c>
      <c r="B1654" t="s">
        <v>11789</v>
      </c>
      <c r="C1654" t="s">
        <v>11790</v>
      </c>
      <c r="D1654" t="s">
        <v>11503</v>
      </c>
      <c r="E1654" t="s">
        <v>11791</v>
      </c>
      <c r="F1654" t="s">
        <v>137</v>
      </c>
      <c r="G1654">
        <v>215</v>
      </c>
      <c r="H1654">
        <v>300</v>
      </c>
      <c r="I1654" s="5" t="s">
        <v>11792</v>
      </c>
      <c r="J1654" s="5" t="s">
        <v>11793</v>
      </c>
      <c r="K1654" s="5" t="str">
        <f t="shared" si="50"/>
        <v>https://www.google.com/maps?q=-10.966415, -41.077500</v>
      </c>
      <c r="L1654" s="5" t="str">
        <f t="shared" si="51"/>
        <v>Abrir no Maps</v>
      </c>
      <c r="M1654" t="s">
        <v>11794</v>
      </c>
      <c r="N1654" s="5"/>
      <c r="O1654" t="s">
        <v>11509</v>
      </c>
      <c r="P1654" t="e">
        <f>VLOOKUP(O1654,'[1]CONFIG.'!$C:$D,2,0)</f>
        <v>#N/A</v>
      </c>
    </row>
    <row r="1655" spans="1:16" x14ac:dyDescent="0.3">
      <c r="A1655" t="s">
        <v>11795</v>
      </c>
      <c r="B1655" t="s">
        <v>11796</v>
      </c>
      <c r="C1655" t="s">
        <v>11797</v>
      </c>
      <c r="D1655" t="s">
        <v>11503</v>
      </c>
      <c r="E1655" t="s">
        <v>11798</v>
      </c>
      <c r="F1655" t="s">
        <v>137</v>
      </c>
      <c r="G1655">
        <v>215</v>
      </c>
      <c r="H1655">
        <v>300</v>
      </c>
      <c r="I1655" s="5" t="s">
        <v>11799</v>
      </c>
      <c r="J1655" s="5" t="s">
        <v>11800</v>
      </c>
      <c r="K1655" s="5" t="str">
        <f t="shared" si="50"/>
        <v>https://www.google.com/maps?q=-10.968980, -41.081040</v>
      </c>
      <c r="L1655" s="5" t="str">
        <f t="shared" si="51"/>
        <v>Abrir no Maps</v>
      </c>
      <c r="M1655" t="s">
        <v>11801</v>
      </c>
      <c r="N1655" s="5"/>
      <c r="O1655" t="s">
        <v>11509</v>
      </c>
      <c r="P1655" t="e">
        <f>VLOOKUP(O1655,'[1]CONFIG.'!$C:$D,2,0)</f>
        <v>#N/A</v>
      </c>
    </row>
    <row r="1656" spans="1:16" x14ac:dyDescent="0.3">
      <c r="A1656" t="s">
        <v>11802</v>
      </c>
      <c r="B1656" t="s">
        <v>11803</v>
      </c>
      <c r="C1656" t="s">
        <v>11804</v>
      </c>
      <c r="D1656" t="s">
        <v>11503</v>
      </c>
      <c r="E1656" t="s">
        <v>11805</v>
      </c>
      <c r="F1656" t="s">
        <v>137</v>
      </c>
      <c r="G1656">
        <v>215</v>
      </c>
      <c r="H1656">
        <v>300</v>
      </c>
      <c r="I1656" s="5" t="s">
        <v>11806</v>
      </c>
      <c r="J1656" s="5" t="s">
        <v>11807</v>
      </c>
      <c r="K1656" s="5" t="str">
        <f t="shared" si="50"/>
        <v>https://www.google.com/maps?q=-10.974811, -41.082973</v>
      </c>
      <c r="L1656" s="5" t="str">
        <f t="shared" si="51"/>
        <v>Abrir no Maps</v>
      </c>
      <c r="M1656" t="s">
        <v>11808</v>
      </c>
      <c r="N1656" s="5"/>
      <c r="O1656" t="s">
        <v>11509</v>
      </c>
      <c r="P1656" t="e">
        <f>VLOOKUP(O1656,'[1]CONFIG.'!$C:$D,2,0)</f>
        <v>#N/A</v>
      </c>
    </row>
    <row r="1657" spans="1:16" x14ac:dyDescent="0.3">
      <c r="A1657" t="s">
        <v>11809</v>
      </c>
      <c r="B1657" t="s">
        <v>11810</v>
      </c>
      <c r="C1657" t="s">
        <v>11811</v>
      </c>
      <c r="D1657" t="s">
        <v>11503</v>
      </c>
      <c r="E1657" t="s">
        <v>11812</v>
      </c>
      <c r="F1657" t="s">
        <v>11757</v>
      </c>
      <c r="G1657">
        <v>215</v>
      </c>
      <c r="H1657">
        <v>300</v>
      </c>
      <c r="I1657" s="5" t="s">
        <v>11813</v>
      </c>
      <c r="J1657" s="5" t="s">
        <v>11814</v>
      </c>
      <c r="K1657" s="5" t="str">
        <f t="shared" si="50"/>
        <v>https://www.google.com/maps?q=-10.807919, -41.264618</v>
      </c>
      <c r="L1657" s="5" t="str">
        <f t="shared" si="51"/>
        <v>Abrir no Maps</v>
      </c>
      <c r="M1657">
        <v>0</v>
      </c>
      <c r="N1657" s="5"/>
      <c r="O1657" t="s">
        <v>11509</v>
      </c>
      <c r="P1657" t="e">
        <f>VLOOKUP(O1657,'[1]CONFIG.'!$C:$D,2,0)</f>
        <v>#N/A</v>
      </c>
    </row>
    <row r="1658" spans="1:16" x14ac:dyDescent="0.3">
      <c r="A1658" t="s">
        <v>11815</v>
      </c>
      <c r="B1658" t="s">
        <v>11816</v>
      </c>
      <c r="C1658" t="s">
        <v>11817</v>
      </c>
      <c r="D1658" t="s">
        <v>11503</v>
      </c>
      <c r="E1658" t="s">
        <v>11818</v>
      </c>
      <c r="F1658" t="s">
        <v>137</v>
      </c>
      <c r="G1658">
        <v>215</v>
      </c>
      <c r="H1658">
        <v>300</v>
      </c>
      <c r="I1658" s="5" t="s">
        <v>11819</v>
      </c>
      <c r="J1658" s="5" t="s">
        <v>11820</v>
      </c>
      <c r="K1658" s="5" t="str">
        <f t="shared" si="50"/>
        <v>https://www.google.com/maps?q=-10.969347, -41.081917</v>
      </c>
      <c r="L1658" s="5" t="str">
        <f t="shared" si="51"/>
        <v>Abrir no Maps</v>
      </c>
      <c r="M1658" t="s">
        <v>11821</v>
      </c>
      <c r="N1658" s="5"/>
      <c r="O1658" t="s">
        <v>11509</v>
      </c>
      <c r="P1658" t="e">
        <f>VLOOKUP(O1658,'[1]CONFIG.'!$C:$D,2,0)</f>
        <v>#N/A</v>
      </c>
    </row>
    <row r="1659" spans="1:16" x14ac:dyDescent="0.3">
      <c r="A1659" t="s">
        <v>11822</v>
      </c>
      <c r="B1659" t="s">
        <v>11823</v>
      </c>
      <c r="C1659" t="s">
        <v>11824</v>
      </c>
      <c r="D1659" t="s">
        <v>11503</v>
      </c>
      <c r="E1659" t="s">
        <v>11825</v>
      </c>
      <c r="F1659" t="s">
        <v>137</v>
      </c>
      <c r="G1659">
        <v>215</v>
      </c>
      <c r="H1659">
        <v>300</v>
      </c>
      <c r="I1659" s="5" t="s">
        <v>11826</v>
      </c>
      <c r="J1659" s="5" t="s">
        <v>11827</v>
      </c>
      <c r="K1659" s="5" t="str">
        <f t="shared" si="50"/>
        <v>https://www.google.com/maps?q=-10.965802, -41.076706</v>
      </c>
      <c r="L1659" s="5" t="str">
        <f t="shared" si="51"/>
        <v>Abrir no Maps</v>
      </c>
      <c r="M1659" t="s">
        <v>11828</v>
      </c>
      <c r="N1659" s="5"/>
      <c r="O1659" t="s">
        <v>11509</v>
      </c>
      <c r="P1659" t="e">
        <f>VLOOKUP(O1659,'[1]CONFIG.'!$C:$D,2,0)</f>
        <v>#N/A</v>
      </c>
    </row>
    <row r="1660" spans="1:16" x14ac:dyDescent="0.3">
      <c r="A1660" t="s">
        <v>11829</v>
      </c>
      <c r="B1660" t="s">
        <v>11830</v>
      </c>
      <c r="C1660" t="s">
        <v>11831</v>
      </c>
      <c r="D1660" t="s">
        <v>11503</v>
      </c>
      <c r="E1660" t="s">
        <v>11832</v>
      </c>
      <c r="F1660" t="s">
        <v>11514</v>
      </c>
      <c r="G1660">
        <v>215</v>
      </c>
      <c r="H1660">
        <v>300</v>
      </c>
      <c r="I1660" s="5" t="s">
        <v>11833</v>
      </c>
      <c r="J1660" s="5" t="s">
        <v>11834</v>
      </c>
      <c r="K1660" s="5" t="str">
        <f t="shared" si="50"/>
        <v>https://www.google.com/maps?q=-10.948220, -41.065994</v>
      </c>
      <c r="L1660" s="5" t="str">
        <f t="shared" si="51"/>
        <v>Abrir no Maps</v>
      </c>
      <c r="M1660" t="s">
        <v>11835</v>
      </c>
      <c r="N1660" s="5"/>
      <c r="O1660" t="s">
        <v>11509</v>
      </c>
      <c r="P1660" t="e">
        <f>VLOOKUP(O1660,'[1]CONFIG.'!$C:$D,2,0)</f>
        <v>#N/A</v>
      </c>
    </row>
    <row r="1661" spans="1:16" x14ac:dyDescent="0.3">
      <c r="A1661" t="s">
        <v>11836</v>
      </c>
      <c r="B1661" t="s">
        <v>11837</v>
      </c>
      <c r="C1661" t="s">
        <v>11838</v>
      </c>
      <c r="D1661" t="s">
        <v>11503</v>
      </c>
      <c r="E1661" t="s">
        <v>11839</v>
      </c>
      <c r="F1661" t="s">
        <v>137</v>
      </c>
      <c r="G1661">
        <v>215</v>
      </c>
      <c r="H1661">
        <v>300</v>
      </c>
      <c r="I1661" s="5" t="s">
        <v>11840</v>
      </c>
      <c r="J1661" s="5" t="s">
        <v>11841</v>
      </c>
      <c r="K1661" s="5" t="str">
        <f t="shared" si="50"/>
        <v>https://www.google.com/maps?q=-10.967093, -41.078613</v>
      </c>
      <c r="L1661" s="5" t="str">
        <f t="shared" si="51"/>
        <v>Abrir no Maps</v>
      </c>
      <c r="M1661" t="s">
        <v>11842</v>
      </c>
      <c r="N1661" s="5"/>
      <c r="O1661" t="s">
        <v>11509</v>
      </c>
      <c r="P1661" t="e">
        <f>VLOOKUP(O1661,'[1]CONFIG.'!$C:$D,2,0)</f>
        <v>#N/A</v>
      </c>
    </row>
    <row r="1662" spans="1:16" x14ac:dyDescent="0.3">
      <c r="A1662" t="s">
        <v>11843</v>
      </c>
      <c r="B1662" t="s">
        <v>11844</v>
      </c>
      <c r="C1662" t="s">
        <v>11845</v>
      </c>
      <c r="D1662" t="s">
        <v>11503</v>
      </c>
      <c r="E1662" t="s">
        <v>11846</v>
      </c>
      <c r="F1662" t="s">
        <v>11847</v>
      </c>
      <c r="G1662">
        <v>215</v>
      </c>
      <c r="H1662">
        <v>300</v>
      </c>
      <c r="I1662" s="5" t="s">
        <v>11848</v>
      </c>
      <c r="J1662" s="5" t="s">
        <v>11849</v>
      </c>
      <c r="K1662" s="5" t="str">
        <f t="shared" si="50"/>
        <v>https://www.google.com/maps?q=-10.968955, -41.081375</v>
      </c>
      <c r="L1662" s="5" t="str">
        <f t="shared" si="51"/>
        <v>Abrir no Maps</v>
      </c>
      <c r="M1662" t="s">
        <v>11850</v>
      </c>
      <c r="N1662" s="5"/>
      <c r="O1662" t="s">
        <v>11509</v>
      </c>
      <c r="P1662" t="e">
        <f>VLOOKUP(O1662,'[1]CONFIG.'!$C:$D,2,0)</f>
        <v>#N/A</v>
      </c>
    </row>
    <row r="1663" spans="1:16" x14ac:dyDescent="0.3">
      <c r="A1663" t="s">
        <v>11851</v>
      </c>
      <c r="B1663" t="s">
        <v>11852</v>
      </c>
      <c r="C1663" t="s">
        <v>11853</v>
      </c>
      <c r="D1663" t="s">
        <v>11503</v>
      </c>
      <c r="E1663" t="s">
        <v>11854</v>
      </c>
      <c r="F1663" t="s">
        <v>137</v>
      </c>
      <c r="G1663">
        <v>215</v>
      </c>
      <c r="H1663">
        <v>300</v>
      </c>
      <c r="I1663" s="5" t="s">
        <v>11855</v>
      </c>
      <c r="J1663" s="5" t="s">
        <v>11856</v>
      </c>
      <c r="K1663" s="5" t="str">
        <f t="shared" si="50"/>
        <v>https://www.google.com/maps?q=-10.957016, -41.071487</v>
      </c>
      <c r="L1663" s="5" t="str">
        <f t="shared" si="51"/>
        <v>Abrir no Maps</v>
      </c>
      <c r="M1663" t="s">
        <v>11857</v>
      </c>
      <c r="N1663" s="5"/>
      <c r="O1663" t="s">
        <v>11509</v>
      </c>
      <c r="P1663" t="e">
        <f>VLOOKUP(O1663,'[1]CONFIG.'!$C:$D,2,0)</f>
        <v>#N/A</v>
      </c>
    </row>
    <row r="1664" spans="1:16" x14ac:dyDescent="0.3">
      <c r="A1664" t="s">
        <v>11858</v>
      </c>
      <c r="B1664" t="s">
        <v>11859</v>
      </c>
      <c r="C1664" t="s">
        <v>11860</v>
      </c>
      <c r="D1664" t="s">
        <v>11503</v>
      </c>
      <c r="E1664" t="s">
        <v>11861</v>
      </c>
      <c r="F1664" t="s">
        <v>137</v>
      </c>
      <c r="G1664">
        <v>215</v>
      </c>
      <c r="H1664">
        <v>300</v>
      </c>
      <c r="I1664" s="5" t="s">
        <v>11862</v>
      </c>
      <c r="J1664" s="5" t="s">
        <v>11863</v>
      </c>
      <c r="K1664" s="5" t="str">
        <f t="shared" si="50"/>
        <v>https://www.google.com/maps?q=-10.968127, -41.075596</v>
      </c>
      <c r="L1664" s="5" t="str">
        <f t="shared" si="51"/>
        <v>Abrir no Maps</v>
      </c>
      <c r="M1664" t="s">
        <v>11864</v>
      </c>
      <c r="N1664" s="5"/>
      <c r="O1664" t="s">
        <v>11509</v>
      </c>
      <c r="P1664" t="e">
        <f>VLOOKUP(O1664,'[1]CONFIG.'!$C:$D,2,0)</f>
        <v>#N/A</v>
      </c>
    </row>
    <row r="1665" spans="1:16" x14ac:dyDescent="0.3">
      <c r="A1665" t="s">
        <v>11865</v>
      </c>
      <c r="B1665" t="s">
        <v>11866</v>
      </c>
      <c r="C1665" t="s">
        <v>11867</v>
      </c>
      <c r="D1665" t="s">
        <v>11503</v>
      </c>
      <c r="E1665" t="s">
        <v>11868</v>
      </c>
      <c r="F1665" t="s">
        <v>137</v>
      </c>
      <c r="G1665">
        <v>215</v>
      </c>
      <c r="H1665">
        <v>300</v>
      </c>
      <c r="I1665" s="5" t="s">
        <v>11869</v>
      </c>
      <c r="J1665" s="5" t="s">
        <v>11870</v>
      </c>
      <c r="K1665" s="5" t="str">
        <f t="shared" si="50"/>
        <v>https://www.google.com/maps?q=-10.966893, -41.085293</v>
      </c>
      <c r="L1665" s="5" t="str">
        <f t="shared" si="51"/>
        <v>Abrir no Maps</v>
      </c>
      <c r="M1665" t="s">
        <v>11871</v>
      </c>
      <c r="N1665" s="5"/>
      <c r="O1665" t="s">
        <v>11509</v>
      </c>
      <c r="P1665" t="e">
        <f>VLOOKUP(O1665,'[1]CONFIG.'!$C:$D,2,0)</f>
        <v>#N/A</v>
      </c>
    </row>
    <row r="1666" spans="1:16" x14ac:dyDescent="0.3">
      <c r="A1666" t="s">
        <v>11872</v>
      </c>
      <c r="B1666" t="s">
        <v>11873</v>
      </c>
      <c r="C1666" t="s">
        <v>11874</v>
      </c>
      <c r="D1666" t="s">
        <v>11503</v>
      </c>
      <c r="E1666" t="s">
        <v>11875</v>
      </c>
      <c r="F1666" t="s">
        <v>137</v>
      </c>
      <c r="G1666">
        <v>215</v>
      </c>
      <c r="H1666">
        <v>300</v>
      </c>
      <c r="I1666" s="5" t="s">
        <v>11876</v>
      </c>
      <c r="J1666" s="5" t="s">
        <v>11877</v>
      </c>
      <c r="K1666" s="5" t="str">
        <f t="shared" si="50"/>
        <v>https://www.google.com/maps?q=-10.970634, -41.082350</v>
      </c>
      <c r="L1666" s="5" t="str">
        <f t="shared" si="51"/>
        <v>Abrir no Maps</v>
      </c>
      <c r="M1666" t="s">
        <v>11878</v>
      </c>
      <c r="N1666" s="5"/>
      <c r="O1666" t="s">
        <v>11509</v>
      </c>
      <c r="P1666" t="e">
        <f>VLOOKUP(O1666,'[1]CONFIG.'!$C:$D,2,0)</f>
        <v>#N/A</v>
      </c>
    </row>
    <row r="1667" spans="1:16" x14ac:dyDescent="0.3">
      <c r="A1667" t="s">
        <v>11879</v>
      </c>
      <c r="B1667" t="s">
        <v>11880</v>
      </c>
      <c r="C1667" t="s">
        <v>11881</v>
      </c>
      <c r="D1667" t="s">
        <v>11503</v>
      </c>
      <c r="E1667" t="s">
        <v>11882</v>
      </c>
      <c r="F1667" t="s">
        <v>137</v>
      </c>
      <c r="G1667">
        <v>215</v>
      </c>
      <c r="H1667">
        <v>300</v>
      </c>
      <c r="I1667" s="5" t="s">
        <v>11883</v>
      </c>
      <c r="J1667" s="5" t="s">
        <v>11884</v>
      </c>
      <c r="K1667" s="5" t="str">
        <f t="shared" si="50"/>
        <v>https://www.google.com/maps?q=-10.959675, -41.073430</v>
      </c>
      <c r="L1667" s="5" t="str">
        <f t="shared" si="51"/>
        <v>Abrir no Maps</v>
      </c>
      <c r="M1667" t="s">
        <v>11885</v>
      </c>
      <c r="N1667" s="5"/>
      <c r="O1667" t="s">
        <v>11509</v>
      </c>
      <c r="P1667" t="e">
        <f>VLOOKUP(O1667,'[1]CONFIG.'!$C:$D,2,0)</f>
        <v>#N/A</v>
      </c>
    </row>
    <row r="1668" spans="1:16" x14ac:dyDescent="0.3">
      <c r="A1668" t="s">
        <v>11886</v>
      </c>
      <c r="B1668" t="s">
        <v>11887</v>
      </c>
      <c r="C1668" t="s">
        <v>11888</v>
      </c>
      <c r="D1668" t="s">
        <v>11503</v>
      </c>
      <c r="E1668" t="s">
        <v>11889</v>
      </c>
      <c r="F1668" t="s">
        <v>11890</v>
      </c>
      <c r="G1668">
        <v>215</v>
      </c>
      <c r="H1668">
        <v>300</v>
      </c>
      <c r="I1668" s="5" t="s">
        <v>11891</v>
      </c>
      <c r="J1668" s="5" t="s">
        <v>11892</v>
      </c>
      <c r="K1668" s="5" t="str">
        <f t="shared" ref="K1668:K1731" si="52">"https://www.google.com/maps?q="&amp;""&amp;LEFT(I1668,3)&amp;"."&amp;RIGHT(I1668,6)&amp;", "&amp;LEFT(J1668,3)&amp;"."&amp;RIGHT(J1668,6)</f>
        <v>https://www.google.com/maps?q=-10.968998, -41.081055</v>
      </c>
      <c r="L1668" s="5" t="str">
        <f t="shared" ref="L1668:L1731" si="53">HYPERLINK(K1668,"Abrir no Maps")</f>
        <v>Abrir no Maps</v>
      </c>
      <c r="M1668" t="s">
        <v>11893</v>
      </c>
      <c r="N1668" s="5"/>
      <c r="O1668" t="s">
        <v>11509</v>
      </c>
      <c r="P1668" t="e">
        <f>VLOOKUP(O1668,'[1]CONFIG.'!$C:$D,2,0)</f>
        <v>#N/A</v>
      </c>
    </row>
    <row r="1669" spans="1:16" x14ac:dyDescent="0.3">
      <c r="A1669" t="s">
        <v>11894</v>
      </c>
      <c r="B1669" t="s">
        <v>11895</v>
      </c>
      <c r="C1669" t="s">
        <v>11896</v>
      </c>
      <c r="D1669" t="s">
        <v>11503</v>
      </c>
      <c r="E1669" t="s">
        <v>11897</v>
      </c>
      <c r="F1669" t="s">
        <v>11898</v>
      </c>
      <c r="G1669">
        <v>215</v>
      </c>
      <c r="H1669">
        <v>300</v>
      </c>
      <c r="I1669" s="5" t="s">
        <v>11899</v>
      </c>
      <c r="J1669" s="5" t="s">
        <v>11900</v>
      </c>
      <c r="K1669" s="5" t="str">
        <f t="shared" si="52"/>
        <v>https://www.google.com/maps?q=-10.968871, -41.081510</v>
      </c>
      <c r="L1669" s="5" t="str">
        <f t="shared" si="53"/>
        <v>Abrir no Maps</v>
      </c>
      <c r="M1669" t="s">
        <v>11901</v>
      </c>
      <c r="N1669" s="5"/>
      <c r="O1669" t="s">
        <v>11509</v>
      </c>
      <c r="P1669" t="e">
        <f>VLOOKUP(O1669,'[1]CONFIG.'!$C:$D,2,0)</f>
        <v>#N/A</v>
      </c>
    </row>
    <row r="1670" spans="1:16" x14ac:dyDescent="0.3">
      <c r="A1670" t="s">
        <v>11902</v>
      </c>
      <c r="B1670" t="s">
        <v>11903</v>
      </c>
      <c r="C1670" t="s">
        <v>11904</v>
      </c>
      <c r="D1670" t="s">
        <v>11503</v>
      </c>
      <c r="E1670" t="s">
        <v>11905</v>
      </c>
      <c r="F1670" t="s">
        <v>11906</v>
      </c>
      <c r="G1670">
        <v>215</v>
      </c>
      <c r="H1670">
        <v>300</v>
      </c>
      <c r="I1670" s="5" t="s">
        <v>11907</v>
      </c>
      <c r="J1670" s="5" t="s">
        <v>11908</v>
      </c>
      <c r="K1670" s="5" t="str">
        <f t="shared" si="52"/>
        <v>https://www.google.com/maps?q=-10.679047, -41.287964</v>
      </c>
      <c r="L1670" s="5" t="str">
        <f t="shared" si="53"/>
        <v>Abrir no Maps</v>
      </c>
      <c r="M1670" t="s">
        <v>11909</v>
      </c>
      <c r="N1670" s="5"/>
      <c r="O1670" t="s">
        <v>11509</v>
      </c>
      <c r="P1670" t="e">
        <f>VLOOKUP(O1670,'[1]CONFIG.'!$C:$D,2,0)</f>
        <v>#N/A</v>
      </c>
    </row>
    <row r="1671" spans="1:16" x14ac:dyDescent="0.3">
      <c r="A1671" t="s">
        <v>11910</v>
      </c>
      <c r="B1671" t="s">
        <v>11911</v>
      </c>
      <c r="C1671" t="s">
        <v>11912</v>
      </c>
      <c r="D1671" t="s">
        <v>11503</v>
      </c>
      <c r="E1671" t="s">
        <v>11913</v>
      </c>
      <c r="F1671" t="s">
        <v>11906</v>
      </c>
      <c r="G1671">
        <v>215</v>
      </c>
      <c r="H1671">
        <v>300</v>
      </c>
      <c r="I1671" s="5" t="s">
        <v>11914</v>
      </c>
      <c r="J1671" s="5" t="s">
        <v>11915</v>
      </c>
      <c r="K1671" s="5" t="str">
        <f t="shared" si="52"/>
        <v>https://www.google.com/maps?q=-10.681815, -41.286846</v>
      </c>
      <c r="L1671" s="5" t="str">
        <f t="shared" si="53"/>
        <v>Abrir no Maps</v>
      </c>
      <c r="M1671" t="s">
        <v>11916</v>
      </c>
      <c r="N1671" s="5"/>
      <c r="O1671" t="s">
        <v>11509</v>
      </c>
      <c r="P1671" t="e">
        <f>VLOOKUP(O1671,'[1]CONFIG.'!$C:$D,2,0)</f>
        <v>#N/A</v>
      </c>
    </row>
    <row r="1672" spans="1:16" x14ac:dyDescent="0.3">
      <c r="A1672" t="s">
        <v>11917</v>
      </c>
      <c r="B1672" t="s">
        <v>11918</v>
      </c>
      <c r="C1672" t="s">
        <v>11919</v>
      </c>
      <c r="D1672" t="s">
        <v>11503</v>
      </c>
      <c r="E1672" t="s">
        <v>11920</v>
      </c>
      <c r="F1672" t="s">
        <v>137</v>
      </c>
      <c r="G1672">
        <v>215</v>
      </c>
      <c r="H1672">
        <v>300</v>
      </c>
      <c r="I1672" s="5" t="s">
        <v>11921</v>
      </c>
      <c r="J1672" s="5" t="s">
        <v>11922</v>
      </c>
      <c r="K1672" s="5" t="str">
        <f t="shared" si="52"/>
        <v>https://www.google.com/maps?q=-10.966827, -41.085370</v>
      </c>
      <c r="L1672" s="5" t="str">
        <f t="shared" si="53"/>
        <v>Abrir no Maps</v>
      </c>
      <c r="M1672" t="s">
        <v>11923</v>
      </c>
      <c r="N1672" s="5"/>
      <c r="O1672" t="s">
        <v>11509</v>
      </c>
      <c r="P1672" t="e">
        <f>VLOOKUP(O1672,'[1]CONFIG.'!$C:$D,2,0)</f>
        <v>#N/A</v>
      </c>
    </row>
    <row r="1673" spans="1:16" x14ac:dyDescent="0.3">
      <c r="A1673" t="s">
        <v>11924</v>
      </c>
      <c r="B1673" t="s">
        <v>11925</v>
      </c>
      <c r="C1673" t="s">
        <v>11926</v>
      </c>
      <c r="D1673" t="s">
        <v>11503</v>
      </c>
      <c r="E1673" t="s">
        <v>11927</v>
      </c>
      <c r="F1673" t="s">
        <v>11543</v>
      </c>
      <c r="G1673">
        <v>215</v>
      </c>
      <c r="H1673">
        <v>300</v>
      </c>
      <c r="I1673" s="5" t="s">
        <v>11928</v>
      </c>
      <c r="J1673" s="5" t="s">
        <v>11929</v>
      </c>
      <c r="K1673" s="5" t="str">
        <f t="shared" si="52"/>
        <v>https://www.google.com/maps?q=-10.852008, -41.378017</v>
      </c>
      <c r="L1673" s="5" t="str">
        <f t="shared" si="53"/>
        <v>Abrir no Maps</v>
      </c>
      <c r="M1673" t="s">
        <v>11930</v>
      </c>
      <c r="N1673" s="5"/>
      <c r="O1673" t="s">
        <v>11509</v>
      </c>
      <c r="P1673" t="e">
        <f>VLOOKUP(O1673,'[1]CONFIG.'!$C:$D,2,0)</f>
        <v>#N/A</v>
      </c>
    </row>
    <row r="1674" spans="1:16" x14ac:dyDescent="0.3">
      <c r="A1674" t="s">
        <v>11931</v>
      </c>
      <c r="B1674" t="s">
        <v>11932</v>
      </c>
      <c r="C1674" t="s">
        <v>11933</v>
      </c>
      <c r="D1674" t="s">
        <v>11503</v>
      </c>
      <c r="E1674" t="s">
        <v>11934</v>
      </c>
      <c r="F1674" t="s">
        <v>137</v>
      </c>
      <c r="G1674">
        <v>215</v>
      </c>
      <c r="H1674">
        <v>300</v>
      </c>
      <c r="I1674" s="5" t="s">
        <v>11935</v>
      </c>
      <c r="J1674" s="5" t="s">
        <v>11936</v>
      </c>
      <c r="K1674" s="5" t="str">
        <f t="shared" si="52"/>
        <v>https://www.google.com/maps?q=-10.974444, -41.080494</v>
      </c>
      <c r="L1674" s="5" t="str">
        <f t="shared" si="53"/>
        <v>Abrir no Maps</v>
      </c>
      <c r="M1674" t="s">
        <v>11937</v>
      </c>
      <c r="N1674" s="5"/>
      <c r="O1674" t="s">
        <v>11509</v>
      </c>
      <c r="P1674" t="e">
        <f>VLOOKUP(O1674,'[1]CONFIG.'!$C:$D,2,0)</f>
        <v>#N/A</v>
      </c>
    </row>
    <row r="1675" spans="1:16" x14ac:dyDescent="0.3">
      <c r="A1675" t="s">
        <v>11938</v>
      </c>
      <c r="B1675" t="s">
        <v>11939</v>
      </c>
      <c r="C1675" t="s">
        <v>11940</v>
      </c>
      <c r="D1675" t="s">
        <v>11503</v>
      </c>
      <c r="E1675" t="s">
        <v>11941</v>
      </c>
      <c r="F1675" t="s">
        <v>11543</v>
      </c>
      <c r="G1675">
        <v>215</v>
      </c>
      <c r="H1675">
        <v>300</v>
      </c>
      <c r="I1675" s="5" t="s">
        <v>11942</v>
      </c>
      <c r="J1675" s="5" t="s">
        <v>11943</v>
      </c>
      <c r="K1675" s="5" t="str">
        <f t="shared" si="52"/>
        <v>https://www.google.com/maps?q=-10.851580, -41.380840</v>
      </c>
      <c r="L1675" s="5" t="str">
        <f t="shared" si="53"/>
        <v>Abrir no Maps</v>
      </c>
      <c r="M1675" t="s">
        <v>11944</v>
      </c>
      <c r="N1675" s="5"/>
      <c r="O1675" t="s">
        <v>11509</v>
      </c>
      <c r="P1675" t="e">
        <f>VLOOKUP(O1675,'[1]CONFIG.'!$C:$D,2,0)</f>
        <v>#N/A</v>
      </c>
    </row>
    <row r="1676" spans="1:16" x14ac:dyDescent="0.3">
      <c r="A1676" t="s">
        <v>11945</v>
      </c>
      <c r="B1676" t="s">
        <v>11946</v>
      </c>
      <c r="C1676" t="s">
        <v>11947</v>
      </c>
      <c r="D1676" t="s">
        <v>11503</v>
      </c>
      <c r="E1676" t="s">
        <v>11948</v>
      </c>
      <c r="F1676" t="s">
        <v>137</v>
      </c>
      <c r="G1676">
        <v>215</v>
      </c>
      <c r="H1676">
        <v>300</v>
      </c>
      <c r="I1676" s="5" t="s">
        <v>11949</v>
      </c>
      <c r="J1676" s="5" t="s">
        <v>11950</v>
      </c>
      <c r="K1676" s="5" t="str">
        <f t="shared" si="52"/>
        <v>https://www.google.com/maps?q=-10.969487, -41.076391</v>
      </c>
      <c r="L1676" s="5" t="str">
        <f t="shared" si="53"/>
        <v>Abrir no Maps</v>
      </c>
      <c r="M1676" t="s">
        <v>11951</v>
      </c>
      <c r="N1676" s="5"/>
      <c r="O1676" t="s">
        <v>11509</v>
      </c>
      <c r="P1676" t="e">
        <f>VLOOKUP(O1676,'[1]CONFIG.'!$C:$D,2,0)</f>
        <v>#N/A</v>
      </c>
    </row>
    <row r="1677" spans="1:16" x14ac:dyDescent="0.3">
      <c r="A1677" t="s">
        <v>11952</v>
      </c>
      <c r="B1677" t="s">
        <v>11953</v>
      </c>
      <c r="C1677" t="s">
        <v>11954</v>
      </c>
      <c r="D1677" t="s">
        <v>11503</v>
      </c>
      <c r="E1677" t="s">
        <v>11955</v>
      </c>
      <c r="F1677" t="s">
        <v>137</v>
      </c>
      <c r="G1677">
        <v>215</v>
      </c>
      <c r="H1677">
        <v>300</v>
      </c>
      <c r="I1677" s="5" t="s">
        <v>11956</v>
      </c>
      <c r="J1677" s="5" t="s">
        <v>11957</v>
      </c>
      <c r="K1677" s="5" t="str">
        <f t="shared" si="52"/>
        <v>https://www.google.com/maps?q=-10.968610, -41.080470</v>
      </c>
      <c r="L1677" s="5" t="str">
        <f t="shared" si="53"/>
        <v>Abrir no Maps</v>
      </c>
      <c r="M1677" t="s">
        <v>11958</v>
      </c>
      <c r="N1677" s="5"/>
      <c r="O1677" t="s">
        <v>11509</v>
      </c>
      <c r="P1677" t="e">
        <f>VLOOKUP(O1677,'[1]CONFIG.'!$C:$D,2,0)</f>
        <v>#N/A</v>
      </c>
    </row>
    <row r="1678" spans="1:16" x14ac:dyDescent="0.3">
      <c r="A1678" t="s">
        <v>11959</v>
      </c>
      <c r="B1678" t="s">
        <v>11960</v>
      </c>
      <c r="C1678" t="s">
        <v>11961</v>
      </c>
      <c r="D1678" t="s">
        <v>11503</v>
      </c>
      <c r="E1678" t="s">
        <v>11962</v>
      </c>
      <c r="F1678" t="s">
        <v>11963</v>
      </c>
      <c r="G1678">
        <v>215</v>
      </c>
      <c r="H1678">
        <v>300</v>
      </c>
      <c r="I1678" s="5" t="s">
        <v>11964</v>
      </c>
      <c r="J1678" s="5" t="s">
        <v>11965</v>
      </c>
      <c r="K1678" s="5" t="str">
        <f t="shared" si="52"/>
        <v>https://www.google.com/maps?q=-10.948216, -41.066071</v>
      </c>
      <c r="L1678" s="5" t="str">
        <f t="shared" si="53"/>
        <v>Abrir no Maps</v>
      </c>
      <c r="M1678" t="s">
        <v>11966</v>
      </c>
      <c r="N1678" s="5"/>
      <c r="O1678" t="s">
        <v>11509</v>
      </c>
      <c r="P1678" t="e">
        <f>VLOOKUP(O1678,'[1]CONFIG.'!$C:$D,2,0)</f>
        <v>#N/A</v>
      </c>
    </row>
    <row r="1679" spans="1:16" x14ac:dyDescent="0.3">
      <c r="A1679" t="s">
        <v>11967</v>
      </c>
      <c r="B1679" t="s">
        <v>11968</v>
      </c>
      <c r="C1679" t="s">
        <v>11969</v>
      </c>
      <c r="D1679" t="s">
        <v>11503</v>
      </c>
      <c r="E1679" t="s">
        <v>11970</v>
      </c>
      <c r="F1679" t="s">
        <v>137</v>
      </c>
      <c r="G1679">
        <v>215</v>
      </c>
      <c r="H1679">
        <v>300</v>
      </c>
      <c r="I1679" s="5" t="s">
        <v>11971</v>
      </c>
      <c r="J1679" s="5" t="s">
        <v>11972</v>
      </c>
      <c r="K1679" s="5" t="str">
        <f t="shared" si="52"/>
        <v>https://www.google.com/maps?q=-10.967027, -41.078055</v>
      </c>
      <c r="L1679" s="5" t="str">
        <f t="shared" si="53"/>
        <v>Abrir no Maps</v>
      </c>
      <c r="M1679" t="s">
        <v>11973</v>
      </c>
      <c r="N1679" s="5"/>
      <c r="O1679" t="s">
        <v>11509</v>
      </c>
      <c r="P1679" t="e">
        <f>VLOOKUP(O1679,'[1]CONFIG.'!$C:$D,2,0)</f>
        <v>#N/A</v>
      </c>
    </row>
    <row r="1680" spans="1:16" x14ac:dyDescent="0.3">
      <c r="A1680" t="s">
        <v>11974</v>
      </c>
      <c r="B1680" t="s">
        <v>11975</v>
      </c>
      <c r="C1680" t="s">
        <v>11976</v>
      </c>
      <c r="D1680" t="s">
        <v>11503</v>
      </c>
      <c r="E1680" t="s">
        <v>11977</v>
      </c>
      <c r="F1680" t="s">
        <v>11978</v>
      </c>
      <c r="G1680">
        <v>215</v>
      </c>
      <c r="H1680">
        <v>300</v>
      </c>
      <c r="I1680" s="5" t="s">
        <v>11979</v>
      </c>
      <c r="J1680" s="5" t="s">
        <v>11980</v>
      </c>
      <c r="K1680" s="5" t="str">
        <f t="shared" si="52"/>
        <v>https://www.google.com/maps?q=-10.963560, -41.074900</v>
      </c>
      <c r="L1680" s="5" t="str">
        <f t="shared" si="53"/>
        <v>Abrir no Maps</v>
      </c>
      <c r="M1680" t="s">
        <v>11981</v>
      </c>
      <c r="N1680" s="5"/>
      <c r="O1680" t="s">
        <v>11509</v>
      </c>
      <c r="P1680" t="e">
        <f>VLOOKUP(O1680,'[1]CONFIG.'!$C:$D,2,0)</f>
        <v>#N/A</v>
      </c>
    </row>
    <row r="1681" spans="1:16" x14ac:dyDescent="0.3">
      <c r="A1681" t="s">
        <v>11982</v>
      </c>
      <c r="B1681" t="s">
        <v>11983</v>
      </c>
      <c r="C1681" t="s">
        <v>11984</v>
      </c>
      <c r="D1681" t="s">
        <v>11503</v>
      </c>
      <c r="E1681" t="s">
        <v>11985</v>
      </c>
      <c r="F1681" t="s">
        <v>137</v>
      </c>
      <c r="G1681">
        <v>215</v>
      </c>
      <c r="H1681">
        <v>300</v>
      </c>
      <c r="I1681" s="5" t="s">
        <v>11986</v>
      </c>
      <c r="J1681" s="5" t="s">
        <v>11987</v>
      </c>
      <c r="K1681" s="5" t="str">
        <f t="shared" si="52"/>
        <v>https://www.google.com/maps?q=-10.973125, -41.084164</v>
      </c>
      <c r="L1681" s="5" t="str">
        <f t="shared" si="53"/>
        <v>Abrir no Maps</v>
      </c>
      <c r="M1681" t="s">
        <v>11988</v>
      </c>
      <c r="N1681" s="5"/>
      <c r="O1681" t="s">
        <v>11509</v>
      </c>
      <c r="P1681" t="e">
        <f>VLOOKUP(O1681,'[1]CONFIG.'!$C:$D,2,0)</f>
        <v>#N/A</v>
      </c>
    </row>
    <row r="1682" spans="1:16" x14ac:dyDescent="0.3">
      <c r="A1682" t="s">
        <v>11989</v>
      </c>
      <c r="B1682" t="s">
        <v>11990</v>
      </c>
      <c r="C1682" t="s">
        <v>11991</v>
      </c>
      <c r="D1682" t="s">
        <v>11503</v>
      </c>
      <c r="E1682" t="s">
        <v>11992</v>
      </c>
      <c r="F1682" t="s">
        <v>137</v>
      </c>
      <c r="G1682">
        <v>215</v>
      </c>
      <c r="H1682">
        <v>300</v>
      </c>
      <c r="I1682" s="5" t="s">
        <v>11993</v>
      </c>
      <c r="J1682" s="5" t="s">
        <v>11994</v>
      </c>
      <c r="K1682" s="5" t="str">
        <f t="shared" si="52"/>
        <v>https://www.google.com/maps?q=-10.970228, -41.081745</v>
      </c>
      <c r="L1682" s="5" t="str">
        <f t="shared" si="53"/>
        <v>Abrir no Maps</v>
      </c>
      <c r="M1682" t="s">
        <v>11995</v>
      </c>
      <c r="N1682" s="5"/>
      <c r="O1682" t="s">
        <v>11509</v>
      </c>
      <c r="P1682" t="e">
        <f>VLOOKUP(O1682,'[1]CONFIG.'!$C:$D,2,0)</f>
        <v>#N/A</v>
      </c>
    </row>
    <row r="1683" spans="1:16" x14ac:dyDescent="0.3">
      <c r="A1683" t="s">
        <v>11996</v>
      </c>
      <c r="B1683" t="s">
        <v>11997</v>
      </c>
      <c r="C1683" t="s">
        <v>11998</v>
      </c>
      <c r="D1683" t="s">
        <v>11503</v>
      </c>
      <c r="E1683" t="s">
        <v>11999</v>
      </c>
      <c r="F1683" t="s">
        <v>12000</v>
      </c>
      <c r="G1683">
        <v>215</v>
      </c>
      <c r="H1683">
        <v>300</v>
      </c>
      <c r="I1683" s="5" t="s">
        <v>12001</v>
      </c>
      <c r="J1683" s="5" t="s">
        <v>12002</v>
      </c>
      <c r="K1683" s="5" t="str">
        <f t="shared" si="52"/>
        <v>https://www.google.com/maps?q=-10.681901, -41.287315</v>
      </c>
      <c r="L1683" s="5" t="str">
        <f t="shared" si="53"/>
        <v>Abrir no Maps</v>
      </c>
      <c r="M1683" t="s">
        <v>12003</v>
      </c>
      <c r="N1683" s="5"/>
      <c r="O1683" t="s">
        <v>11509</v>
      </c>
      <c r="P1683" t="e">
        <f>VLOOKUP(O1683,'[1]CONFIG.'!$C:$D,2,0)</f>
        <v>#N/A</v>
      </c>
    </row>
    <row r="1684" spans="1:16" x14ac:dyDescent="0.3">
      <c r="A1684" t="s">
        <v>12004</v>
      </c>
      <c r="B1684" t="s">
        <v>12005</v>
      </c>
      <c r="C1684" t="s">
        <v>12006</v>
      </c>
      <c r="D1684" t="s">
        <v>11503</v>
      </c>
      <c r="E1684" t="s">
        <v>12007</v>
      </c>
      <c r="F1684" t="s">
        <v>137</v>
      </c>
      <c r="G1684">
        <v>215</v>
      </c>
      <c r="H1684">
        <v>300</v>
      </c>
      <c r="I1684" s="6" t="s">
        <v>12008</v>
      </c>
      <c r="J1684" s="5" t="s">
        <v>12008</v>
      </c>
      <c r="K1684" s="5" t="str">
        <f t="shared" si="52"/>
        <v>https://www.google.com/maps?q=0.0.000000, 0.0.000000</v>
      </c>
      <c r="L1684" s="5" t="str">
        <f t="shared" si="53"/>
        <v>Abrir no Maps</v>
      </c>
      <c r="M1684" t="s">
        <v>12009</v>
      </c>
      <c r="N1684" s="5"/>
      <c r="O1684" t="s">
        <v>11509</v>
      </c>
      <c r="P1684" t="e">
        <f>VLOOKUP(O1684,'[1]CONFIG.'!$C:$D,2,0)</f>
        <v>#N/A</v>
      </c>
    </row>
    <row r="1685" spans="1:16" x14ac:dyDescent="0.3">
      <c r="A1685" t="s">
        <v>12010</v>
      </c>
      <c r="B1685" t="s">
        <v>12011</v>
      </c>
      <c r="C1685" t="s">
        <v>12012</v>
      </c>
      <c r="D1685" t="s">
        <v>11503</v>
      </c>
      <c r="E1685" t="s">
        <v>12013</v>
      </c>
      <c r="F1685" t="s">
        <v>11890</v>
      </c>
      <c r="G1685">
        <v>215</v>
      </c>
      <c r="H1685">
        <v>300</v>
      </c>
      <c r="I1685" s="6" t="s">
        <v>12008</v>
      </c>
      <c r="J1685" s="5" t="s">
        <v>12008</v>
      </c>
      <c r="K1685" s="5" t="str">
        <f t="shared" si="52"/>
        <v>https://www.google.com/maps?q=0.0.000000, 0.0.000000</v>
      </c>
      <c r="L1685" s="5" t="str">
        <f t="shared" si="53"/>
        <v>Abrir no Maps</v>
      </c>
      <c r="M1685" t="s">
        <v>12014</v>
      </c>
      <c r="N1685" s="5"/>
      <c r="O1685" t="s">
        <v>11509</v>
      </c>
      <c r="P1685" t="e">
        <f>VLOOKUP(O1685,'[1]CONFIG.'!$C:$D,2,0)</f>
        <v>#N/A</v>
      </c>
    </row>
    <row r="1686" spans="1:16" x14ac:dyDescent="0.3">
      <c r="A1686" t="s">
        <v>12015</v>
      </c>
      <c r="B1686" t="s">
        <v>12016</v>
      </c>
      <c r="C1686" t="s">
        <v>12016</v>
      </c>
      <c r="D1686" t="s">
        <v>12017</v>
      </c>
      <c r="E1686" t="s">
        <v>12018</v>
      </c>
      <c r="F1686" t="s">
        <v>12019</v>
      </c>
      <c r="G1686">
        <v>209</v>
      </c>
      <c r="H1686">
        <v>500</v>
      </c>
      <c r="I1686" s="5" t="s">
        <v>12020</v>
      </c>
      <c r="J1686" s="5" t="s">
        <v>12021</v>
      </c>
      <c r="K1686" s="5" t="str">
        <f t="shared" si="52"/>
        <v>https://www.google.com/maps?q=-11.260166, -42.156145</v>
      </c>
      <c r="L1686" s="5" t="str">
        <f t="shared" si="53"/>
        <v>Abrir no Maps</v>
      </c>
      <c r="M1686" t="s">
        <v>12022</v>
      </c>
      <c r="N1686" s="5"/>
      <c r="O1686" t="str">
        <f>VLOOKUP(G1686,'[1]CONFIG.'!$B:$C,2,0)</f>
        <v>IGOR</v>
      </c>
      <c r="P1686" t="str">
        <f>VLOOKUP(O1686,'[1]CONFIG.'!$C:$D,2,0)</f>
        <v>74 99590346</v>
      </c>
    </row>
    <row r="1687" spans="1:16" x14ac:dyDescent="0.3">
      <c r="A1687" t="s">
        <v>12023</v>
      </c>
      <c r="B1687" t="s">
        <v>12024</v>
      </c>
      <c r="C1687" t="s">
        <v>12025</v>
      </c>
      <c r="D1687" t="s">
        <v>612</v>
      </c>
      <c r="E1687" t="s">
        <v>12026</v>
      </c>
      <c r="F1687" t="s">
        <v>137</v>
      </c>
      <c r="G1687">
        <v>210</v>
      </c>
      <c r="H1687">
        <v>500</v>
      </c>
      <c r="I1687" s="5" t="s">
        <v>12027</v>
      </c>
      <c r="J1687" s="5" t="s">
        <v>12028</v>
      </c>
      <c r="K1687" s="5" t="str">
        <f t="shared" si="52"/>
        <v>https://www.google.com/maps?q=-11.295828, -41.987316</v>
      </c>
      <c r="L1687" s="5" t="str">
        <f t="shared" si="53"/>
        <v>Abrir no Maps</v>
      </c>
      <c r="M1687" t="s">
        <v>12029</v>
      </c>
      <c r="N1687" s="5"/>
      <c r="O1687" t="str">
        <f>VLOOKUP(G1687,'[1]CONFIG.'!$B:$C,2,0)</f>
        <v>SILAS</v>
      </c>
      <c r="P1687" t="str">
        <f>VLOOKUP(O1687,'[1]CONFIG.'!$C:$D,2,0)</f>
        <v>74 98041875</v>
      </c>
    </row>
    <row r="1688" spans="1:16" x14ac:dyDescent="0.3">
      <c r="A1688" t="s">
        <v>12030</v>
      </c>
      <c r="B1688" t="s">
        <v>12031</v>
      </c>
      <c r="C1688" t="s">
        <v>12032</v>
      </c>
      <c r="D1688" t="s">
        <v>612</v>
      </c>
      <c r="E1688" t="s">
        <v>12033</v>
      </c>
      <c r="F1688" t="s">
        <v>137</v>
      </c>
      <c r="G1688">
        <v>210</v>
      </c>
      <c r="H1688">
        <v>500</v>
      </c>
      <c r="I1688" s="5" t="s">
        <v>12034</v>
      </c>
      <c r="J1688" s="5" t="s">
        <v>12035</v>
      </c>
      <c r="K1688" s="5" t="str">
        <f t="shared" si="52"/>
        <v>https://www.google.com/maps?q=-11.294905, -41.987137</v>
      </c>
      <c r="L1688" s="5" t="str">
        <f t="shared" si="53"/>
        <v>Abrir no Maps</v>
      </c>
      <c r="M1688" t="s">
        <v>12036</v>
      </c>
      <c r="N1688" s="5"/>
      <c r="O1688" t="str">
        <f>VLOOKUP(G1688,'[1]CONFIG.'!$B:$C,2,0)</f>
        <v>SILAS</v>
      </c>
      <c r="P1688" t="str">
        <f>VLOOKUP(O1688,'[1]CONFIG.'!$C:$D,2,0)</f>
        <v>74 98041875</v>
      </c>
    </row>
    <row r="1689" spans="1:16" x14ac:dyDescent="0.3">
      <c r="A1689" t="s">
        <v>12037</v>
      </c>
      <c r="B1689" t="s">
        <v>12038</v>
      </c>
      <c r="C1689" t="s">
        <v>12039</v>
      </c>
      <c r="D1689" t="s">
        <v>612</v>
      </c>
      <c r="E1689" t="s">
        <v>12040</v>
      </c>
      <c r="F1689" t="s">
        <v>137</v>
      </c>
      <c r="G1689">
        <v>210</v>
      </c>
      <c r="H1689">
        <v>500</v>
      </c>
      <c r="I1689" s="5" t="s">
        <v>12041</v>
      </c>
      <c r="J1689" s="5" t="s">
        <v>12042</v>
      </c>
      <c r="K1689" s="5" t="str">
        <f t="shared" si="52"/>
        <v>https://www.google.com/maps?q=-11.297505, -41.988537</v>
      </c>
      <c r="L1689" s="5" t="str">
        <f t="shared" si="53"/>
        <v>Abrir no Maps</v>
      </c>
      <c r="M1689" t="s">
        <v>12043</v>
      </c>
      <c r="N1689" s="5"/>
      <c r="O1689" t="str">
        <f>VLOOKUP(G1689,'[1]CONFIG.'!$B:$C,2,0)</f>
        <v>SILAS</v>
      </c>
      <c r="P1689" t="str">
        <f>VLOOKUP(O1689,'[1]CONFIG.'!$C:$D,2,0)</f>
        <v>74 98041875</v>
      </c>
    </row>
    <row r="1690" spans="1:16" x14ac:dyDescent="0.3">
      <c r="A1690" t="s">
        <v>12044</v>
      </c>
      <c r="B1690" t="s">
        <v>12045</v>
      </c>
      <c r="C1690" t="s">
        <v>12046</v>
      </c>
      <c r="D1690" t="s">
        <v>612</v>
      </c>
      <c r="E1690" t="s">
        <v>12047</v>
      </c>
      <c r="F1690" t="s">
        <v>137</v>
      </c>
      <c r="G1690">
        <v>210</v>
      </c>
      <c r="H1690">
        <v>500</v>
      </c>
      <c r="I1690" s="5" t="s">
        <v>12048</v>
      </c>
      <c r="J1690" s="5" t="s">
        <v>12049</v>
      </c>
      <c r="K1690" s="5" t="str">
        <f t="shared" si="52"/>
        <v>https://www.google.com/maps?q=-11.270548, -41.945724</v>
      </c>
      <c r="L1690" s="5" t="str">
        <f t="shared" si="53"/>
        <v>Abrir no Maps</v>
      </c>
      <c r="M1690" t="s">
        <v>12050</v>
      </c>
      <c r="N1690" s="5"/>
      <c r="O1690" t="str">
        <f>VLOOKUP(G1690,'[1]CONFIG.'!$B:$C,2,0)</f>
        <v>SILAS</v>
      </c>
      <c r="P1690" t="str">
        <f>VLOOKUP(O1690,'[1]CONFIG.'!$C:$D,2,0)</f>
        <v>74 98041875</v>
      </c>
    </row>
    <row r="1691" spans="1:16" x14ac:dyDescent="0.3">
      <c r="A1691" t="s">
        <v>12051</v>
      </c>
      <c r="B1691" t="s">
        <v>12052</v>
      </c>
      <c r="C1691" t="s">
        <v>12053</v>
      </c>
      <c r="D1691" t="s">
        <v>612</v>
      </c>
      <c r="E1691" t="s">
        <v>12054</v>
      </c>
      <c r="F1691" t="s">
        <v>137</v>
      </c>
      <c r="G1691">
        <v>210</v>
      </c>
      <c r="H1691">
        <v>500</v>
      </c>
      <c r="I1691" s="5" t="s">
        <v>12055</v>
      </c>
      <c r="J1691" s="5" t="s">
        <v>12056</v>
      </c>
      <c r="K1691" s="5" t="str">
        <f t="shared" si="52"/>
        <v>https://www.google.com/maps?q=-11.271555, -41.944040</v>
      </c>
      <c r="L1691" s="5" t="str">
        <f t="shared" si="53"/>
        <v>Abrir no Maps</v>
      </c>
      <c r="M1691" t="s">
        <v>12057</v>
      </c>
      <c r="N1691" s="5"/>
      <c r="O1691" t="str">
        <f>VLOOKUP(G1691,'[1]CONFIG.'!$B:$C,2,0)</f>
        <v>SILAS</v>
      </c>
      <c r="P1691" t="str">
        <f>VLOOKUP(O1691,'[1]CONFIG.'!$C:$D,2,0)</f>
        <v>74 98041875</v>
      </c>
    </row>
    <row r="1692" spans="1:16" x14ac:dyDescent="0.3">
      <c r="A1692" t="s">
        <v>12058</v>
      </c>
      <c r="B1692" t="s">
        <v>12059</v>
      </c>
      <c r="C1692" t="s">
        <v>12060</v>
      </c>
      <c r="D1692" t="s">
        <v>612</v>
      </c>
      <c r="E1692" t="s">
        <v>12061</v>
      </c>
      <c r="F1692" t="s">
        <v>137</v>
      </c>
      <c r="G1692">
        <v>210</v>
      </c>
      <c r="H1692">
        <v>500</v>
      </c>
      <c r="I1692" s="5" t="s">
        <v>12062</v>
      </c>
      <c r="J1692" s="5" t="s">
        <v>12063</v>
      </c>
      <c r="K1692" s="5" t="str">
        <f t="shared" si="52"/>
        <v>https://www.google.com/maps?q=-11.297842, -41.991585</v>
      </c>
      <c r="L1692" s="5" t="str">
        <f t="shared" si="53"/>
        <v>Abrir no Maps</v>
      </c>
      <c r="M1692" t="s">
        <v>12064</v>
      </c>
      <c r="N1692" s="5"/>
      <c r="O1692" t="str">
        <f>VLOOKUP(G1692,'[1]CONFIG.'!$B:$C,2,0)</f>
        <v>SILAS</v>
      </c>
      <c r="P1692" t="str">
        <f>VLOOKUP(O1692,'[1]CONFIG.'!$C:$D,2,0)</f>
        <v>74 98041875</v>
      </c>
    </row>
    <row r="1693" spans="1:16" x14ac:dyDescent="0.3">
      <c r="A1693" t="s">
        <v>12065</v>
      </c>
      <c r="B1693" t="s">
        <v>12066</v>
      </c>
      <c r="C1693" t="s">
        <v>12067</v>
      </c>
      <c r="D1693" t="s">
        <v>612</v>
      </c>
      <c r="E1693" t="s">
        <v>12068</v>
      </c>
      <c r="F1693" t="s">
        <v>137</v>
      </c>
      <c r="G1693">
        <v>210</v>
      </c>
      <c r="H1693">
        <v>500</v>
      </c>
      <c r="I1693" s="5" t="s">
        <v>12069</v>
      </c>
      <c r="J1693" s="5" t="s">
        <v>12070</v>
      </c>
      <c r="K1693" s="5" t="str">
        <f t="shared" si="52"/>
        <v>https://www.google.com/maps?q=-11.295671, -41.986910</v>
      </c>
      <c r="L1693" s="5" t="str">
        <f t="shared" si="53"/>
        <v>Abrir no Maps</v>
      </c>
      <c r="M1693" t="s">
        <v>12071</v>
      </c>
      <c r="N1693" s="5"/>
      <c r="O1693" t="str">
        <f>VLOOKUP(G1693,'[1]CONFIG.'!$B:$C,2,0)</f>
        <v>SILAS</v>
      </c>
      <c r="P1693" t="str">
        <f>VLOOKUP(O1693,'[1]CONFIG.'!$C:$D,2,0)</f>
        <v>74 98041875</v>
      </c>
    </row>
    <row r="1694" spans="1:16" x14ac:dyDescent="0.3">
      <c r="A1694" t="s">
        <v>12072</v>
      </c>
      <c r="B1694" t="s">
        <v>12073</v>
      </c>
      <c r="C1694" t="s">
        <v>12074</v>
      </c>
      <c r="D1694" t="s">
        <v>612</v>
      </c>
      <c r="E1694" t="s">
        <v>12075</v>
      </c>
      <c r="F1694" t="s">
        <v>137</v>
      </c>
      <c r="G1694">
        <v>210</v>
      </c>
      <c r="H1694">
        <v>500</v>
      </c>
      <c r="I1694" s="5" t="s">
        <v>12076</v>
      </c>
      <c r="J1694" s="5" t="s">
        <v>12077</v>
      </c>
      <c r="K1694" s="5" t="str">
        <f t="shared" si="52"/>
        <v>https://www.google.com/maps?q=-11.297301, -41.985966</v>
      </c>
      <c r="L1694" s="5" t="str">
        <f t="shared" si="53"/>
        <v>Abrir no Maps</v>
      </c>
      <c r="M1694" t="s">
        <v>12078</v>
      </c>
      <c r="N1694" s="5"/>
      <c r="O1694" t="str">
        <f>VLOOKUP(G1694,'[1]CONFIG.'!$B:$C,2,0)</f>
        <v>SILAS</v>
      </c>
      <c r="P1694" t="str">
        <f>VLOOKUP(O1694,'[1]CONFIG.'!$C:$D,2,0)</f>
        <v>74 98041875</v>
      </c>
    </row>
    <row r="1695" spans="1:16" x14ac:dyDescent="0.3">
      <c r="A1695" t="s">
        <v>12079</v>
      </c>
      <c r="B1695" t="s">
        <v>12080</v>
      </c>
      <c r="C1695" t="s">
        <v>12081</v>
      </c>
      <c r="D1695" t="s">
        <v>612</v>
      </c>
      <c r="E1695" t="s">
        <v>12082</v>
      </c>
      <c r="F1695" t="s">
        <v>137</v>
      </c>
      <c r="G1695">
        <v>210</v>
      </c>
      <c r="H1695">
        <v>500</v>
      </c>
      <c r="I1695" s="5" t="s">
        <v>12083</v>
      </c>
      <c r="J1695" s="5" t="s">
        <v>12084</v>
      </c>
      <c r="K1695" s="5" t="str">
        <f t="shared" si="52"/>
        <v>https://www.google.com/maps?q=-11.297936, -41.990852</v>
      </c>
      <c r="L1695" s="5" t="str">
        <f t="shared" si="53"/>
        <v>Abrir no Maps</v>
      </c>
      <c r="M1695" t="s">
        <v>12085</v>
      </c>
      <c r="N1695" s="5"/>
      <c r="O1695" t="str">
        <f>VLOOKUP(G1695,'[1]CONFIG.'!$B:$C,2,0)</f>
        <v>SILAS</v>
      </c>
      <c r="P1695" t="str">
        <f>VLOOKUP(O1695,'[1]CONFIG.'!$C:$D,2,0)</f>
        <v>74 98041875</v>
      </c>
    </row>
    <row r="1696" spans="1:16" x14ac:dyDescent="0.3">
      <c r="A1696" t="s">
        <v>12086</v>
      </c>
      <c r="B1696" t="s">
        <v>12087</v>
      </c>
      <c r="C1696" t="s">
        <v>12088</v>
      </c>
      <c r="D1696" t="s">
        <v>612</v>
      </c>
      <c r="E1696" t="s">
        <v>12089</v>
      </c>
      <c r="F1696" t="s">
        <v>137</v>
      </c>
      <c r="G1696">
        <v>210</v>
      </c>
      <c r="H1696">
        <v>500</v>
      </c>
      <c r="I1696" s="5" t="s">
        <v>12090</v>
      </c>
      <c r="J1696" s="5" t="s">
        <v>12091</v>
      </c>
      <c r="K1696" s="5" t="str">
        <f t="shared" si="52"/>
        <v>https://www.google.com/maps?q=-11.296300, -41.987865</v>
      </c>
      <c r="L1696" s="5" t="str">
        <f t="shared" si="53"/>
        <v>Abrir no Maps</v>
      </c>
      <c r="M1696" t="s">
        <v>12092</v>
      </c>
      <c r="N1696" s="5"/>
      <c r="O1696" t="str">
        <f>VLOOKUP(G1696,'[1]CONFIG.'!$B:$C,2,0)</f>
        <v>SILAS</v>
      </c>
      <c r="P1696" t="str">
        <f>VLOOKUP(O1696,'[1]CONFIG.'!$C:$D,2,0)</f>
        <v>74 98041875</v>
      </c>
    </row>
    <row r="1697" spans="1:16" x14ac:dyDescent="0.3">
      <c r="A1697" t="s">
        <v>12093</v>
      </c>
      <c r="B1697" t="s">
        <v>12094</v>
      </c>
      <c r="C1697" t="s">
        <v>12095</v>
      </c>
      <c r="D1697" t="s">
        <v>612</v>
      </c>
      <c r="E1697" t="s">
        <v>12096</v>
      </c>
      <c r="F1697" t="s">
        <v>137</v>
      </c>
      <c r="G1697">
        <v>210</v>
      </c>
      <c r="H1697">
        <v>500</v>
      </c>
      <c r="I1697" s="5" t="s">
        <v>12097</v>
      </c>
      <c r="J1697" s="5" t="s">
        <v>12098</v>
      </c>
      <c r="K1697" s="5" t="str">
        <f t="shared" si="52"/>
        <v>https://www.google.com/maps?q=-11.294095, -41.986317</v>
      </c>
      <c r="L1697" s="5" t="str">
        <f t="shared" si="53"/>
        <v>Abrir no Maps</v>
      </c>
      <c r="M1697" t="s">
        <v>12099</v>
      </c>
      <c r="N1697" s="5"/>
      <c r="O1697" t="str">
        <f>VLOOKUP(G1697,'[1]CONFIG.'!$B:$C,2,0)</f>
        <v>SILAS</v>
      </c>
      <c r="P1697" t="str">
        <f>VLOOKUP(O1697,'[1]CONFIG.'!$C:$D,2,0)</f>
        <v>74 98041875</v>
      </c>
    </row>
    <row r="1698" spans="1:16" x14ac:dyDescent="0.3">
      <c r="A1698" t="s">
        <v>12100</v>
      </c>
      <c r="B1698" t="s">
        <v>12101</v>
      </c>
      <c r="C1698" t="s">
        <v>12102</v>
      </c>
      <c r="D1698" t="s">
        <v>612</v>
      </c>
      <c r="E1698" t="s">
        <v>12103</v>
      </c>
      <c r="F1698" t="s">
        <v>137</v>
      </c>
      <c r="G1698">
        <v>210</v>
      </c>
      <c r="H1698">
        <v>500</v>
      </c>
      <c r="I1698" s="5" t="s">
        <v>12104</v>
      </c>
      <c r="J1698" s="5" t="s">
        <v>12105</v>
      </c>
      <c r="K1698" s="5" t="str">
        <f t="shared" si="52"/>
        <v>https://www.google.com/maps?q=-11.298599, -41.987995</v>
      </c>
      <c r="L1698" s="5" t="str">
        <f t="shared" si="53"/>
        <v>Abrir no Maps</v>
      </c>
      <c r="M1698" t="s">
        <v>12106</v>
      </c>
      <c r="N1698" s="5"/>
      <c r="O1698" t="str">
        <f>VLOOKUP(G1698,'[1]CONFIG.'!$B:$C,2,0)</f>
        <v>SILAS</v>
      </c>
      <c r="P1698" t="str">
        <f>VLOOKUP(O1698,'[1]CONFIG.'!$C:$D,2,0)</f>
        <v>74 98041875</v>
      </c>
    </row>
    <row r="1699" spans="1:16" x14ac:dyDescent="0.3">
      <c r="A1699" t="s">
        <v>12107</v>
      </c>
      <c r="B1699" t="s">
        <v>12108</v>
      </c>
      <c r="C1699" t="s">
        <v>12109</v>
      </c>
      <c r="D1699" t="s">
        <v>12017</v>
      </c>
      <c r="E1699" t="s">
        <v>12110</v>
      </c>
      <c r="F1699" t="s">
        <v>137</v>
      </c>
      <c r="G1699">
        <v>211</v>
      </c>
      <c r="H1699">
        <v>500</v>
      </c>
      <c r="I1699" s="5" t="s">
        <v>12111</v>
      </c>
      <c r="J1699" s="5" t="s">
        <v>12112</v>
      </c>
      <c r="K1699" s="5" t="str">
        <f t="shared" si="52"/>
        <v>https://www.google.com/maps?q=-11.335366, -42.134777</v>
      </c>
      <c r="L1699" s="5" t="str">
        <f t="shared" si="53"/>
        <v>Abrir no Maps</v>
      </c>
      <c r="M1699" t="s">
        <v>12113</v>
      </c>
      <c r="N1699" s="5"/>
      <c r="O1699" t="str">
        <f>VLOOKUP(G1699,'[1]CONFIG.'!$B:$C,2,0)</f>
        <v>DAIANE</v>
      </c>
      <c r="P1699" t="str">
        <f>VLOOKUP(O1699,'[1]CONFIG.'!$C:$D,2,0)</f>
        <v>74 99298866</v>
      </c>
    </row>
    <row r="1700" spans="1:16" x14ac:dyDescent="0.3">
      <c r="A1700" t="s">
        <v>12114</v>
      </c>
      <c r="B1700" t="s">
        <v>12115</v>
      </c>
      <c r="C1700" t="s">
        <v>12116</v>
      </c>
      <c r="D1700" t="s">
        <v>612</v>
      </c>
      <c r="E1700" t="s">
        <v>12117</v>
      </c>
      <c r="F1700" t="s">
        <v>137</v>
      </c>
      <c r="G1700">
        <v>210</v>
      </c>
      <c r="H1700">
        <v>500</v>
      </c>
      <c r="I1700" s="5" t="s">
        <v>12118</v>
      </c>
      <c r="J1700" s="5" t="s">
        <v>12119</v>
      </c>
      <c r="K1700" s="5" t="str">
        <f t="shared" si="52"/>
        <v>https://www.google.com/maps?q=-11.298223, -41.990334</v>
      </c>
      <c r="L1700" s="5" t="str">
        <f t="shared" si="53"/>
        <v>Abrir no Maps</v>
      </c>
      <c r="M1700" t="s">
        <v>12120</v>
      </c>
      <c r="N1700" s="5"/>
      <c r="O1700" t="str">
        <f>VLOOKUP(G1700,'[1]CONFIG.'!$B:$C,2,0)</f>
        <v>SILAS</v>
      </c>
      <c r="P1700" t="str">
        <f>VLOOKUP(O1700,'[1]CONFIG.'!$C:$D,2,0)</f>
        <v>74 98041875</v>
      </c>
    </row>
    <row r="1701" spans="1:16" x14ac:dyDescent="0.3">
      <c r="A1701" t="s">
        <v>12121</v>
      </c>
      <c r="B1701" t="s">
        <v>12122</v>
      </c>
      <c r="C1701" t="s">
        <v>12123</v>
      </c>
      <c r="D1701" t="s">
        <v>612</v>
      </c>
      <c r="E1701" t="s">
        <v>12124</v>
      </c>
      <c r="F1701" t="s">
        <v>137</v>
      </c>
      <c r="G1701">
        <v>210</v>
      </c>
      <c r="H1701">
        <v>500</v>
      </c>
      <c r="I1701" s="5" t="s">
        <v>12125</v>
      </c>
      <c r="J1701" s="5" t="s">
        <v>12126</v>
      </c>
      <c r="K1701" s="5" t="str">
        <f t="shared" si="52"/>
        <v>https://www.google.com/maps?q=-11.296989, -41.993504</v>
      </c>
      <c r="L1701" s="5" t="str">
        <f t="shared" si="53"/>
        <v>Abrir no Maps</v>
      </c>
      <c r="M1701" t="s">
        <v>12127</v>
      </c>
      <c r="N1701" s="5"/>
      <c r="O1701" t="str">
        <f>VLOOKUP(G1701,'[1]CONFIG.'!$B:$C,2,0)</f>
        <v>SILAS</v>
      </c>
      <c r="P1701" t="str">
        <f>VLOOKUP(O1701,'[1]CONFIG.'!$C:$D,2,0)</f>
        <v>74 98041875</v>
      </c>
    </row>
    <row r="1702" spans="1:16" x14ac:dyDescent="0.3">
      <c r="A1702" t="s">
        <v>12128</v>
      </c>
      <c r="B1702" t="s">
        <v>12129</v>
      </c>
      <c r="C1702" t="s">
        <v>12130</v>
      </c>
      <c r="D1702" t="s">
        <v>612</v>
      </c>
      <c r="E1702" t="s">
        <v>12131</v>
      </c>
      <c r="F1702" t="s">
        <v>12132</v>
      </c>
      <c r="G1702">
        <v>210</v>
      </c>
      <c r="H1702">
        <v>500</v>
      </c>
      <c r="I1702" s="5" t="s">
        <v>12133</v>
      </c>
      <c r="J1702" s="5" t="s">
        <v>12134</v>
      </c>
      <c r="K1702" s="5" t="str">
        <f t="shared" si="52"/>
        <v>https://www.google.com/maps?q=-11.334227, -42.026580</v>
      </c>
      <c r="L1702" s="5" t="str">
        <f t="shared" si="53"/>
        <v>Abrir no Maps</v>
      </c>
      <c r="M1702" t="s">
        <v>12135</v>
      </c>
      <c r="N1702" s="5"/>
      <c r="O1702" t="str">
        <f>VLOOKUP(G1702,'[1]CONFIG.'!$B:$C,2,0)</f>
        <v>SILAS</v>
      </c>
      <c r="P1702" t="str">
        <f>VLOOKUP(O1702,'[1]CONFIG.'!$C:$D,2,0)</f>
        <v>74 98041875</v>
      </c>
    </row>
    <row r="1703" spans="1:16" x14ac:dyDescent="0.3">
      <c r="A1703" t="s">
        <v>12136</v>
      </c>
      <c r="B1703" t="s">
        <v>12137</v>
      </c>
      <c r="C1703" t="s">
        <v>12138</v>
      </c>
      <c r="D1703" t="s">
        <v>612</v>
      </c>
      <c r="E1703" t="s">
        <v>12139</v>
      </c>
      <c r="F1703" t="s">
        <v>12140</v>
      </c>
      <c r="G1703">
        <v>210</v>
      </c>
      <c r="H1703">
        <v>500</v>
      </c>
      <c r="I1703" s="5" t="s">
        <v>12141</v>
      </c>
      <c r="J1703" s="5" t="s">
        <v>12142</v>
      </c>
      <c r="K1703" s="5" t="str">
        <f t="shared" si="52"/>
        <v>https://www.google.com/maps?q=-11.333675, -41.997955</v>
      </c>
      <c r="L1703" s="5" t="str">
        <f t="shared" si="53"/>
        <v>Abrir no Maps</v>
      </c>
      <c r="M1703">
        <v>0</v>
      </c>
      <c r="N1703" s="5"/>
      <c r="O1703" t="str">
        <f>VLOOKUP(G1703,'[1]CONFIG.'!$B:$C,2,0)</f>
        <v>SILAS</v>
      </c>
      <c r="P1703" t="str">
        <f>VLOOKUP(O1703,'[1]CONFIG.'!$C:$D,2,0)</f>
        <v>74 98041875</v>
      </c>
    </row>
    <row r="1704" spans="1:16" x14ac:dyDescent="0.3">
      <c r="A1704" t="s">
        <v>12143</v>
      </c>
      <c r="B1704" t="s">
        <v>12144</v>
      </c>
      <c r="C1704" t="s">
        <v>12145</v>
      </c>
      <c r="D1704" t="s">
        <v>612</v>
      </c>
      <c r="E1704" t="s">
        <v>12146</v>
      </c>
      <c r="F1704" t="s">
        <v>12140</v>
      </c>
      <c r="G1704">
        <v>210</v>
      </c>
      <c r="H1704">
        <v>500</v>
      </c>
      <c r="I1704" s="5" t="s">
        <v>12147</v>
      </c>
      <c r="J1704" s="5" t="s">
        <v>12148</v>
      </c>
      <c r="K1704" s="5" t="str">
        <f t="shared" si="52"/>
        <v>https://www.google.com/maps?q=-11.333611, -41.997776</v>
      </c>
      <c r="L1704" s="5" t="str">
        <f t="shared" si="53"/>
        <v>Abrir no Maps</v>
      </c>
      <c r="M1704" t="s">
        <v>12149</v>
      </c>
      <c r="N1704" s="5"/>
      <c r="O1704" t="str">
        <f>VLOOKUP(G1704,'[1]CONFIG.'!$B:$C,2,0)</f>
        <v>SILAS</v>
      </c>
      <c r="P1704" t="str">
        <f>VLOOKUP(O1704,'[1]CONFIG.'!$C:$D,2,0)</f>
        <v>74 98041875</v>
      </c>
    </row>
    <row r="1705" spans="1:16" x14ac:dyDescent="0.3">
      <c r="A1705" t="s">
        <v>12150</v>
      </c>
      <c r="B1705" t="s">
        <v>12151</v>
      </c>
      <c r="C1705" t="s">
        <v>12152</v>
      </c>
      <c r="D1705" t="s">
        <v>612</v>
      </c>
      <c r="E1705" t="s">
        <v>12153</v>
      </c>
      <c r="F1705" t="s">
        <v>12140</v>
      </c>
      <c r="G1705">
        <v>210</v>
      </c>
      <c r="H1705">
        <v>500</v>
      </c>
      <c r="I1705" s="5" t="s">
        <v>12154</v>
      </c>
      <c r="J1705" s="5" t="s">
        <v>12155</v>
      </c>
      <c r="K1705" s="5" t="str">
        <f t="shared" si="52"/>
        <v>https://www.google.com/maps?q=-11.326667, -42.005833</v>
      </c>
      <c r="L1705" s="5" t="str">
        <f t="shared" si="53"/>
        <v>Abrir no Maps</v>
      </c>
      <c r="M1705" t="s">
        <v>12156</v>
      </c>
      <c r="N1705" s="5"/>
      <c r="O1705" t="str">
        <f>VLOOKUP(G1705,'[1]CONFIG.'!$B:$C,2,0)</f>
        <v>SILAS</v>
      </c>
      <c r="P1705" t="str">
        <f>VLOOKUP(O1705,'[1]CONFIG.'!$C:$D,2,0)</f>
        <v>74 98041875</v>
      </c>
    </row>
    <row r="1706" spans="1:16" x14ac:dyDescent="0.3">
      <c r="A1706" t="s">
        <v>12157</v>
      </c>
      <c r="B1706" t="s">
        <v>12158</v>
      </c>
      <c r="C1706" t="s">
        <v>12159</v>
      </c>
      <c r="D1706" t="s">
        <v>612</v>
      </c>
      <c r="E1706" t="s">
        <v>12160</v>
      </c>
      <c r="F1706" t="s">
        <v>137</v>
      </c>
      <c r="G1706">
        <v>210</v>
      </c>
      <c r="H1706">
        <v>500</v>
      </c>
      <c r="I1706" s="5" t="s">
        <v>890</v>
      </c>
      <c r="J1706" s="5" t="s">
        <v>12161</v>
      </c>
      <c r="K1706" s="5" t="str">
        <f t="shared" si="52"/>
        <v>https://www.google.com/maps?q=-11.296603, -41.988170</v>
      </c>
      <c r="L1706" s="5" t="str">
        <f t="shared" si="53"/>
        <v>Abrir no Maps</v>
      </c>
      <c r="M1706">
        <v>0</v>
      </c>
      <c r="N1706" s="5"/>
      <c r="O1706" t="str">
        <f>VLOOKUP(G1706,'[1]CONFIG.'!$B:$C,2,0)</f>
        <v>SILAS</v>
      </c>
      <c r="P1706" t="str">
        <f>VLOOKUP(O1706,'[1]CONFIG.'!$C:$D,2,0)</f>
        <v>74 98041875</v>
      </c>
    </row>
    <row r="1707" spans="1:16" x14ac:dyDescent="0.3">
      <c r="A1707" t="s">
        <v>12162</v>
      </c>
      <c r="B1707" t="s">
        <v>12163</v>
      </c>
      <c r="C1707" t="s">
        <v>12164</v>
      </c>
      <c r="D1707" t="s">
        <v>612</v>
      </c>
      <c r="E1707" t="s">
        <v>12165</v>
      </c>
      <c r="F1707" t="s">
        <v>12140</v>
      </c>
      <c r="G1707">
        <v>210</v>
      </c>
      <c r="H1707">
        <v>500</v>
      </c>
      <c r="I1707" s="5" t="s">
        <v>12166</v>
      </c>
      <c r="J1707" s="5" t="s">
        <v>12167</v>
      </c>
      <c r="K1707" s="5" t="str">
        <f t="shared" si="52"/>
        <v>https://www.google.com/maps?q=-11.333173, -41.996376</v>
      </c>
      <c r="L1707" s="5" t="str">
        <f t="shared" si="53"/>
        <v>Abrir no Maps</v>
      </c>
      <c r="M1707" t="s">
        <v>12168</v>
      </c>
      <c r="N1707" s="5"/>
      <c r="O1707" t="str">
        <f>VLOOKUP(G1707,'[1]CONFIG.'!$B:$C,2,0)</f>
        <v>SILAS</v>
      </c>
      <c r="P1707" t="str">
        <f>VLOOKUP(O1707,'[1]CONFIG.'!$C:$D,2,0)</f>
        <v>74 98041875</v>
      </c>
    </row>
    <row r="1708" spans="1:16" x14ac:dyDescent="0.3">
      <c r="A1708" t="s">
        <v>12169</v>
      </c>
      <c r="B1708" t="s">
        <v>12170</v>
      </c>
      <c r="C1708" t="s">
        <v>12171</v>
      </c>
      <c r="D1708" t="s">
        <v>612</v>
      </c>
      <c r="E1708" t="s">
        <v>12172</v>
      </c>
      <c r="F1708" t="s">
        <v>137</v>
      </c>
      <c r="G1708">
        <v>210</v>
      </c>
      <c r="H1708">
        <v>500</v>
      </c>
      <c r="I1708" s="5" t="s">
        <v>12173</v>
      </c>
      <c r="J1708" s="5" t="s">
        <v>12174</v>
      </c>
      <c r="K1708" s="5" t="str">
        <f t="shared" si="52"/>
        <v>https://www.google.com/maps?q=-11.294024, -41.991386</v>
      </c>
      <c r="L1708" s="5" t="str">
        <f t="shared" si="53"/>
        <v>Abrir no Maps</v>
      </c>
      <c r="M1708" t="s">
        <v>12175</v>
      </c>
      <c r="N1708" s="5"/>
      <c r="O1708" t="str">
        <f>VLOOKUP(G1708,'[1]CONFIG.'!$B:$C,2,0)</f>
        <v>SILAS</v>
      </c>
      <c r="P1708" t="str">
        <f>VLOOKUP(O1708,'[1]CONFIG.'!$C:$D,2,0)</f>
        <v>74 98041875</v>
      </c>
    </row>
    <row r="1709" spans="1:16" x14ac:dyDescent="0.3">
      <c r="A1709" t="s">
        <v>12176</v>
      </c>
      <c r="B1709" t="s">
        <v>12177</v>
      </c>
      <c r="C1709" t="s">
        <v>12178</v>
      </c>
      <c r="D1709" t="s">
        <v>612</v>
      </c>
      <c r="E1709" t="s">
        <v>12179</v>
      </c>
      <c r="F1709" t="s">
        <v>137</v>
      </c>
      <c r="G1709">
        <v>210</v>
      </c>
      <c r="H1709">
        <v>500</v>
      </c>
      <c r="I1709" s="5" t="s">
        <v>12180</v>
      </c>
      <c r="J1709" s="5" t="s">
        <v>12181</v>
      </c>
      <c r="K1709" s="5" t="str">
        <f t="shared" si="52"/>
        <v>https://www.google.com/maps?q=-11.295925, -41.986780</v>
      </c>
      <c r="L1709" s="5" t="str">
        <f t="shared" si="53"/>
        <v>Abrir no Maps</v>
      </c>
      <c r="M1709" t="s">
        <v>12182</v>
      </c>
      <c r="N1709" s="5"/>
      <c r="O1709" t="str">
        <f>VLOOKUP(G1709,'[1]CONFIG.'!$B:$C,2,0)</f>
        <v>SILAS</v>
      </c>
      <c r="P1709" t="str">
        <f>VLOOKUP(O1709,'[1]CONFIG.'!$C:$D,2,0)</f>
        <v>74 98041875</v>
      </c>
    </row>
    <row r="1710" spans="1:16" x14ac:dyDescent="0.3">
      <c r="A1710" t="s">
        <v>12183</v>
      </c>
      <c r="B1710" t="s">
        <v>12184</v>
      </c>
      <c r="C1710" t="s">
        <v>12185</v>
      </c>
      <c r="D1710" t="s">
        <v>612</v>
      </c>
      <c r="E1710" t="s">
        <v>12186</v>
      </c>
      <c r="F1710" t="s">
        <v>137</v>
      </c>
      <c r="G1710">
        <v>210</v>
      </c>
      <c r="H1710">
        <v>500</v>
      </c>
      <c r="I1710" s="5" t="s">
        <v>12187</v>
      </c>
      <c r="J1710" s="5" t="s">
        <v>12188</v>
      </c>
      <c r="K1710" s="5" t="str">
        <f t="shared" si="52"/>
        <v>https://www.google.com/maps?q=-11.294125, -41.990723</v>
      </c>
      <c r="L1710" s="5" t="str">
        <f t="shared" si="53"/>
        <v>Abrir no Maps</v>
      </c>
      <c r="M1710" t="s">
        <v>12182</v>
      </c>
      <c r="N1710" s="5"/>
      <c r="O1710" t="str">
        <f>VLOOKUP(G1710,'[1]CONFIG.'!$B:$C,2,0)</f>
        <v>SILAS</v>
      </c>
      <c r="P1710" t="str">
        <f>VLOOKUP(O1710,'[1]CONFIG.'!$C:$D,2,0)</f>
        <v>74 98041875</v>
      </c>
    </row>
    <row r="1711" spans="1:16" x14ac:dyDescent="0.3">
      <c r="A1711" t="s">
        <v>12189</v>
      </c>
      <c r="B1711" t="s">
        <v>12190</v>
      </c>
      <c r="C1711" t="s">
        <v>12191</v>
      </c>
      <c r="D1711" t="s">
        <v>612</v>
      </c>
      <c r="E1711" t="s">
        <v>12192</v>
      </c>
      <c r="F1711" t="s">
        <v>137</v>
      </c>
      <c r="G1711">
        <v>210</v>
      </c>
      <c r="H1711">
        <v>500</v>
      </c>
      <c r="I1711" s="5" t="s">
        <v>12193</v>
      </c>
      <c r="J1711" s="5" t="s">
        <v>12194</v>
      </c>
      <c r="K1711" s="5" t="str">
        <f t="shared" si="52"/>
        <v>https://www.google.com/maps?q=-11.293057, -41.992030</v>
      </c>
      <c r="L1711" s="5" t="str">
        <f t="shared" si="53"/>
        <v>Abrir no Maps</v>
      </c>
      <c r="M1711" t="s">
        <v>12195</v>
      </c>
      <c r="N1711" s="5"/>
      <c r="O1711" t="str">
        <f>VLOOKUP(G1711,'[1]CONFIG.'!$B:$C,2,0)</f>
        <v>SILAS</v>
      </c>
      <c r="P1711" t="str">
        <f>VLOOKUP(O1711,'[1]CONFIG.'!$C:$D,2,0)</f>
        <v>74 98041875</v>
      </c>
    </row>
    <row r="1712" spans="1:16" x14ac:dyDescent="0.3">
      <c r="A1712" t="s">
        <v>12196</v>
      </c>
      <c r="B1712" t="s">
        <v>12197</v>
      </c>
      <c r="C1712" t="s">
        <v>12198</v>
      </c>
      <c r="D1712" t="s">
        <v>612</v>
      </c>
      <c r="E1712" t="s">
        <v>12199</v>
      </c>
      <c r="F1712" t="s">
        <v>137</v>
      </c>
      <c r="G1712">
        <v>210</v>
      </c>
      <c r="H1712">
        <v>500</v>
      </c>
      <c r="I1712" s="5" t="s">
        <v>12200</v>
      </c>
      <c r="J1712" s="5" t="s">
        <v>12201</v>
      </c>
      <c r="K1712" s="5" t="str">
        <f t="shared" si="52"/>
        <v>https://www.google.com/maps?q=-11.294324, -41.994970</v>
      </c>
      <c r="L1712" s="5" t="str">
        <f t="shared" si="53"/>
        <v>Abrir no Maps</v>
      </c>
      <c r="M1712" t="s">
        <v>12202</v>
      </c>
      <c r="N1712" s="5"/>
      <c r="O1712" t="str">
        <f>VLOOKUP(G1712,'[1]CONFIG.'!$B:$C,2,0)</f>
        <v>SILAS</v>
      </c>
      <c r="P1712" t="str">
        <f>VLOOKUP(O1712,'[1]CONFIG.'!$C:$D,2,0)</f>
        <v>74 98041875</v>
      </c>
    </row>
    <row r="1713" spans="1:16" x14ac:dyDescent="0.3">
      <c r="A1713" t="s">
        <v>12203</v>
      </c>
      <c r="B1713" t="s">
        <v>12204</v>
      </c>
      <c r="C1713" t="s">
        <v>12205</v>
      </c>
      <c r="D1713" t="s">
        <v>612</v>
      </c>
      <c r="E1713" t="s">
        <v>12206</v>
      </c>
      <c r="F1713" t="s">
        <v>12140</v>
      </c>
      <c r="G1713">
        <v>210</v>
      </c>
      <c r="H1713">
        <v>500</v>
      </c>
      <c r="I1713" s="5" t="s">
        <v>12207</v>
      </c>
      <c r="J1713" s="5" t="s">
        <v>12208</v>
      </c>
      <c r="K1713" s="5" t="str">
        <f t="shared" si="52"/>
        <v>https://www.google.com/maps?q=-11.334002, -41.998550</v>
      </c>
      <c r="L1713" s="5" t="str">
        <f t="shared" si="53"/>
        <v>Abrir no Maps</v>
      </c>
      <c r="M1713" t="s">
        <v>12209</v>
      </c>
      <c r="N1713" s="5"/>
      <c r="O1713" t="str">
        <f>VLOOKUP(G1713,'[1]CONFIG.'!$B:$C,2,0)</f>
        <v>SILAS</v>
      </c>
      <c r="P1713" t="str">
        <f>VLOOKUP(O1713,'[1]CONFIG.'!$C:$D,2,0)</f>
        <v>74 98041875</v>
      </c>
    </row>
    <row r="1714" spans="1:16" x14ac:dyDescent="0.3">
      <c r="A1714" t="s">
        <v>12210</v>
      </c>
      <c r="B1714" t="s">
        <v>12211</v>
      </c>
      <c r="C1714" t="s">
        <v>12212</v>
      </c>
      <c r="D1714" t="s">
        <v>612</v>
      </c>
      <c r="E1714" t="s">
        <v>12213</v>
      </c>
      <c r="F1714" t="s">
        <v>137</v>
      </c>
      <c r="G1714">
        <v>210</v>
      </c>
      <c r="H1714">
        <v>500</v>
      </c>
      <c r="I1714" s="5" t="s">
        <v>12214</v>
      </c>
      <c r="J1714" s="5" t="s">
        <v>12215</v>
      </c>
      <c r="K1714" s="5" t="str">
        <f t="shared" si="52"/>
        <v>https://www.google.com/maps?q=-11.297957, -41.990833</v>
      </c>
      <c r="L1714" s="5" t="str">
        <f t="shared" si="53"/>
        <v>Abrir no Maps</v>
      </c>
      <c r="M1714" t="s">
        <v>12216</v>
      </c>
      <c r="N1714" s="5"/>
      <c r="O1714" t="str">
        <f>VLOOKUP(G1714,'[1]CONFIG.'!$B:$C,2,0)</f>
        <v>SILAS</v>
      </c>
      <c r="P1714" t="str">
        <f>VLOOKUP(O1714,'[1]CONFIG.'!$C:$D,2,0)</f>
        <v>74 98041875</v>
      </c>
    </row>
    <row r="1715" spans="1:16" x14ac:dyDescent="0.3">
      <c r="A1715" t="s">
        <v>12217</v>
      </c>
      <c r="B1715" t="s">
        <v>12218</v>
      </c>
      <c r="C1715" t="s">
        <v>12219</v>
      </c>
      <c r="D1715" t="s">
        <v>612</v>
      </c>
      <c r="E1715" t="s">
        <v>12220</v>
      </c>
      <c r="F1715" t="s">
        <v>612</v>
      </c>
      <c r="G1715">
        <v>210</v>
      </c>
      <c r="H1715">
        <v>500</v>
      </c>
      <c r="I1715" s="5" t="s">
        <v>12221</v>
      </c>
      <c r="J1715" s="5" t="s">
        <v>12222</v>
      </c>
      <c r="K1715" s="5" t="str">
        <f t="shared" si="52"/>
        <v>https://www.google.com/maps?q=-11.297976, -41.990950</v>
      </c>
      <c r="L1715" s="5" t="str">
        <f t="shared" si="53"/>
        <v>Abrir no Maps</v>
      </c>
      <c r="M1715" t="s">
        <v>12223</v>
      </c>
      <c r="N1715" s="5"/>
      <c r="O1715" t="str">
        <f>VLOOKUP(G1715,'[1]CONFIG.'!$B:$C,2,0)</f>
        <v>SILAS</v>
      </c>
      <c r="P1715" t="str">
        <f>VLOOKUP(O1715,'[1]CONFIG.'!$C:$D,2,0)</f>
        <v>74 98041875</v>
      </c>
    </row>
    <row r="1716" spans="1:16" x14ac:dyDescent="0.3">
      <c r="A1716" t="s">
        <v>12224</v>
      </c>
      <c r="B1716" t="s">
        <v>12225</v>
      </c>
      <c r="C1716" t="s">
        <v>12226</v>
      </c>
      <c r="D1716" t="s">
        <v>612</v>
      </c>
      <c r="E1716" t="s">
        <v>12227</v>
      </c>
      <c r="F1716" t="s">
        <v>137</v>
      </c>
      <c r="G1716">
        <v>210</v>
      </c>
      <c r="H1716">
        <v>500</v>
      </c>
      <c r="I1716" s="5" t="s">
        <v>12228</v>
      </c>
      <c r="J1716" s="5" t="s">
        <v>12229</v>
      </c>
      <c r="K1716" s="5" t="str">
        <f t="shared" si="52"/>
        <v>https://www.google.com/maps?q=-11.295804, -41.986683</v>
      </c>
      <c r="L1716" s="5" t="str">
        <f t="shared" si="53"/>
        <v>Abrir no Maps</v>
      </c>
      <c r="M1716" t="s">
        <v>12230</v>
      </c>
      <c r="N1716" s="5"/>
      <c r="O1716" t="str">
        <f>VLOOKUP(G1716,'[1]CONFIG.'!$B:$C,2,0)</f>
        <v>SILAS</v>
      </c>
      <c r="P1716" t="str">
        <f>VLOOKUP(O1716,'[1]CONFIG.'!$C:$D,2,0)</f>
        <v>74 98041875</v>
      </c>
    </row>
    <row r="1717" spans="1:16" x14ac:dyDescent="0.3">
      <c r="A1717" t="s">
        <v>12231</v>
      </c>
      <c r="B1717" t="s">
        <v>12232</v>
      </c>
      <c r="C1717" t="s">
        <v>12233</v>
      </c>
      <c r="D1717" t="s">
        <v>612</v>
      </c>
      <c r="E1717" t="s">
        <v>12234</v>
      </c>
      <c r="F1717" t="s">
        <v>12235</v>
      </c>
      <c r="G1717">
        <v>211</v>
      </c>
      <c r="H1717">
        <v>500</v>
      </c>
      <c r="I1717" s="5" t="s">
        <v>12236</v>
      </c>
      <c r="J1717" s="5" t="s">
        <v>12237</v>
      </c>
      <c r="K1717" s="5" t="str">
        <f t="shared" si="52"/>
        <v>https://www.google.com/maps?q=-11.308461, -42.049465</v>
      </c>
      <c r="L1717" s="5" t="str">
        <f t="shared" si="53"/>
        <v>Abrir no Maps</v>
      </c>
      <c r="M1717" t="s">
        <v>12238</v>
      </c>
      <c r="N1717" s="5"/>
      <c r="O1717" t="str">
        <f>VLOOKUP(G1717,'[1]CONFIG.'!$B:$C,2,0)</f>
        <v>DAIANE</v>
      </c>
      <c r="P1717" t="str">
        <f>VLOOKUP(O1717,'[1]CONFIG.'!$C:$D,2,0)</f>
        <v>74 99298866</v>
      </c>
    </row>
    <row r="1718" spans="1:16" x14ac:dyDescent="0.3">
      <c r="A1718" t="s">
        <v>12239</v>
      </c>
      <c r="B1718" t="s">
        <v>12240</v>
      </c>
      <c r="C1718" t="s">
        <v>12241</v>
      </c>
      <c r="D1718" t="s">
        <v>612</v>
      </c>
      <c r="E1718" t="s">
        <v>12242</v>
      </c>
      <c r="F1718" t="s">
        <v>137</v>
      </c>
      <c r="G1718">
        <v>210</v>
      </c>
      <c r="H1718">
        <v>500</v>
      </c>
      <c r="I1718" s="5" t="s">
        <v>12243</v>
      </c>
      <c r="J1718" s="5" t="s">
        <v>12244</v>
      </c>
      <c r="K1718" s="5" t="str">
        <f t="shared" si="52"/>
        <v>https://www.google.com/maps?q=-11.298208, -41.990627</v>
      </c>
      <c r="L1718" s="5" t="str">
        <f t="shared" si="53"/>
        <v>Abrir no Maps</v>
      </c>
      <c r="M1718" t="s">
        <v>12245</v>
      </c>
      <c r="N1718" s="5"/>
      <c r="O1718" t="str">
        <f>VLOOKUP(G1718,'[1]CONFIG.'!$B:$C,2,0)</f>
        <v>SILAS</v>
      </c>
      <c r="P1718" t="str">
        <f>VLOOKUP(O1718,'[1]CONFIG.'!$C:$D,2,0)</f>
        <v>74 98041875</v>
      </c>
    </row>
    <row r="1719" spans="1:16" x14ac:dyDescent="0.3">
      <c r="A1719" t="s">
        <v>12246</v>
      </c>
      <c r="B1719" t="s">
        <v>12247</v>
      </c>
      <c r="C1719" t="s">
        <v>12248</v>
      </c>
      <c r="D1719" t="s">
        <v>612</v>
      </c>
      <c r="E1719" t="s">
        <v>12249</v>
      </c>
      <c r="F1719" t="s">
        <v>12132</v>
      </c>
      <c r="G1719">
        <v>210</v>
      </c>
      <c r="H1719">
        <v>500</v>
      </c>
      <c r="I1719" s="5" t="s">
        <v>12250</v>
      </c>
      <c r="J1719" s="5" t="s">
        <v>12251</v>
      </c>
      <c r="K1719" s="5" t="str">
        <f t="shared" si="52"/>
        <v>https://www.google.com/maps?q=-11.335087, -42.033482</v>
      </c>
      <c r="L1719" s="5" t="str">
        <f t="shared" si="53"/>
        <v>Abrir no Maps</v>
      </c>
      <c r="M1719" t="s">
        <v>12252</v>
      </c>
      <c r="N1719" s="5"/>
      <c r="O1719" t="str">
        <f>VLOOKUP(G1719,'[1]CONFIG.'!$B:$C,2,0)</f>
        <v>SILAS</v>
      </c>
      <c r="P1719" t="str">
        <f>VLOOKUP(O1719,'[1]CONFIG.'!$C:$D,2,0)</f>
        <v>74 98041875</v>
      </c>
    </row>
    <row r="1720" spans="1:16" x14ac:dyDescent="0.3">
      <c r="A1720" t="s">
        <v>12253</v>
      </c>
      <c r="B1720" t="s">
        <v>12254</v>
      </c>
      <c r="C1720" t="s">
        <v>12255</v>
      </c>
      <c r="D1720" t="s">
        <v>612</v>
      </c>
      <c r="E1720" t="s">
        <v>12256</v>
      </c>
      <c r="F1720" t="s">
        <v>12132</v>
      </c>
      <c r="G1720">
        <v>210</v>
      </c>
      <c r="H1720">
        <v>500</v>
      </c>
      <c r="I1720" s="5" t="s">
        <v>12257</v>
      </c>
      <c r="J1720" s="5" t="s">
        <v>12258</v>
      </c>
      <c r="K1720" s="5" t="str">
        <f t="shared" si="52"/>
        <v>https://www.google.com/maps?q=-11.334423, -42.027575</v>
      </c>
      <c r="L1720" s="5" t="str">
        <f t="shared" si="53"/>
        <v>Abrir no Maps</v>
      </c>
      <c r="M1720" t="s">
        <v>12259</v>
      </c>
      <c r="N1720" s="5"/>
      <c r="O1720" t="str">
        <f>VLOOKUP(G1720,'[1]CONFIG.'!$B:$C,2,0)</f>
        <v>SILAS</v>
      </c>
      <c r="P1720" t="str">
        <f>VLOOKUP(O1720,'[1]CONFIG.'!$C:$D,2,0)</f>
        <v>74 98041875</v>
      </c>
    </row>
    <row r="1721" spans="1:16" x14ac:dyDescent="0.3">
      <c r="A1721" t="s">
        <v>12260</v>
      </c>
      <c r="B1721" t="s">
        <v>12261</v>
      </c>
      <c r="C1721" t="s">
        <v>12262</v>
      </c>
      <c r="D1721" t="s">
        <v>612</v>
      </c>
      <c r="E1721" t="s">
        <v>12263</v>
      </c>
      <c r="F1721" t="s">
        <v>137</v>
      </c>
      <c r="G1721">
        <v>210</v>
      </c>
      <c r="H1721">
        <v>500</v>
      </c>
      <c r="I1721" s="5" t="s">
        <v>12264</v>
      </c>
      <c r="J1721" s="5" t="s">
        <v>12265</v>
      </c>
      <c r="K1721" s="5" t="str">
        <f t="shared" si="52"/>
        <v>https://www.google.com/maps?q=-11.295927, -41.987380</v>
      </c>
      <c r="L1721" s="5" t="str">
        <f t="shared" si="53"/>
        <v>Abrir no Maps</v>
      </c>
      <c r="M1721" t="s">
        <v>12266</v>
      </c>
      <c r="N1721" s="5"/>
      <c r="O1721" t="str">
        <f>VLOOKUP(G1721,'[1]CONFIG.'!$B:$C,2,0)</f>
        <v>SILAS</v>
      </c>
      <c r="P1721" t="str">
        <f>VLOOKUP(O1721,'[1]CONFIG.'!$C:$D,2,0)</f>
        <v>74 98041875</v>
      </c>
    </row>
    <row r="1722" spans="1:16" x14ac:dyDescent="0.3">
      <c r="A1722" t="s">
        <v>12267</v>
      </c>
      <c r="B1722" t="s">
        <v>12268</v>
      </c>
      <c r="C1722" t="s">
        <v>12269</v>
      </c>
      <c r="D1722" t="s">
        <v>612</v>
      </c>
      <c r="E1722" t="s">
        <v>12270</v>
      </c>
      <c r="F1722" t="s">
        <v>137</v>
      </c>
      <c r="G1722">
        <v>210</v>
      </c>
      <c r="H1722">
        <v>500</v>
      </c>
      <c r="I1722" s="5" t="s">
        <v>12271</v>
      </c>
      <c r="J1722" s="5" t="s">
        <v>12272</v>
      </c>
      <c r="K1722" s="5" t="str">
        <f t="shared" si="52"/>
        <v>https://www.google.com/maps?q=-11.295557, -41.987770</v>
      </c>
      <c r="L1722" s="5" t="str">
        <f t="shared" si="53"/>
        <v>Abrir no Maps</v>
      </c>
      <c r="M1722" t="s">
        <v>12273</v>
      </c>
      <c r="N1722" s="5"/>
      <c r="O1722" t="str">
        <f>VLOOKUP(G1722,'[1]CONFIG.'!$B:$C,2,0)</f>
        <v>SILAS</v>
      </c>
      <c r="P1722" t="str">
        <f>VLOOKUP(O1722,'[1]CONFIG.'!$C:$D,2,0)</f>
        <v>74 98041875</v>
      </c>
    </row>
    <row r="1723" spans="1:16" x14ac:dyDescent="0.3">
      <c r="A1723" t="s">
        <v>12274</v>
      </c>
      <c r="B1723" t="s">
        <v>12275</v>
      </c>
      <c r="C1723" t="s">
        <v>12276</v>
      </c>
      <c r="D1723" t="s">
        <v>612</v>
      </c>
      <c r="E1723" t="s">
        <v>12277</v>
      </c>
      <c r="F1723" t="s">
        <v>12278</v>
      </c>
      <c r="G1723">
        <v>210</v>
      </c>
      <c r="H1723">
        <v>500</v>
      </c>
      <c r="I1723" s="5" t="s">
        <v>12279</v>
      </c>
      <c r="J1723" s="5" t="s">
        <v>12280</v>
      </c>
      <c r="K1723" s="5" t="str">
        <f t="shared" si="52"/>
        <v>https://www.google.com/maps?q=-11.291618, -41.989979</v>
      </c>
      <c r="L1723" s="5" t="str">
        <f t="shared" si="53"/>
        <v>Abrir no Maps</v>
      </c>
      <c r="M1723" t="s">
        <v>12281</v>
      </c>
      <c r="N1723" s="5"/>
      <c r="O1723" t="str">
        <f>VLOOKUP(G1723,'[1]CONFIG.'!$B:$C,2,0)</f>
        <v>SILAS</v>
      </c>
      <c r="P1723" t="str">
        <f>VLOOKUP(O1723,'[1]CONFIG.'!$C:$D,2,0)</f>
        <v>74 98041875</v>
      </c>
    </row>
    <row r="1724" spans="1:16" x14ac:dyDescent="0.3">
      <c r="A1724" t="s">
        <v>12282</v>
      </c>
      <c r="B1724" t="s">
        <v>12283</v>
      </c>
      <c r="C1724" t="s">
        <v>12284</v>
      </c>
      <c r="D1724" t="s">
        <v>612</v>
      </c>
      <c r="E1724" t="s">
        <v>12285</v>
      </c>
      <c r="F1724" t="s">
        <v>12132</v>
      </c>
      <c r="G1724">
        <v>210</v>
      </c>
      <c r="H1724">
        <v>500</v>
      </c>
      <c r="I1724" s="5" t="s">
        <v>12286</v>
      </c>
      <c r="J1724" s="5" t="s">
        <v>12287</v>
      </c>
      <c r="K1724" s="5" t="str">
        <f t="shared" si="52"/>
        <v>https://www.google.com/maps?q=-11.334303, -42.029001</v>
      </c>
      <c r="L1724" s="5" t="str">
        <f t="shared" si="53"/>
        <v>Abrir no Maps</v>
      </c>
      <c r="M1724">
        <v>0</v>
      </c>
      <c r="N1724" s="5"/>
      <c r="O1724" t="str">
        <f>VLOOKUP(G1724,'[1]CONFIG.'!$B:$C,2,0)</f>
        <v>SILAS</v>
      </c>
      <c r="P1724" t="str">
        <f>VLOOKUP(O1724,'[1]CONFIG.'!$C:$D,2,0)</f>
        <v>74 98041875</v>
      </c>
    </row>
    <row r="1725" spans="1:16" x14ac:dyDescent="0.3">
      <c r="A1725" t="s">
        <v>12288</v>
      </c>
      <c r="B1725" t="s">
        <v>12289</v>
      </c>
      <c r="C1725" t="s">
        <v>12290</v>
      </c>
      <c r="D1725" t="s">
        <v>612</v>
      </c>
      <c r="E1725" t="s">
        <v>12291</v>
      </c>
      <c r="F1725" t="s">
        <v>12292</v>
      </c>
      <c r="G1725">
        <v>210</v>
      </c>
      <c r="H1725">
        <v>500</v>
      </c>
      <c r="I1725" s="5" t="s">
        <v>12293</v>
      </c>
      <c r="J1725" s="5" t="s">
        <v>12294</v>
      </c>
      <c r="K1725" s="5" t="str">
        <f t="shared" si="52"/>
        <v>https://www.google.com/maps?q=-11.264051, -41.974132</v>
      </c>
      <c r="L1725" s="5" t="str">
        <f t="shared" si="53"/>
        <v>Abrir no Maps</v>
      </c>
      <c r="M1725" t="s">
        <v>12295</v>
      </c>
      <c r="N1725" s="5"/>
      <c r="O1725" t="str">
        <f>VLOOKUP(G1725,'[1]CONFIG.'!$B:$C,2,0)</f>
        <v>SILAS</v>
      </c>
      <c r="P1725" t="str">
        <f>VLOOKUP(O1725,'[1]CONFIG.'!$C:$D,2,0)</f>
        <v>74 98041875</v>
      </c>
    </row>
    <row r="1726" spans="1:16" x14ac:dyDescent="0.3">
      <c r="A1726" t="s">
        <v>12296</v>
      </c>
      <c r="B1726" t="s">
        <v>12297</v>
      </c>
      <c r="C1726" t="s">
        <v>12298</v>
      </c>
      <c r="D1726" t="s">
        <v>612</v>
      </c>
      <c r="E1726" t="s">
        <v>12299</v>
      </c>
      <c r="F1726" t="s">
        <v>137</v>
      </c>
      <c r="G1726">
        <v>210</v>
      </c>
      <c r="H1726">
        <v>500</v>
      </c>
      <c r="I1726" s="5" t="s">
        <v>12300</v>
      </c>
      <c r="J1726" s="5" t="s">
        <v>12301</v>
      </c>
      <c r="K1726" s="5" t="str">
        <f t="shared" si="52"/>
        <v>https://www.google.com/maps?q=-11.298320, -41.990161</v>
      </c>
      <c r="L1726" s="5" t="str">
        <f t="shared" si="53"/>
        <v>Abrir no Maps</v>
      </c>
      <c r="M1726" t="s">
        <v>12302</v>
      </c>
      <c r="N1726" s="5"/>
      <c r="O1726" t="str">
        <f>VLOOKUP(G1726,'[1]CONFIG.'!$B:$C,2,0)</f>
        <v>SILAS</v>
      </c>
      <c r="P1726" t="str">
        <f>VLOOKUP(O1726,'[1]CONFIG.'!$C:$D,2,0)</f>
        <v>74 98041875</v>
      </c>
    </row>
    <row r="1727" spans="1:16" x14ac:dyDescent="0.3">
      <c r="A1727" t="s">
        <v>12303</v>
      </c>
      <c r="B1727" t="s">
        <v>12304</v>
      </c>
      <c r="C1727" t="s">
        <v>12305</v>
      </c>
      <c r="D1727" t="s">
        <v>612</v>
      </c>
      <c r="E1727" t="s">
        <v>12306</v>
      </c>
      <c r="F1727" t="s">
        <v>12140</v>
      </c>
      <c r="G1727">
        <v>210</v>
      </c>
      <c r="H1727">
        <v>500</v>
      </c>
      <c r="I1727" s="5" t="s">
        <v>12307</v>
      </c>
      <c r="J1727" s="5" t="s">
        <v>12308</v>
      </c>
      <c r="K1727" s="5" t="str">
        <f t="shared" si="52"/>
        <v>https://www.google.com/maps?q=-11.333918, -41.998502</v>
      </c>
      <c r="L1727" s="5" t="str">
        <f t="shared" si="53"/>
        <v>Abrir no Maps</v>
      </c>
      <c r="M1727" t="s">
        <v>12309</v>
      </c>
      <c r="N1727" s="5"/>
      <c r="O1727" t="str">
        <f>VLOOKUP(G1727,'[1]CONFIG.'!$B:$C,2,0)</f>
        <v>SILAS</v>
      </c>
      <c r="P1727" t="str">
        <f>VLOOKUP(O1727,'[1]CONFIG.'!$C:$D,2,0)</f>
        <v>74 98041875</v>
      </c>
    </row>
    <row r="1728" spans="1:16" x14ac:dyDescent="0.3">
      <c r="A1728" t="s">
        <v>12310</v>
      </c>
      <c r="B1728" t="s">
        <v>12311</v>
      </c>
      <c r="C1728" t="s">
        <v>12312</v>
      </c>
      <c r="D1728" t="s">
        <v>612</v>
      </c>
      <c r="E1728" t="s">
        <v>12313</v>
      </c>
      <c r="F1728" t="s">
        <v>137</v>
      </c>
      <c r="G1728">
        <v>210</v>
      </c>
      <c r="H1728">
        <v>500</v>
      </c>
      <c r="I1728" s="5" t="s">
        <v>12314</v>
      </c>
      <c r="J1728" s="5" t="s">
        <v>12315</v>
      </c>
      <c r="K1728" s="5" t="str">
        <f t="shared" si="52"/>
        <v>https://www.google.com/maps?q=-11.296700, -41.993655</v>
      </c>
      <c r="L1728" s="5" t="str">
        <f t="shared" si="53"/>
        <v>Abrir no Maps</v>
      </c>
      <c r="M1728" t="s">
        <v>12316</v>
      </c>
      <c r="N1728" s="5"/>
      <c r="O1728" t="str">
        <f>VLOOKUP(G1728,'[1]CONFIG.'!$B:$C,2,0)</f>
        <v>SILAS</v>
      </c>
      <c r="P1728" t="str">
        <f>VLOOKUP(O1728,'[1]CONFIG.'!$C:$D,2,0)</f>
        <v>74 98041875</v>
      </c>
    </row>
    <row r="1729" spans="1:16" x14ac:dyDescent="0.3">
      <c r="A1729" t="s">
        <v>12317</v>
      </c>
      <c r="B1729" t="s">
        <v>12318</v>
      </c>
      <c r="C1729" t="s">
        <v>12319</v>
      </c>
      <c r="D1729" t="s">
        <v>612</v>
      </c>
      <c r="E1729" t="s">
        <v>12320</v>
      </c>
      <c r="F1729" t="s">
        <v>137</v>
      </c>
      <c r="G1729">
        <v>210</v>
      </c>
      <c r="H1729">
        <v>500</v>
      </c>
      <c r="I1729" s="5" t="s">
        <v>12321</v>
      </c>
      <c r="J1729" s="5" t="s">
        <v>12322</v>
      </c>
      <c r="K1729" s="5" t="str">
        <f t="shared" si="52"/>
        <v>https://www.google.com/maps?q=-11.297994, -41.985593</v>
      </c>
      <c r="L1729" s="5" t="str">
        <f t="shared" si="53"/>
        <v>Abrir no Maps</v>
      </c>
      <c r="M1729" t="s">
        <v>12323</v>
      </c>
      <c r="N1729" s="5"/>
      <c r="O1729" t="str">
        <f>VLOOKUP(G1729,'[1]CONFIG.'!$B:$C,2,0)</f>
        <v>SILAS</v>
      </c>
      <c r="P1729" t="str">
        <f>VLOOKUP(O1729,'[1]CONFIG.'!$C:$D,2,0)</f>
        <v>74 98041875</v>
      </c>
    </row>
    <row r="1730" spans="1:16" x14ac:dyDescent="0.3">
      <c r="A1730" t="s">
        <v>12324</v>
      </c>
      <c r="B1730" t="s">
        <v>12325</v>
      </c>
      <c r="C1730" t="s">
        <v>12326</v>
      </c>
      <c r="D1730" t="s">
        <v>1435</v>
      </c>
      <c r="E1730" t="s">
        <v>12327</v>
      </c>
      <c r="F1730" t="s">
        <v>12328</v>
      </c>
      <c r="G1730">
        <v>207</v>
      </c>
      <c r="H1730">
        <v>500</v>
      </c>
      <c r="I1730" s="5" t="s">
        <v>6727</v>
      </c>
      <c r="J1730" s="5" t="s">
        <v>12329</v>
      </c>
      <c r="K1730" s="5" t="str">
        <f t="shared" si="52"/>
        <v>https://www.google.com/maps?q=-11.123765, -41.787464</v>
      </c>
      <c r="L1730" s="5" t="str">
        <f t="shared" si="53"/>
        <v>Abrir no Maps</v>
      </c>
      <c r="M1730" t="s">
        <v>12330</v>
      </c>
      <c r="N1730" s="5"/>
      <c r="O1730" t="str">
        <f>VLOOKUP(G1730,'[1]CONFIG.'!$B:$C,2,0)</f>
        <v>HIAGO</v>
      </c>
      <c r="P1730" t="str">
        <f>VLOOKUP(O1730,'[1]CONFIG.'!$C:$D,2,0)</f>
        <v>74 99872571</v>
      </c>
    </row>
    <row r="1731" spans="1:16" x14ac:dyDescent="0.3">
      <c r="A1731" t="s">
        <v>12331</v>
      </c>
      <c r="B1731" t="s">
        <v>12332</v>
      </c>
      <c r="C1731" t="s">
        <v>12333</v>
      </c>
      <c r="D1731" t="s">
        <v>1435</v>
      </c>
      <c r="E1731" t="s">
        <v>12334</v>
      </c>
      <c r="F1731" t="s">
        <v>12328</v>
      </c>
      <c r="G1731">
        <v>207</v>
      </c>
      <c r="H1731">
        <v>500</v>
      </c>
      <c r="I1731" s="5" t="s">
        <v>12335</v>
      </c>
      <c r="J1731" s="5" t="s">
        <v>12336</v>
      </c>
      <c r="K1731" s="5" t="str">
        <f t="shared" si="52"/>
        <v>https://www.google.com/maps?q=-11.124465, -41.787630</v>
      </c>
      <c r="L1731" s="5" t="str">
        <f t="shared" si="53"/>
        <v>Abrir no Maps</v>
      </c>
      <c r="M1731" t="s">
        <v>12337</v>
      </c>
      <c r="N1731" s="5"/>
      <c r="O1731" t="str">
        <f>VLOOKUP(G1731,'[1]CONFIG.'!$B:$C,2,0)</f>
        <v>HIAGO</v>
      </c>
      <c r="P1731" t="str">
        <f>VLOOKUP(O1731,'[1]CONFIG.'!$C:$D,2,0)</f>
        <v>74 99872571</v>
      </c>
    </row>
    <row r="1732" spans="1:16" x14ac:dyDescent="0.3">
      <c r="A1732" t="s">
        <v>12338</v>
      </c>
      <c r="B1732" t="s">
        <v>12339</v>
      </c>
      <c r="C1732" t="s">
        <v>12340</v>
      </c>
      <c r="D1732" t="s">
        <v>1435</v>
      </c>
      <c r="E1732" t="s">
        <v>12341</v>
      </c>
      <c r="F1732" t="s">
        <v>12342</v>
      </c>
      <c r="G1732">
        <v>207</v>
      </c>
      <c r="H1732">
        <v>500</v>
      </c>
      <c r="I1732" s="5" t="s">
        <v>12343</v>
      </c>
      <c r="J1732" s="5" t="s">
        <v>12344</v>
      </c>
      <c r="K1732" s="5" t="str">
        <f t="shared" ref="K1732:K1795" si="54">"https://www.google.com/maps?q="&amp;""&amp;LEFT(I1732,3)&amp;"."&amp;RIGHT(I1732,6)&amp;", "&amp;LEFT(J1732,3)&amp;"."&amp;RIGHT(J1732,6)</f>
        <v>https://www.google.com/maps?q=-11.150253, -41.812172</v>
      </c>
      <c r="L1732" s="5" t="str">
        <f t="shared" ref="L1732:L1795" si="55">HYPERLINK(K1732,"Abrir no Maps")</f>
        <v>Abrir no Maps</v>
      </c>
      <c r="M1732" t="s">
        <v>12345</v>
      </c>
      <c r="N1732" s="5"/>
      <c r="O1732" t="str">
        <f>VLOOKUP(G1732,'[1]CONFIG.'!$B:$C,2,0)</f>
        <v>HIAGO</v>
      </c>
      <c r="P1732" t="str">
        <f>VLOOKUP(O1732,'[1]CONFIG.'!$C:$D,2,0)</f>
        <v>74 99872571</v>
      </c>
    </row>
    <row r="1733" spans="1:16" x14ac:dyDescent="0.3">
      <c r="A1733" t="s">
        <v>12346</v>
      </c>
      <c r="B1733" t="s">
        <v>12347</v>
      </c>
      <c r="C1733" t="s">
        <v>12348</v>
      </c>
      <c r="D1733" t="s">
        <v>1435</v>
      </c>
      <c r="E1733" t="s">
        <v>12349</v>
      </c>
      <c r="F1733" t="s">
        <v>12350</v>
      </c>
      <c r="G1733">
        <v>207</v>
      </c>
      <c r="H1733">
        <v>500</v>
      </c>
      <c r="I1733" s="5" t="s">
        <v>12351</v>
      </c>
      <c r="J1733" s="5" t="s">
        <v>12352</v>
      </c>
      <c r="K1733" s="5" t="str">
        <f t="shared" si="54"/>
        <v>https://www.google.com/maps?q=-11.228501, -41.878685</v>
      </c>
      <c r="L1733" s="5" t="str">
        <f t="shared" si="55"/>
        <v>Abrir no Maps</v>
      </c>
      <c r="M1733" t="s">
        <v>12353</v>
      </c>
      <c r="N1733" s="5"/>
      <c r="O1733" t="str">
        <f>VLOOKUP(G1733,'[1]CONFIG.'!$B:$C,2,0)</f>
        <v>HIAGO</v>
      </c>
      <c r="P1733" t="str">
        <f>VLOOKUP(O1733,'[1]CONFIG.'!$C:$D,2,0)</f>
        <v>74 99872571</v>
      </c>
    </row>
    <row r="1734" spans="1:16" x14ac:dyDescent="0.3">
      <c r="A1734" t="s">
        <v>12354</v>
      </c>
      <c r="B1734" t="s">
        <v>12355</v>
      </c>
      <c r="C1734" t="s">
        <v>12356</v>
      </c>
      <c r="D1734" t="s">
        <v>1435</v>
      </c>
      <c r="E1734" t="s">
        <v>12357</v>
      </c>
      <c r="F1734" t="s">
        <v>137</v>
      </c>
      <c r="G1734">
        <v>207</v>
      </c>
      <c r="H1734">
        <v>500</v>
      </c>
      <c r="I1734" s="5" t="s">
        <v>12358</v>
      </c>
      <c r="J1734" s="5" t="s">
        <v>12359</v>
      </c>
      <c r="K1734" s="5" t="str">
        <f t="shared" si="54"/>
        <v>https://www.google.com/maps?q=-11.230123, -41.881153</v>
      </c>
      <c r="L1734" s="5" t="str">
        <f t="shared" si="55"/>
        <v>Abrir no Maps</v>
      </c>
      <c r="M1734" t="s">
        <v>12360</v>
      </c>
      <c r="N1734" s="5"/>
      <c r="O1734" t="str">
        <f>VLOOKUP(G1734,'[1]CONFIG.'!$B:$C,2,0)</f>
        <v>HIAGO</v>
      </c>
      <c r="P1734" t="str">
        <f>VLOOKUP(O1734,'[1]CONFIG.'!$C:$D,2,0)</f>
        <v>74 99872571</v>
      </c>
    </row>
    <row r="1735" spans="1:16" x14ac:dyDescent="0.3">
      <c r="A1735" t="s">
        <v>12361</v>
      </c>
      <c r="B1735" t="s">
        <v>12362</v>
      </c>
      <c r="C1735" t="s">
        <v>12363</v>
      </c>
      <c r="D1735" t="s">
        <v>1435</v>
      </c>
      <c r="E1735" t="s">
        <v>12364</v>
      </c>
      <c r="F1735" t="s">
        <v>137</v>
      </c>
      <c r="G1735">
        <v>207</v>
      </c>
      <c r="H1735">
        <v>500</v>
      </c>
      <c r="I1735" s="5" t="s">
        <v>12365</v>
      </c>
      <c r="J1735" s="5" t="s">
        <v>12366</v>
      </c>
      <c r="K1735" s="5" t="str">
        <f t="shared" si="54"/>
        <v>https://www.google.com/maps?q=-11.230817, -41.883434</v>
      </c>
      <c r="L1735" s="5" t="str">
        <f t="shared" si="55"/>
        <v>Abrir no Maps</v>
      </c>
      <c r="M1735" t="s">
        <v>12367</v>
      </c>
      <c r="N1735" s="5"/>
      <c r="O1735" t="str">
        <f>VLOOKUP(G1735,'[1]CONFIG.'!$B:$C,2,0)</f>
        <v>HIAGO</v>
      </c>
      <c r="P1735" t="str">
        <f>VLOOKUP(O1735,'[1]CONFIG.'!$C:$D,2,0)</f>
        <v>74 99872571</v>
      </c>
    </row>
    <row r="1736" spans="1:16" x14ac:dyDescent="0.3">
      <c r="A1736" t="s">
        <v>12368</v>
      </c>
      <c r="B1736" t="s">
        <v>12369</v>
      </c>
      <c r="C1736" t="s">
        <v>12370</v>
      </c>
      <c r="D1736" t="s">
        <v>1435</v>
      </c>
      <c r="E1736" t="s">
        <v>12371</v>
      </c>
      <c r="F1736" t="s">
        <v>12372</v>
      </c>
      <c r="G1736">
        <v>207</v>
      </c>
      <c r="H1736">
        <v>500</v>
      </c>
      <c r="I1736" s="5" t="s">
        <v>12373</v>
      </c>
      <c r="J1736" s="5" t="s">
        <v>12374</v>
      </c>
      <c r="K1736" s="5" t="str">
        <f t="shared" si="54"/>
        <v>https://www.google.com/maps?q=-11.149359, -41.838852</v>
      </c>
      <c r="L1736" s="5" t="str">
        <f t="shared" si="55"/>
        <v>Abrir no Maps</v>
      </c>
      <c r="M1736" t="s">
        <v>12375</v>
      </c>
      <c r="N1736" s="5"/>
      <c r="O1736" t="str">
        <f>VLOOKUP(G1736,'[1]CONFIG.'!$B:$C,2,0)</f>
        <v>HIAGO</v>
      </c>
      <c r="P1736" t="str">
        <f>VLOOKUP(O1736,'[1]CONFIG.'!$C:$D,2,0)</f>
        <v>74 99872571</v>
      </c>
    </row>
    <row r="1737" spans="1:16" x14ac:dyDescent="0.3">
      <c r="A1737" t="s">
        <v>12376</v>
      </c>
      <c r="B1737" t="s">
        <v>12377</v>
      </c>
      <c r="C1737" t="s">
        <v>12378</v>
      </c>
      <c r="D1737" t="s">
        <v>1435</v>
      </c>
      <c r="E1737" t="s">
        <v>12379</v>
      </c>
      <c r="F1737" t="s">
        <v>12350</v>
      </c>
      <c r="G1737">
        <v>207</v>
      </c>
      <c r="H1737">
        <v>500</v>
      </c>
      <c r="I1737" s="5" t="s">
        <v>12380</v>
      </c>
      <c r="J1737" s="5" t="s">
        <v>12381</v>
      </c>
      <c r="K1737" s="5" t="str">
        <f t="shared" si="54"/>
        <v>https://www.google.com/maps?q=-11.228270, -41.878340</v>
      </c>
      <c r="L1737" s="5" t="str">
        <f t="shared" si="55"/>
        <v>Abrir no Maps</v>
      </c>
      <c r="M1737" t="s">
        <v>12382</v>
      </c>
      <c r="N1737" s="5"/>
      <c r="O1737" t="str">
        <f>VLOOKUP(G1737,'[1]CONFIG.'!$B:$C,2,0)</f>
        <v>HIAGO</v>
      </c>
      <c r="P1737" t="str">
        <f>VLOOKUP(O1737,'[1]CONFIG.'!$C:$D,2,0)</f>
        <v>74 99872571</v>
      </c>
    </row>
    <row r="1738" spans="1:16" x14ac:dyDescent="0.3">
      <c r="A1738" t="s">
        <v>12383</v>
      </c>
      <c r="B1738" t="s">
        <v>12384</v>
      </c>
      <c r="C1738" t="s">
        <v>12385</v>
      </c>
      <c r="D1738" t="s">
        <v>1435</v>
      </c>
      <c r="E1738" t="s">
        <v>12386</v>
      </c>
      <c r="F1738" t="s">
        <v>137</v>
      </c>
      <c r="G1738">
        <v>207</v>
      </c>
      <c r="H1738">
        <v>500</v>
      </c>
      <c r="I1738" s="5" t="s">
        <v>12387</v>
      </c>
      <c r="J1738" s="5" t="s">
        <v>12388</v>
      </c>
      <c r="K1738" s="5" t="str">
        <f t="shared" si="54"/>
        <v>https://www.google.com/maps?q=-11.237105, -41.872250</v>
      </c>
      <c r="L1738" s="5" t="str">
        <f t="shared" si="55"/>
        <v>Abrir no Maps</v>
      </c>
      <c r="M1738" t="s">
        <v>12389</v>
      </c>
      <c r="N1738" s="5"/>
      <c r="O1738" t="str">
        <f>VLOOKUP(G1738,'[1]CONFIG.'!$B:$C,2,0)</f>
        <v>HIAGO</v>
      </c>
      <c r="P1738" t="str">
        <f>VLOOKUP(O1738,'[1]CONFIG.'!$C:$D,2,0)</f>
        <v>74 99872571</v>
      </c>
    </row>
    <row r="1739" spans="1:16" x14ac:dyDescent="0.3">
      <c r="A1739" t="s">
        <v>12390</v>
      </c>
      <c r="B1739" t="s">
        <v>12391</v>
      </c>
      <c r="C1739" t="s">
        <v>12392</v>
      </c>
      <c r="D1739" t="s">
        <v>1435</v>
      </c>
      <c r="E1739" t="s">
        <v>12393</v>
      </c>
      <c r="F1739" t="s">
        <v>12350</v>
      </c>
      <c r="G1739">
        <v>207</v>
      </c>
      <c r="H1739">
        <v>500</v>
      </c>
      <c r="I1739" s="5" t="s">
        <v>12394</v>
      </c>
      <c r="J1739" s="5" t="s">
        <v>12395</v>
      </c>
      <c r="K1739" s="5" t="str">
        <f t="shared" si="54"/>
        <v>https://www.google.com/maps?q=-11.227782, -41.877125</v>
      </c>
      <c r="L1739" s="5" t="str">
        <f t="shared" si="55"/>
        <v>Abrir no Maps</v>
      </c>
      <c r="M1739" t="s">
        <v>12396</v>
      </c>
      <c r="N1739" s="5"/>
      <c r="O1739" t="str">
        <f>VLOOKUP(G1739,'[1]CONFIG.'!$B:$C,2,0)</f>
        <v>HIAGO</v>
      </c>
      <c r="P1739" t="str">
        <f>VLOOKUP(O1739,'[1]CONFIG.'!$C:$D,2,0)</f>
        <v>74 99872571</v>
      </c>
    </row>
    <row r="1740" spans="1:16" x14ac:dyDescent="0.3">
      <c r="A1740" t="s">
        <v>12397</v>
      </c>
      <c r="B1740" t="s">
        <v>12398</v>
      </c>
      <c r="C1740" t="s">
        <v>12399</v>
      </c>
      <c r="D1740" t="s">
        <v>36</v>
      </c>
      <c r="E1740" t="s">
        <v>12400</v>
      </c>
      <c r="F1740" t="s">
        <v>511</v>
      </c>
      <c r="G1740">
        <v>207</v>
      </c>
      <c r="H1740">
        <v>500</v>
      </c>
      <c r="I1740" s="5" t="s">
        <v>12401</v>
      </c>
      <c r="J1740" s="5" t="s">
        <v>12402</v>
      </c>
      <c r="K1740" s="5" t="str">
        <f t="shared" si="54"/>
        <v>https://www.google.com/maps?q=-11.326159, -41.865704</v>
      </c>
      <c r="L1740" s="5" t="str">
        <f t="shared" si="55"/>
        <v>Abrir no Maps</v>
      </c>
      <c r="M1740" t="s">
        <v>12403</v>
      </c>
      <c r="N1740" s="5"/>
      <c r="O1740" t="str">
        <f>VLOOKUP(G1740,'[1]CONFIG.'!$B:$C,2,0)</f>
        <v>HIAGO</v>
      </c>
      <c r="P1740" t="str">
        <f>VLOOKUP(O1740,'[1]CONFIG.'!$C:$D,2,0)</f>
        <v>74 99872571</v>
      </c>
    </row>
    <row r="1741" spans="1:16" x14ac:dyDescent="0.3">
      <c r="A1741" t="s">
        <v>12404</v>
      </c>
      <c r="B1741" t="s">
        <v>12405</v>
      </c>
      <c r="C1741" t="s">
        <v>12406</v>
      </c>
      <c r="D1741" t="s">
        <v>1435</v>
      </c>
      <c r="E1741" t="s">
        <v>12407</v>
      </c>
      <c r="F1741" t="s">
        <v>12350</v>
      </c>
      <c r="G1741">
        <v>207</v>
      </c>
      <c r="H1741">
        <v>500</v>
      </c>
      <c r="I1741" s="5" t="s">
        <v>12408</v>
      </c>
      <c r="J1741" s="5" t="s">
        <v>12409</v>
      </c>
      <c r="K1741" s="5" t="str">
        <f t="shared" si="54"/>
        <v>https://www.google.com/maps?q=-11.228577, -41.878983</v>
      </c>
      <c r="L1741" s="5" t="str">
        <f t="shared" si="55"/>
        <v>Abrir no Maps</v>
      </c>
      <c r="M1741" t="s">
        <v>12410</v>
      </c>
      <c r="N1741" s="5"/>
      <c r="O1741" t="str">
        <f>VLOOKUP(G1741,'[1]CONFIG.'!$B:$C,2,0)</f>
        <v>HIAGO</v>
      </c>
      <c r="P1741" t="str">
        <f>VLOOKUP(O1741,'[1]CONFIG.'!$C:$D,2,0)</f>
        <v>74 99872571</v>
      </c>
    </row>
    <row r="1742" spans="1:16" x14ac:dyDescent="0.3">
      <c r="A1742" t="s">
        <v>12411</v>
      </c>
      <c r="B1742" t="s">
        <v>12412</v>
      </c>
      <c r="C1742" t="s">
        <v>12413</v>
      </c>
      <c r="D1742" t="s">
        <v>1435</v>
      </c>
      <c r="E1742" t="s">
        <v>12414</v>
      </c>
      <c r="F1742" t="s">
        <v>12350</v>
      </c>
      <c r="G1742">
        <v>207</v>
      </c>
      <c r="H1742">
        <v>500</v>
      </c>
      <c r="I1742" s="5" t="s">
        <v>12415</v>
      </c>
      <c r="J1742" s="5" t="s">
        <v>12416</v>
      </c>
      <c r="K1742" s="5" t="str">
        <f t="shared" si="54"/>
        <v>https://www.google.com/maps?q=-11.228448, -41.878445</v>
      </c>
      <c r="L1742" s="5" t="str">
        <f t="shared" si="55"/>
        <v>Abrir no Maps</v>
      </c>
      <c r="M1742" t="s">
        <v>12417</v>
      </c>
      <c r="N1742" s="5"/>
      <c r="O1742" t="str">
        <f>VLOOKUP(G1742,'[1]CONFIG.'!$B:$C,2,0)</f>
        <v>HIAGO</v>
      </c>
      <c r="P1742" t="str">
        <f>VLOOKUP(O1742,'[1]CONFIG.'!$C:$D,2,0)</f>
        <v>74 99872571</v>
      </c>
    </row>
    <row r="1743" spans="1:16" x14ac:dyDescent="0.3">
      <c r="A1743" t="s">
        <v>12418</v>
      </c>
      <c r="B1743" t="s">
        <v>12419</v>
      </c>
      <c r="C1743" t="s">
        <v>12420</v>
      </c>
      <c r="D1743" t="s">
        <v>1435</v>
      </c>
      <c r="E1743" t="s">
        <v>12421</v>
      </c>
      <c r="F1743" t="s">
        <v>12350</v>
      </c>
      <c r="G1743">
        <v>207</v>
      </c>
      <c r="H1743">
        <v>500</v>
      </c>
      <c r="I1743" s="5" t="s">
        <v>12422</v>
      </c>
      <c r="J1743" s="5" t="s">
        <v>12423</v>
      </c>
      <c r="K1743" s="5" t="str">
        <f t="shared" si="54"/>
        <v>https://www.google.com/maps?q=-11.225492, -41.871100</v>
      </c>
      <c r="L1743" s="5" t="str">
        <f t="shared" si="55"/>
        <v>Abrir no Maps</v>
      </c>
      <c r="M1743" t="s">
        <v>12424</v>
      </c>
      <c r="N1743" s="5"/>
      <c r="O1743" t="str">
        <f>VLOOKUP(G1743,'[1]CONFIG.'!$B:$C,2,0)</f>
        <v>HIAGO</v>
      </c>
      <c r="P1743" t="str">
        <f>VLOOKUP(O1743,'[1]CONFIG.'!$C:$D,2,0)</f>
        <v>74 99872571</v>
      </c>
    </row>
    <row r="1744" spans="1:16" x14ac:dyDescent="0.3">
      <c r="A1744" t="s">
        <v>12425</v>
      </c>
      <c r="B1744" t="s">
        <v>12426</v>
      </c>
      <c r="C1744" t="s">
        <v>12427</v>
      </c>
      <c r="D1744" t="s">
        <v>1435</v>
      </c>
      <c r="E1744" t="s">
        <v>12428</v>
      </c>
      <c r="F1744" t="s">
        <v>12429</v>
      </c>
      <c r="G1744">
        <v>207</v>
      </c>
      <c r="H1744">
        <v>500</v>
      </c>
      <c r="I1744" s="5" t="s">
        <v>12430</v>
      </c>
      <c r="J1744" s="5" t="s">
        <v>12431</v>
      </c>
      <c r="K1744" s="5" t="str">
        <f t="shared" si="54"/>
        <v>https://www.google.com/maps?q=-11.068159, -41.689621</v>
      </c>
      <c r="L1744" s="5" t="str">
        <f t="shared" si="55"/>
        <v>Abrir no Maps</v>
      </c>
      <c r="M1744" t="s">
        <v>12432</v>
      </c>
      <c r="N1744" s="5"/>
      <c r="O1744" t="str">
        <f>VLOOKUP(G1744,'[1]CONFIG.'!$B:$C,2,0)</f>
        <v>HIAGO</v>
      </c>
      <c r="P1744" t="str">
        <f>VLOOKUP(O1744,'[1]CONFIG.'!$C:$D,2,0)</f>
        <v>74 99872571</v>
      </c>
    </row>
    <row r="1745" spans="1:16" x14ac:dyDescent="0.3">
      <c r="A1745" t="s">
        <v>12433</v>
      </c>
      <c r="B1745" t="s">
        <v>12434</v>
      </c>
      <c r="C1745" t="s">
        <v>12435</v>
      </c>
      <c r="D1745" t="s">
        <v>1435</v>
      </c>
      <c r="E1745" t="s">
        <v>12436</v>
      </c>
      <c r="F1745" t="s">
        <v>12429</v>
      </c>
      <c r="G1745">
        <v>207</v>
      </c>
      <c r="H1745">
        <v>500</v>
      </c>
      <c r="I1745" s="5" t="s">
        <v>12437</v>
      </c>
      <c r="J1745" s="5" t="s">
        <v>12438</v>
      </c>
      <c r="K1745" s="5" t="str">
        <f t="shared" si="54"/>
        <v>https://www.google.com/maps?q=-11.067124, -41.689733</v>
      </c>
      <c r="L1745" s="5" t="str">
        <f t="shared" si="55"/>
        <v>Abrir no Maps</v>
      </c>
      <c r="M1745" t="s">
        <v>12439</v>
      </c>
      <c r="N1745" s="5"/>
      <c r="O1745" t="str">
        <f>VLOOKUP(G1745,'[1]CONFIG.'!$B:$C,2,0)</f>
        <v>HIAGO</v>
      </c>
      <c r="P1745" t="str">
        <f>VLOOKUP(O1745,'[1]CONFIG.'!$C:$D,2,0)</f>
        <v>74 99872571</v>
      </c>
    </row>
    <row r="1746" spans="1:16" x14ac:dyDescent="0.3">
      <c r="A1746" t="s">
        <v>12440</v>
      </c>
      <c r="B1746" t="s">
        <v>12441</v>
      </c>
      <c r="C1746" t="s">
        <v>12442</v>
      </c>
      <c r="D1746" t="s">
        <v>1435</v>
      </c>
      <c r="E1746" t="s">
        <v>12443</v>
      </c>
      <c r="F1746" t="s">
        <v>12429</v>
      </c>
      <c r="G1746">
        <v>207</v>
      </c>
      <c r="H1746">
        <v>500</v>
      </c>
      <c r="I1746" s="5" t="s">
        <v>12444</v>
      </c>
      <c r="J1746" s="5" t="s">
        <v>12445</v>
      </c>
      <c r="K1746" s="5" t="str">
        <f t="shared" si="54"/>
        <v>https://www.google.com/maps?q=-11.067847, -41.690016</v>
      </c>
      <c r="L1746" s="5" t="str">
        <f t="shared" si="55"/>
        <v>Abrir no Maps</v>
      </c>
      <c r="M1746" t="s">
        <v>12446</v>
      </c>
      <c r="N1746" s="5"/>
      <c r="O1746" t="str">
        <f>VLOOKUP(G1746,'[1]CONFIG.'!$B:$C,2,0)</f>
        <v>HIAGO</v>
      </c>
      <c r="P1746" t="str">
        <f>VLOOKUP(O1746,'[1]CONFIG.'!$C:$D,2,0)</f>
        <v>74 99872571</v>
      </c>
    </row>
    <row r="1747" spans="1:16" x14ac:dyDescent="0.3">
      <c r="A1747" t="s">
        <v>12447</v>
      </c>
      <c r="B1747" t="s">
        <v>12448</v>
      </c>
      <c r="C1747" t="s">
        <v>12449</v>
      </c>
      <c r="D1747" t="s">
        <v>1435</v>
      </c>
      <c r="E1747" t="s">
        <v>12450</v>
      </c>
      <c r="F1747" t="s">
        <v>12451</v>
      </c>
      <c r="G1747">
        <v>207</v>
      </c>
      <c r="H1747">
        <v>500</v>
      </c>
      <c r="I1747" s="5" t="s">
        <v>12452</v>
      </c>
      <c r="J1747" s="5" t="s">
        <v>12453</v>
      </c>
      <c r="K1747" s="5" t="str">
        <f t="shared" si="54"/>
        <v>https://www.google.com/maps?q=-11.221969, -41.873173</v>
      </c>
      <c r="L1747" s="5" t="str">
        <f t="shared" si="55"/>
        <v>Abrir no Maps</v>
      </c>
      <c r="M1747" t="s">
        <v>12454</v>
      </c>
      <c r="N1747" s="5"/>
      <c r="O1747" t="str">
        <f>VLOOKUP(G1747,'[1]CONFIG.'!$B:$C,2,0)</f>
        <v>HIAGO</v>
      </c>
      <c r="P1747" t="str">
        <f>VLOOKUP(O1747,'[1]CONFIG.'!$C:$D,2,0)</f>
        <v>74 99872571</v>
      </c>
    </row>
    <row r="1748" spans="1:16" x14ac:dyDescent="0.3">
      <c r="A1748" t="s">
        <v>12455</v>
      </c>
      <c r="B1748" t="s">
        <v>12456</v>
      </c>
      <c r="C1748" t="s">
        <v>12457</v>
      </c>
      <c r="D1748" t="s">
        <v>1435</v>
      </c>
      <c r="E1748" t="s">
        <v>12458</v>
      </c>
      <c r="F1748" t="s">
        <v>137</v>
      </c>
      <c r="G1748">
        <v>207</v>
      </c>
      <c r="H1748">
        <v>500</v>
      </c>
      <c r="I1748" s="5" t="s">
        <v>12459</v>
      </c>
      <c r="J1748" s="5" t="s">
        <v>12460</v>
      </c>
      <c r="K1748" s="5" t="str">
        <f t="shared" si="54"/>
        <v>https://www.google.com/maps?q=-11.228370, -41.877983</v>
      </c>
      <c r="L1748" s="5" t="str">
        <f t="shared" si="55"/>
        <v>Abrir no Maps</v>
      </c>
      <c r="M1748" t="s">
        <v>12461</v>
      </c>
      <c r="N1748" s="5"/>
      <c r="O1748" t="str">
        <f>VLOOKUP(G1748,'[1]CONFIG.'!$B:$C,2,0)</f>
        <v>HIAGO</v>
      </c>
      <c r="P1748" t="str">
        <f>VLOOKUP(O1748,'[1]CONFIG.'!$C:$D,2,0)</f>
        <v>74 99872571</v>
      </c>
    </row>
    <row r="1749" spans="1:16" x14ac:dyDescent="0.3">
      <c r="A1749" t="s">
        <v>12462</v>
      </c>
      <c r="B1749" t="s">
        <v>12463</v>
      </c>
      <c r="C1749" t="s">
        <v>12464</v>
      </c>
      <c r="D1749" t="s">
        <v>1435</v>
      </c>
      <c r="E1749" t="s">
        <v>12465</v>
      </c>
      <c r="F1749" t="s">
        <v>137</v>
      </c>
      <c r="G1749">
        <v>207</v>
      </c>
      <c r="H1749">
        <v>500</v>
      </c>
      <c r="I1749" s="5" t="s">
        <v>12466</v>
      </c>
      <c r="J1749" s="5" t="s">
        <v>12467</v>
      </c>
      <c r="K1749" s="5" t="str">
        <f t="shared" si="54"/>
        <v>https://www.google.com/maps?q=-11.231720, -41.880127</v>
      </c>
      <c r="L1749" s="5" t="str">
        <f t="shared" si="55"/>
        <v>Abrir no Maps</v>
      </c>
      <c r="M1749" t="s">
        <v>12468</v>
      </c>
      <c r="N1749" s="5"/>
      <c r="O1749" t="str">
        <f>VLOOKUP(G1749,'[1]CONFIG.'!$B:$C,2,0)</f>
        <v>HIAGO</v>
      </c>
      <c r="P1749" t="str">
        <f>VLOOKUP(O1749,'[1]CONFIG.'!$C:$D,2,0)</f>
        <v>74 99872571</v>
      </c>
    </row>
    <row r="1750" spans="1:16" x14ac:dyDescent="0.3">
      <c r="A1750" t="s">
        <v>12469</v>
      </c>
      <c r="B1750" t="s">
        <v>12470</v>
      </c>
      <c r="C1750" t="s">
        <v>12471</v>
      </c>
      <c r="D1750" t="s">
        <v>1435</v>
      </c>
      <c r="E1750" t="s">
        <v>12472</v>
      </c>
      <c r="F1750" t="s">
        <v>137</v>
      </c>
      <c r="G1750">
        <v>207</v>
      </c>
      <c r="H1750">
        <v>500</v>
      </c>
      <c r="I1750" s="5" t="s">
        <v>12473</v>
      </c>
      <c r="J1750" s="5" t="s">
        <v>12474</v>
      </c>
      <c r="K1750" s="5" t="str">
        <f t="shared" si="54"/>
        <v>https://www.google.com/maps?q=-11.228705, -41.879528</v>
      </c>
      <c r="L1750" s="5" t="str">
        <f t="shared" si="55"/>
        <v>Abrir no Maps</v>
      </c>
      <c r="M1750" t="s">
        <v>12475</v>
      </c>
      <c r="N1750" s="5"/>
      <c r="O1750" t="str">
        <f>VLOOKUP(G1750,'[1]CONFIG.'!$B:$C,2,0)</f>
        <v>HIAGO</v>
      </c>
      <c r="P1750" t="str">
        <f>VLOOKUP(O1750,'[1]CONFIG.'!$C:$D,2,0)</f>
        <v>74 99872571</v>
      </c>
    </row>
    <row r="1751" spans="1:16" x14ac:dyDescent="0.3">
      <c r="A1751" t="s">
        <v>12476</v>
      </c>
      <c r="B1751" t="s">
        <v>12477</v>
      </c>
      <c r="C1751" t="s">
        <v>12478</v>
      </c>
      <c r="D1751" t="s">
        <v>1435</v>
      </c>
      <c r="E1751" t="s">
        <v>12479</v>
      </c>
      <c r="F1751" t="s">
        <v>12480</v>
      </c>
      <c r="G1751">
        <v>207</v>
      </c>
      <c r="H1751">
        <v>500</v>
      </c>
      <c r="I1751" s="5" t="s">
        <v>12481</v>
      </c>
      <c r="J1751" s="5" t="s">
        <v>12482</v>
      </c>
      <c r="K1751" s="5" t="str">
        <f t="shared" si="54"/>
        <v>https://www.google.com/maps?q=-11.225513, -41.897205</v>
      </c>
      <c r="L1751" s="5" t="str">
        <f t="shared" si="55"/>
        <v>Abrir no Maps</v>
      </c>
      <c r="M1751" t="s">
        <v>12483</v>
      </c>
      <c r="N1751" s="5"/>
      <c r="O1751" t="str">
        <f>VLOOKUP(G1751,'[1]CONFIG.'!$B:$C,2,0)</f>
        <v>HIAGO</v>
      </c>
      <c r="P1751" t="str">
        <f>VLOOKUP(O1751,'[1]CONFIG.'!$C:$D,2,0)</f>
        <v>74 99872571</v>
      </c>
    </row>
    <row r="1752" spans="1:16" x14ac:dyDescent="0.3">
      <c r="A1752" t="s">
        <v>12484</v>
      </c>
      <c r="B1752" t="s">
        <v>12485</v>
      </c>
      <c r="C1752" t="s">
        <v>12486</v>
      </c>
      <c r="D1752" t="s">
        <v>1435</v>
      </c>
      <c r="E1752" t="s">
        <v>12487</v>
      </c>
      <c r="F1752" t="s">
        <v>12328</v>
      </c>
      <c r="G1752">
        <v>207</v>
      </c>
      <c r="H1752">
        <v>500</v>
      </c>
      <c r="I1752" s="5" t="s">
        <v>12488</v>
      </c>
      <c r="J1752" s="5" t="s">
        <v>12329</v>
      </c>
      <c r="K1752" s="5" t="str">
        <f t="shared" si="54"/>
        <v>https://www.google.com/maps?q=-11.123965, -41.787464</v>
      </c>
      <c r="L1752" s="5" t="str">
        <f t="shared" si="55"/>
        <v>Abrir no Maps</v>
      </c>
      <c r="M1752" t="s">
        <v>12489</v>
      </c>
      <c r="N1752" s="5"/>
      <c r="O1752" t="str">
        <f>VLOOKUP(G1752,'[1]CONFIG.'!$B:$C,2,0)</f>
        <v>HIAGO</v>
      </c>
      <c r="P1752" t="str">
        <f>VLOOKUP(O1752,'[1]CONFIG.'!$C:$D,2,0)</f>
        <v>74 99872571</v>
      </c>
    </row>
    <row r="1753" spans="1:16" x14ac:dyDescent="0.3">
      <c r="A1753" t="s">
        <v>12490</v>
      </c>
      <c r="B1753" t="s">
        <v>12491</v>
      </c>
      <c r="C1753" t="s">
        <v>12492</v>
      </c>
      <c r="D1753" t="s">
        <v>1435</v>
      </c>
      <c r="E1753" t="s">
        <v>12493</v>
      </c>
      <c r="F1753" t="s">
        <v>12494</v>
      </c>
      <c r="G1753">
        <v>207</v>
      </c>
      <c r="H1753">
        <v>500</v>
      </c>
      <c r="I1753" s="5" t="s">
        <v>12495</v>
      </c>
      <c r="J1753" s="5" t="s">
        <v>12496</v>
      </c>
      <c r="K1753" s="5" t="str">
        <f t="shared" si="54"/>
        <v>https://www.google.com/maps?q=-11.132321, -41.835910</v>
      </c>
      <c r="L1753" s="5" t="str">
        <f t="shared" si="55"/>
        <v>Abrir no Maps</v>
      </c>
      <c r="M1753" t="s">
        <v>12497</v>
      </c>
      <c r="N1753" s="5"/>
      <c r="O1753" t="str">
        <f>VLOOKUP(G1753,'[1]CONFIG.'!$B:$C,2,0)</f>
        <v>HIAGO</v>
      </c>
      <c r="P1753" t="str">
        <f>VLOOKUP(O1753,'[1]CONFIG.'!$C:$D,2,0)</f>
        <v>74 99872571</v>
      </c>
    </row>
    <row r="1754" spans="1:16" x14ac:dyDescent="0.3">
      <c r="A1754" t="s">
        <v>12498</v>
      </c>
      <c r="B1754" t="s">
        <v>12499</v>
      </c>
      <c r="C1754" t="s">
        <v>12500</v>
      </c>
      <c r="D1754" t="s">
        <v>1435</v>
      </c>
      <c r="E1754" t="s">
        <v>12501</v>
      </c>
      <c r="F1754" t="s">
        <v>137</v>
      </c>
      <c r="G1754">
        <v>207</v>
      </c>
      <c r="H1754">
        <v>500</v>
      </c>
      <c r="I1754" s="5" t="s">
        <v>12502</v>
      </c>
      <c r="J1754" s="5" t="s">
        <v>12503</v>
      </c>
      <c r="K1754" s="5" t="str">
        <f t="shared" si="54"/>
        <v>https://www.google.com/maps?q=-11.228310, -41.876957</v>
      </c>
      <c r="L1754" s="5" t="str">
        <f t="shared" si="55"/>
        <v>Abrir no Maps</v>
      </c>
      <c r="M1754" t="s">
        <v>12504</v>
      </c>
      <c r="N1754" s="5"/>
      <c r="O1754" t="str">
        <f>VLOOKUP(G1754,'[1]CONFIG.'!$B:$C,2,0)</f>
        <v>HIAGO</v>
      </c>
      <c r="P1754" t="str">
        <f>VLOOKUP(O1754,'[1]CONFIG.'!$C:$D,2,0)</f>
        <v>74 99872571</v>
      </c>
    </row>
    <row r="1755" spans="1:16" x14ac:dyDescent="0.3">
      <c r="A1755" t="s">
        <v>12505</v>
      </c>
      <c r="B1755" t="s">
        <v>12506</v>
      </c>
      <c r="C1755" t="s">
        <v>12507</v>
      </c>
      <c r="D1755" t="s">
        <v>1435</v>
      </c>
      <c r="E1755" t="s">
        <v>12508</v>
      </c>
      <c r="F1755" t="s">
        <v>137</v>
      </c>
      <c r="G1755">
        <v>207</v>
      </c>
      <c r="H1755">
        <v>500</v>
      </c>
      <c r="I1755" s="5" t="s">
        <v>12509</v>
      </c>
      <c r="J1755" s="5" t="s">
        <v>12510</v>
      </c>
      <c r="K1755" s="5" t="str">
        <f t="shared" si="54"/>
        <v>https://www.google.com/maps?q=-11.222438, -41.875027</v>
      </c>
      <c r="L1755" s="5" t="str">
        <f t="shared" si="55"/>
        <v>Abrir no Maps</v>
      </c>
      <c r="M1755" t="s">
        <v>12511</v>
      </c>
      <c r="N1755" s="5"/>
      <c r="O1755" t="str">
        <f>VLOOKUP(G1755,'[1]CONFIG.'!$B:$C,2,0)</f>
        <v>HIAGO</v>
      </c>
      <c r="P1755" t="str">
        <f>VLOOKUP(O1755,'[1]CONFIG.'!$C:$D,2,0)</f>
        <v>74 99872571</v>
      </c>
    </row>
    <row r="1756" spans="1:16" x14ac:dyDescent="0.3">
      <c r="A1756" t="s">
        <v>12512</v>
      </c>
      <c r="B1756" t="s">
        <v>12513</v>
      </c>
      <c r="C1756" t="s">
        <v>12514</v>
      </c>
      <c r="D1756" t="s">
        <v>1435</v>
      </c>
      <c r="E1756" t="s">
        <v>12515</v>
      </c>
      <c r="F1756" t="s">
        <v>12516</v>
      </c>
      <c r="G1756">
        <v>207</v>
      </c>
      <c r="H1756">
        <v>500</v>
      </c>
      <c r="I1756" s="5" t="s">
        <v>12517</v>
      </c>
      <c r="J1756" s="5" t="s">
        <v>12518</v>
      </c>
      <c r="K1756" s="5" t="str">
        <f t="shared" si="54"/>
        <v>https://www.google.com/maps?q=-11.226967, -41.881763</v>
      </c>
      <c r="L1756" s="5" t="str">
        <f t="shared" si="55"/>
        <v>Abrir no Maps</v>
      </c>
      <c r="M1756" t="s">
        <v>12519</v>
      </c>
      <c r="N1756" s="5"/>
      <c r="O1756" t="str">
        <f>VLOOKUP(G1756,'[1]CONFIG.'!$B:$C,2,0)</f>
        <v>HIAGO</v>
      </c>
      <c r="P1756" t="str">
        <f>VLOOKUP(O1756,'[1]CONFIG.'!$C:$D,2,0)</f>
        <v>74 99872571</v>
      </c>
    </row>
    <row r="1757" spans="1:16" x14ac:dyDescent="0.3">
      <c r="A1757" t="s">
        <v>12520</v>
      </c>
      <c r="B1757" t="s">
        <v>12521</v>
      </c>
      <c r="C1757" t="s">
        <v>12522</v>
      </c>
      <c r="D1757" t="s">
        <v>1435</v>
      </c>
      <c r="E1757" t="s">
        <v>12523</v>
      </c>
      <c r="F1757" t="s">
        <v>12524</v>
      </c>
      <c r="G1757">
        <v>207</v>
      </c>
      <c r="H1757">
        <v>500</v>
      </c>
      <c r="I1757" s="5" t="s">
        <v>12525</v>
      </c>
      <c r="J1757" s="5" t="s">
        <v>12526</v>
      </c>
      <c r="K1757" s="5" t="str">
        <f t="shared" si="54"/>
        <v>https://www.google.com/maps?q=-11.226697, -41.884110</v>
      </c>
      <c r="L1757" s="5" t="str">
        <f t="shared" si="55"/>
        <v>Abrir no Maps</v>
      </c>
      <c r="M1757" t="s">
        <v>12527</v>
      </c>
      <c r="N1757" s="5"/>
      <c r="O1757" t="str">
        <f>VLOOKUP(G1757,'[1]CONFIG.'!$B:$C,2,0)</f>
        <v>HIAGO</v>
      </c>
      <c r="P1757" t="str">
        <f>VLOOKUP(O1757,'[1]CONFIG.'!$C:$D,2,0)</f>
        <v>74 99872571</v>
      </c>
    </row>
    <row r="1758" spans="1:16" x14ac:dyDescent="0.3">
      <c r="A1758" t="s">
        <v>12528</v>
      </c>
      <c r="B1758" t="s">
        <v>12529</v>
      </c>
      <c r="C1758" t="s">
        <v>12530</v>
      </c>
      <c r="D1758" t="s">
        <v>1435</v>
      </c>
      <c r="E1758" t="s">
        <v>12531</v>
      </c>
      <c r="F1758" t="s">
        <v>12532</v>
      </c>
      <c r="G1758">
        <v>206</v>
      </c>
      <c r="H1758">
        <v>200</v>
      </c>
      <c r="I1758" s="5" t="s">
        <v>12533</v>
      </c>
      <c r="J1758" s="5" t="s">
        <v>12534</v>
      </c>
      <c r="K1758" s="5" t="str">
        <f t="shared" si="54"/>
        <v>https://www.google.com/maps?q=-11.339730, -41.674090</v>
      </c>
      <c r="L1758" s="5" t="str">
        <f t="shared" si="55"/>
        <v>Abrir no Maps</v>
      </c>
      <c r="M1758" t="s">
        <v>12535</v>
      </c>
      <c r="N1758" s="5"/>
      <c r="O1758" t="str">
        <f>VLOOKUP(G1758,'[1]CONFIG.'!$B:$C,2,0)</f>
        <v>ROBERTO</v>
      </c>
      <c r="P1758" t="str">
        <f>VLOOKUP(O1758,'[1]CONFIG.'!$C:$D,2,0)</f>
        <v>74 99551147</v>
      </c>
    </row>
    <row r="1759" spans="1:16" x14ac:dyDescent="0.3">
      <c r="A1759" t="s">
        <v>12536</v>
      </c>
      <c r="B1759" t="s">
        <v>12537</v>
      </c>
      <c r="C1759" t="s">
        <v>12538</v>
      </c>
      <c r="D1759" t="s">
        <v>1435</v>
      </c>
      <c r="E1759" t="s">
        <v>12539</v>
      </c>
      <c r="F1759" t="s">
        <v>137</v>
      </c>
      <c r="G1759">
        <v>207</v>
      </c>
      <c r="H1759">
        <v>500</v>
      </c>
      <c r="I1759" s="5" t="s">
        <v>12540</v>
      </c>
      <c r="J1759" s="5" t="s">
        <v>12541</v>
      </c>
      <c r="K1759" s="5" t="str">
        <f t="shared" si="54"/>
        <v>https://www.google.com/maps?q=-11.227821, -41.874577</v>
      </c>
      <c r="L1759" s="5" t="str">
        <f t="shared" si="55"/>
        <v>Abrir no Maps</v>
      </c>
      <c r="M1759" t="s">
        <v>12542</v>
      </c>
      <c r="N1759" s="5"/>
      <c r="O1759" t="str">
        <f>VLOOKUP(G1759,'[1]CONFIG.'!$B:$C,2,0)</f>
        <v>HIAGO</v>
      </c>
      <c r="P1759" t="str">
        <f>VLOOKUP(O1759,'[1]CONFIG.'!$C:$D,2,0)</f>
        <v>74 99872571</v>
      </c>
    </row>
    <row r="1760" spans="1:16" x14ac:dyDescent="0.3">
      <c r="A1760" t="s">
        <v>12543</v>
      </c>
      <c r="B1760" t="s">
        <v>12544</v>
      </c>
      <c r="C1760" t="s">
        <v>12545</v>
      </c>
      <c r="D1760" t="s">
        <v>1435</v>
      </c>
      <c r="E1760" t="s">
        <v>12546</v>
      </c>
      <c r="F1760" t="s">
        <v>137</v>
      </c>
      <c r="G1760">
        <v>207</v>
      </c>
      <c r="H1760">
        <v>500</v>
      </c>
      <c r="I1760" s="5" t="s">
        <v>12547</v>
      </c>
      <c r="J1760" s="5" t="s">
        <v>12548</v>
      </c>
      <c r="K1760" s="5" t="str">
        <f t="shared" si="54"/>
        <v>https://www.google.com/maps?q=-11.228312, -41.877007</v>
      </c>
      <c r="L1760" s="5" t="str">
        <f t="shared" si="55"/>
        <v>Abrir no Maps</v>
      </c>
      <c r="M1760" t="s">
        <v>12549</v>
      </c>
      <c r="N1760" s="5"/>
      <c r="O1760" t="str">
        <f>VLOOKUP(G1760,'[1]CONFIG.'!$B:$C,2,0)</f>
        <v>HIAGO</v>
      </c>
      <c r="P1760" t="str">
        <f>VLOOKUP(O1760,'[1]CONFIG.'!$C:$D,2,0)</f>
        <v>74 99872571</v>
      </c>
    </row>
    <row r="1761" spans="1:16" x14ac:dyDescent="0.3">
      <c r="A1761" t="s">
        <v>12550</v>
      </c>
      <c r="B1761" t="s">
        <v>12551</v>
      </c>
      <c r="C1761" t="s">
        <v>12552</v>
      </c>
      <c r="D1761" t="s">
        <v>1435</v>
      </c>
      <c r="E1761" t="s">
        <v>12553</v>
      </c>
      <c r="F1761" t="s">
        <v>12554</v>
      </c>
      <c r="G1761">
        <v>207</v>
      </c>
      <c r="H1761">
        <v>500</v>
      </c>
      <c r="I1761" s="5" t="s">
        <v>12555</v>
      </c>
      <c r="J1761" s="5" t="s">
        <v>12556</v>
      </c>
      <c r="K1761" s="5" t="str">
        <f t="shared" si="54"/>
        <v>https://www.google.com/maps?q=-11.221840, -41.866722</v>
      </c>
      <c r="L1761" s="5" t="str">
        <f t="shared" si="55"/>
        <v>Abrir no Maps</v>
      </c>
      <c r="M1761" t="s">
        <v>12557</v>
      </c>
      <c r="N1761" s="5"/>
      <c r="O1761" t="str">
        <f>VLOOKUP(G1761,'[1]CONFIG.'!$B:$C,2,0)</f>
        <v>HIAGO</v>
      </c>
      <c r="P1761" t="str">
        <f>VLOOKUP(O1761,'[1]CONFIG.'!$C:$D,2,0)</f>
        <v>74 99872571</v>
      </c>
    </row>
    <row r="1762" spans="1:16" x14ac:dyDescent="0.3">
      <c r="A1762" t="s">
        <v>12558</v>
      </c>
      <c r="B1762" t="s">
        <v>12559</v>
      </c>
      <c r="C1762" t="s">
        <v>12560</v>
      </c>
      <c r="D1762" t="s">
        <v>1435</v>
      </c>
      <c r="E1762" t="s">
        <v>12561</v>
      </c>
      <c r="F1762" t="s">
        <v>137</v>
      </c>
      <c r="G1762">
        <v>207</v>
      </c>
      <c r="H1762">
        <v>500</v>
      </c>
      <c r="I1762" s="5" t="s">
        <v>12562</v>
      </c>
      <c r="J1762" s="5" t="s">
        <v>12563</v>
      </c>
      <c r="K1762" s="5" t="str">
        <f t="shared" si="54"/>
        <v>https://www.google.com/maps?q=-11.228553, -41.878536</v>
      </c>
      <c r="L1762" s="5" t="str">
        <f t="shared" si="55"/>
        <v>Abrir no Maps</v>
      </c>
      <c r="M1762" t="s">
        <v>12564</v>
      </c>
      <c r="N1762" s="5"/>
      <c r="O1762" t="str">
        <f>VLOOKUP(G1762,'[1]CONFIG.'!$B:$C,2,0)</f>
        <v>HIAGO</v>
      </c>
      <c r="P1762" t="str">
        <f>VLOOKUP(O1762,'[1]CONFIG.'!$C:$D,2,0)</f>
        <v>74 99872571</v>
      </c>
    </row>
    <row r="1763" spans="1:16" x14ac:dyDescent="0.3">
      <c r="A1763" t="s">
        <v>12565</v>
      </c>
      <c r="B1763" t="s">
        <v>12566</v>
      </c>
      <c r="C1763" t="s">
        <v>12567</v>
      </c>
      <c r="D1763" t="s">
        <v>1435</v>
      </c>
      <c r="E1763" t="s">
        <v>12568</v>
      </c>
      <c r="F1763" t="s">
        <v>12569</v>
      </c>
      <c r="G1763">
        <v>207</v>
      </c>
      <c r="H1763">
        <v>500</v>
      </c>
      <c r="I1763" s="5" t="s">
        <v>12570</v>
      </c>
      <c r="J1763" s="5" t="s">
        <v>12571</v>
      </c>
      <c r="K1763" s="5" t="str">
        <f t="shared" si="54"/>
        <v>https://www.google.com/maps?q=-11.225718, -41.870876</v>
      </c>
      <c r="L1763" s="5" t="str">
        <f t="shared" si="55"/>
        <v>Abrir no Maps</v>
      </c>
      <c r="M1763" t="s">
        <v>12572</v>
      </c>
      <c r="N1763" s="5"/>
      <c r="O1763" t="str">
        <f>VLOOKUP(G1763,'[1]CONFIG.'!$B:$C,2,0)</f>
        <v>HIAGO</v>
      </c>
      <c r="P1763" t="str">
        <f>VLOOKUP(O1763,'[1]CONFIG.'!$C:$D,2,0)</f>
        <v>74 99872571</v>
      </c>
    </row>
    <row r="1764" spans="1:16" x14ac:dyDescent="0.3">
      <c r="A1764" t="s">
        <v>12573</v>
      </c>
      <c r="B1764" t="s">
        <v>12574</v>
      </c>
      <c r="C1764" t="s">
        <v>12575</v>
      </c>
      <c r="D1764" t="s">
        <v>1435</v>
      </c>
      <c r="E1764" t="s">
        <v>12576</v>
      </c>
      <c r="F1764" t="s">
        <v>137</v>
      </c>
      <c r="G1764">
        <v>207</v>
      </c>
      <c r="H1764">
        <v>500</v>
      </c>
      <c r="I1764" s="5" t="s">
        <v>12577</v>
      </c>
      <c r="J1764" s="5" t="s">
        <v>12578</v>
      </c>
      <c r="K1764" s="5" t="str">
        <f t="shared" si="54"/>
        <v>https://www.google.com/maps?q=-11.229308, -41.874990</v>
      </c>
      <c r="L1764" s="5" t="str">
        <f t="shared" si="55"/>
        <v>Abrir no Maps</v>
      </c>
      <c r="M1764" t="s">
        <v>12579</v>
      </c>
      <c r="N1764" s="5"/>
      <c r="O1764" t="str">
        <f>VLOOKUP(G1764,'[1]CONFIG.'!$B:$C,2,0)</f>
        <v>HIAGO</v>
      </c>
      <c r="P1764" t="str">
        <f>VLOOKUP(O1764,'[1]CONFIG.'!$C:$D,2,0)</f>
        <v>74 99872571</v>
      </c>
    </row>
    <row r="1765" spans="1:16" x14ac:dyDescent="0.3">
      <c r="A1765" t="s">
        <v>12580</v>
      </c>
      <c r="B1765" t="s">
        <v>12581</v>
      </c>
      <c r="C1765" t="s">
        <v>12582</v>
      </c>
      <c r="D1765" t="s">
        <v>1435</v>
      </c>
      <c r="E1765" t="s">
        <v>12583</v>
      </c>
      <c r="F1765" t="s">
        <v>137</v>
      </c>
      <c r="G1765">
        <v>207</v>
      </c>
      <c r="H1765">
        <v>500</v>
      </c>
      <c r="I1765" s="5" t="s">
        <v>12584</v>
      </c>
      <c r="J1765" s="5" t="s">
        <v>12585</v>
      </c>
      <c r="K1765" s="5" t="str">
        <f t="shared" si="54"/>
        <v>https://www.google.com/maps?q=-11.229568, -41.880440</v>
      </c>
      <c r="L1765" s="5" t="str">
        <f t="shared" si="55"/>
        <v>Abrir no Maps</v>
      </c>
      <c r="M1765" t="s">
        <v>12586</v>
      </c>
      <c r="N1765" s="5"/>
      <c r="O1765" t="str">
        <f>VLOOKUP(G1765,'[1]CONFIG.'!$B:$C,2,0)</f>
        <v>HIAGO</v>
      </c>
      <c r="P1765" t="str">
        <f>VLOOKUP(O1765,'[1]CONFIG.'!$C:$D,2,0)</f>
        <v>74 99872571</v>
      </c>
    </row>
    <row r="1766" spans="1:16" x14ac:dyDescent="0.3">
      <c r="A1766" t="s">
        <v>12587</v>
      </c>
      <c r="B1766" t="s">
        <v>12588</v>
      </c>
      <c r="C1766" t="s">
        <v>12589</v>
      </c>
      <c r="D1766" t="s">
        <v>1435</v>
      </c>
      <c r="E1766" t="s">
        <v>12590</v>
      </c>
      <c r="F1766" t="s">
        <v>1437</v>
      </c>
      <c r="G1766">
        <v>207</v>
      </c>
      <c r="H1766">
        <v>500</v>
      </c>
      <c r="I1766" s="5" t="s">
        <v>12591</v>
      </c>
      <c r="J1766" s="5" t="s">
        <v>12592</v>
      </c>
      <c r="K1766" s="5" t="str">
        <f t="shared" si="54"/>
        <v>https://www.google.com/maps?q=-11.231445, -41.875023</v>
      </c>
      <c r="L1766" s="5" t="str">
        <f t="shared" si="55"/>
        <v>Abrir no Maps</v>
      </c>
      <c r="M1766" t="s">
        <v>12593</v>
      </c>
      <c r="N1766" s="5"/>
      <c r="O1766" t="str">
        <f>VLOOKUP(G1766,'[1]CONFIG.'!$B:$C,2,0)</f>
        <v>HIAGO</v>
      </c>
      <c r="P1766" t="str">
        <f>VLOOKUP(O1766,'[1]CONFIG.'!$C:$D,2,0)</f>
        <v>74 99872571</v>
      </c>
    </row>
    <row r="1767" spans="1:16" x14ac:dyDescent="0.3">
      <c r="A1767" t="s">
        <v>12594</v>
      </c>
      <c r="B1767" t="s">
        <v>12595</v>
      </c>
      <c r="C1767" t="s">
        <v>12596</v>
      </c>
      <c r="D1767" t="s">
        <v>1435</v>
      </c>
      <c r="E1767" t="s">
        <v>12597</v>
      </c>
      <c r="F1767" t="s">
        <v>137</v>
      </c>
      <c r="G1767">
        <v>207</v>
      </c>
      <c r="H1767">
        <v>500</v>
      </c>
      <c r="I1767" s="5" t="s">
        <v>12598</v>
      </c>
      <c r="J1767" s="5" t="s">
        <v>12599</v>
      </c>
      <c r="K1767" s="5" t="str">
        <f t="shared" si="54"/>
        <v>https://www.google.com/maps?q=-11.227680, -41.877068</v>
      </c>
      <c r="L1767" s="5" t="str">
        <f t="shared" si="55"/>
        <v>Abrir no Maps</v>
      </c>
      <c r="M1767" t="s">
        <v>12600</v>
      </c>
      <c r="N1767" s="5"/>
      <c r="O1767" t="str">
        <f>VLOOKUP(G1767,'[1]CONFIG.'!$B:$C,2,0)</f>
        <v>HIAGO</v>
      </c>
      <c r="P1767" t="str">
        <f>VLOOKUP(O1767,'[1]CONFIG.'!$C:$D,2,0)</f>
        <v>74 99872571</v>
      </c>
    </row>
    <row r="1768" spans="1:16" x14ac:dyDescent="0.3">
      <c r="A1768" t="s">
        <v>12601</v>
      </c>
      <c r="B1768" t="s">
        <v>12602</v>
      </c>
      <c r="C1768" t="s">
        <v>12603</v>
      </c>
      <c r="D1768" t="s">
        <v>1435</v>
      </c>
      <c r="E1768" t="s">
        <v>12604</v>
      </c>
      <c r="F1768" t="s">
        <v>12605</v>
      </c>
      <c r="G1768">
        <v>207</v>
      </c>
      <c r="H1768">
        <v>500</v>
      </c>
      <c r="I1768" s="5" t="s">
        <v>12606</v>
      </c>
      <c r="J1768" s="5" t="s">
        <v>12607</v>
      </c>
      <c r="K1768" s="5" t="str">
        <f t="shared" si="54"/>
        <v>https://www.google.com/maps?q=-11.229187, -41.878265</v>
      </c>
      <c r="L1768" s="5" t="str">
        <f t="shared" si="55"/>
        <v>Abrir no Maps</v>
      </c>
      <c r="M1768" t="s">
        <v>12608</v>
      </c>
      <c r="N1768" s="5"/>
      <c r="O1768" t="str">
        <f>VLOOKUP(G1768,'[1]CONFIG.'!$B:$C,2,0)</f>
        <v>HIAGO</v>
      </c>
      <c r="P1768" t="str">
        <f>VLOOKUP(O1768,'[1]CONFIG.'!$C:$D,2,0)</f>
        <v>74 99872571</v>
      </c>
    </row>
    <row r="1769" spans="1:16" x14ac:dyDescent="0.3">
      <c r="A1769" t="s">
        <v>12609</v>
      </c>
      <c r="B1769" t="s">
        <v>12610</v>
      </c>
      <c r="C1769" t="s">
        <v>12611</v>
      </c>
      <c r="D1769" t="s">
        <v>1435</v>
      </c>
      <c r="E1769" t="s">
        <v>12612</v>
      </c>
      <c r="F1769" t="s">
        <v>137</v>
      </c>
      <c r="G1769">
        <v>207</v>
      </c>
      <c r="H1769">
        <v>500</v>
      </c>
      <c r="I1769" s="5" t="s">
        <v>12613</v>
      </c>
      <c r="J1769" s="5" t="s">
        <v>12614</v>
      </c>
      <c r="K1769" s="5" t="str">
        <f t="shared" si="54"/>
        <v>https://www.google.com/maps?q=-11.228395, -41.877510</v>
      </c>
      <c r="L1769" s="5" t="str">
        <f t="shared" si="55"/>
        <v>Abrir no Maps</v>
      </c>
      <c r="M1769" t="s">
        <v>12615</v>
      </c>
      <c r="N1769" s="5"/>
      <c r="O1769" t="str">
        <f>VLOOKUP(G1769,'[1]CONFIG.'!$B:$C,2,0)</f>
        <v>HIAGO</v>
      </c>
      <c r="P1769" t="str">
        <f>VLOOKUP(O1769,'[1]CONFIG.'!$C:$D,2,0)</f>
        <v>74 99872571</v>
      </c>
    </row>
    <row r="1770" spans="1:16" x14ac:dyDescent="0.3">
      <c r="A1770" t="s">
        <v>12616</v>
      </c>
      <c r="B1770" t="s">
        <v>12617</v>
      </c>
      <c r="C1770" t="s">
        <v>12618</v>
      </c>
      <c r="D1770" t="s">
        <v>1435</v>
      </c>
      <c r="E1770" t="s">
        <v>12619</v>
      </c>
      <c r="F1770" t="s">
        <v>674</v>
      </c>
      <c r="G1770">
        <v>207</v>
      </c>
      <c r="H1770">
        <v>500</v>
      </c>
      <c r="I1770" s="5" t="s">
        <v>12620</v>
      </c>
      <c r="J1770" s="5" t="s">
        <v>12621</v>
      </c>
      <c r="K1770" s="5" t="str">
        <f t="shared" si="54"/>
        <v>https://www.google.com/maps?q=-11.192862, -41.914307</v>
      </c>
      <c r="L1770" s="5" t="str">
        <f t="shared" si="55"/>
        <v>Abrir no Maps</v>
      </c>
      <c r="M1770" t="s">
        <v>12622</v>
      </c>
      <c r="N1770" s="5"/>
      <c r="O1770" t="str">
        <f>VLOOKUP(G1770,'[1]CONFIG.'!$B:$C,2,0)</f>
        <v>HIAGO</v>
      </c>
      <c r="P1770" t="str">
        <f>VLOOKUP(O1770,'[1]CONFIG.'!$C:$D,2,0)</f>
        <v>74 99872571</v>
      </c>
    </row>
    <row r="1771" spans="1:16" x14ac:dyDescent="0.3">
      <c r="A1771" t="s">
        <v>12623</v>
      </c>
      <c r="B1771" t="s">
        <v>12624</v>
      </c>
      <c r="C1771" t="s">
        <v>12625</v>
      </c>
      <c r="D1771" t="s">
        <v>1435</v>
      </c>
      <c r="E1771" t="s">
        <v>12626</v>
      </c>
      <c r="F1771" t="s">
        <v>137</v>
      </c>
      <c r="G1771">
        <v>207</v>
      </c>
      <c r="H1771">
        <v>500</v>
      </c>
      <c r="I1771" s="5" t="s">
        <v>12627</v>
      </c>
      <c r="J1771" s="5" t="s">
        <v>12628</v>
      </c>
      <c r="K1771" s="5" t="str">
        <f t="shared" si="54"/>
        <v>https://www.google.com/maps?q=-11.228333, -41.877224</v>
      </c>
      <c r="L1771" s="5" t="str">
        <f t="shared" si="55"/>
        <v>Abrir no Maps</v>
      </c>
      <c r="M1771" t="s">
        <v>12629</v>
      </c>
      <c r="N1771" s="5"/>
      <c r="O1771" t="str">
        <f>VLOOKUP(G1771,'[1]CONFIG.'!$B:$C,2,0)</f>
        <v>HIAGO</v>
      </c>
      <c r="P1771" t="str">
        <f>VLOOKUP(O1771,'[1]CONFIG.'!$C:$D,2,0)</f>
        <v>74 99872571</v>
      </c>
    </row>
    <row r="1772" spans="1:16" x14ac:dyDescent="0.3">
      <c r="A1772" t="s">
        <v>12630</v>
      </c>
      <c r="B1772" t="s">
        <v>12631</v>
      </c>
      <c r="C1772" t="s">
        <v>12632</v>
      </c>
      <c r="D1772" t="s">
        <v>1435</v>
      </c>
      <c r="E1772" t="s">
        <v>12633</v>
      </c>
      <c r="F1772" t="s">
        <v>12634</v>
      </c>
      <c r="G1772">
        <v>207</v>
      </c>
      <c r="H1772">
        <v>500</v>
      </c>
      <c r="I1772" s="5" t="s">
        <v>12635</v>
      </c>
      <c r="J1772" s="5" t="s">
        <v>12636</v>
      </c>
      <c r="K1772" s="5" t="str">
        <f t="shared" si="54"/>
        <v>https://www.google.com/maps?q=-11.225833, -41.896390</v>
      </c>
      <c r="L1772" s="5" t="str">
        <f t="shared" si="55"/>
        <v>Abrir no Maps</v>
      </c>
      <c r="M1772" t="s">
        <v>12637</v>
      </c>
      <c r="N1772" s="5"/>
      <c r="O1772" t="str">
        <f>VLOOKUP(G1772,'[1]CONFIG.'!$B:$C,2,0)</f>
        <v>HIAGO</v>
      </c>
      <c r="P1772" t="str">
        <f>VLOOKUP(O1772,'[1]CONFIG.'!$C:$D,2,0)</f>
        <v>74 99872571</v>
      </c>
    </row>
    <row r="1773" spans="1:16" x14ac:dyDescent="0.3">
      <c r="A1773" t="s">
        <v>12638</v>
      </c>
      <c r="B1773" t="s">
        <v>12639</v>
      </c>
      <c r="C1773" t="s">
        <v>12640</v>
      </c>
      <c r="D1773" t="s">
        <v>1435</v>
      </c>
      <c r="E1773" t="s">
        <v>12641</v>
      </c>
      <c r="F1773" t="s">
        <v>12642</v>
      </c>
      <c r="G1773">
        <v>207</v>
      </c>
      <c r="H1773">
        <v>500</v>
      </c>
      <c r="I1773" s="5" t="s">
        <v>12643</v>
      </c>
      <c r="J1773" s="5" t="s">
        <v>1494</v>
      </c>
      <c r="K1773" s="5" t="str">
        <f t="shared" si="54"/>
        <v>https://www.google.com/maps?q=-11.225278, -41.873055</v>
      </c>
      <c r="L1773" s="5" t="str">
        <f t="shared" si="55"/>
        <v>Abrir no Maps</v>
      </c>
      <c r="M1773" t="s">
        <v>12644</v>
      </c>
      <c r="N1773" s="5"/>
      <c r="O1773" t="str">
        <f>VLOOKUP(G1773,'[1]CONFIG.'!$B:$C,2,0)</f>
        <v>HIAGO</v>
      </c>
      <c r="P1773" t="str">
        <f>VLOOKUP(O1773,'[1]CONFIG.'!$C:$D,2,0)</f>
        <v>74 99872571</v>
      </c>
    </row>
    <row r="1774" spans="1:16" x14ac:dyDescent="0.3">
      <c r="A1774" t="s">
        <v>12645</v>
      </c>
      <c r="B1774" t="s">
        <v>12646</v>
      </c>
      <c r="C1774" t="s">
        <v>12647</v>
      </c>
      <c r="D1774" t="s">
        <v>1435</v>
      </c>
      <c r="E1774" t="s">
        <v>12648</v>
      </c>
      <c r="F1774" t="s">
        <v>137</v>
      </c>
      <c r="G1774">
        <v>207</v>
      </c>
      <c r="H1774">
        <v>500</v>
      </c>
      <c r="I1774" s="5" t="s">
        <v>12649</v>
      </c>
      <c r="J1774" s="5" t="s">
        <v>87</v>
      </c>
      <c r="K1774" s="5" t="str">
        <f t="shared" si="54"/>
        <v>https://www.google.com/maps?q=-11.225000, -41.872500</v>
      </c>
      <c r="L1774" s="5" t="str">
        <f t="shared" si="55"/>
        <v>Abrir no Maps</v>
      </c>
      <c r="M1774" t="s">
        <v>12650</v>
      </c>
      <c r="N1774" s="5"/>
      <c r="O1774" t="str">
        <f>VLOOKUP(G1774,'[1]CONFIG.'!$B:$C,2,0)</f>
        <v>HIAGO</v>
      </c>
      <c r="P1774" t="str">
        <f>VLOOKUP(O1774,'[1]CONFIG.'!$C:$D,2,0)</f>
        <v>74 99872571</v>
      </c>
    </row>
    <row r="1775" spans="1:16" x14ac:dyDescent="0.3">
      <c r="A1775" t="s">
        <v>12651</v>
      </c>
      <c r="B1775" t="s">
        <v>12652</v>
      </c>
      <c r="C1775" t="s">
        <v>12653</v>
      </c>
      <c r="D1775" t="s">
        <v>1435</v>
      </c>
      <c r="E1775" t="s">
        <v>12654</v>
      </c>
      <c r="F1775" t="s">
        <v>137</v>
      </c>
      <c r="G1775">
        <v>207</v>
      </c>
      <c r="H1775">
        <v>500</v>
      </c>
      <c r="I1775" s="5" t="s">
        <v>12655</v>
      </c>
      <c r="J1775" s="5" t="s">
        <v>12656</v>
      </c>
      <c r="K1775" s="5" t="str">
        <f t="shared" si="54"/>
        <v>https://www.google.com/maps?q=-11.228611, -41.878887</v>
      </c>
      <c r="L1775" s="5" t="str">
        <f t="shared" si="55"/>
        <v>Abrir no Maps</v>
      </c>
      <c r="M1775" t="s">
        <v>12657</v>
      </c>
      <c r="N1775" s="5"/>
      <c r="O1775" t="str">
        <f>VLOOKUP(G1775,'[1]CONFIG.'!$B:$C,2,0)</f>
        <v>HIAGO</v>
      </c>
      <c r="P1775" t="str">
        <f>VLOOKUP(O1775,'[1]CONFIG.'!$C:$D,2,0)</f>
        <v>74 99872571</v>
      </c>
    </row>
    <row r="1776" spans="1:16" x14ac:dyDescent="0.3">
      <c r="A1776" t="s">
        <v>12658</v>
      </c>
      <c r="B1776" t="s">
        <v>12659</v>
      </c>
      <c r="C1776" t="s">
        <v>12660</v>
      </c>
      <c r="D1776" t="s">
        <v>1435</v>
      </c>
      <c r="E1776" t="s">
        <v>12661</v>
      </c>
      <c r="F1776" t="s">
        <v>137</v>
      </c>
      <c r="G1776">
        <v>207</v>
      </c>
      <c r="H1776">
        <v>500</v>
      </c>
      <c r="I1776" s="5" t="s">
        <v>12662</v>
      </c>
      <c r="J1776" s="5" t="s">
        <v>12663</v>
      </c>
      <c r="K1776" s="5" t="str">
        <f t="shared" si="54"/>
        <v>https://www.google.com/maps?q=-11.228653, -41.879618</v>
      </c>
      <c r="L1776" s="5" t="str">
        <f t="shared" si="55"/>
        <v>Abrir no Maps</v>
      </c>
      <c r="M1776" t="s">
        <v>12664</v>
      </c>
      <c r="N1776" s="5"/>
      <c r="O1776" t="str">
        <f>VLOOKUP(G1776,'[1]CONFIG.'!$B:$C,2,0)</f>
        <v>HIAGO</v>
      </c>
      <c r="P1776" t="str">
        <f>VLOOKUP(O1776,'[1]CONFIG.'!$C:$D,2,0)</f>
        <v>74 99872571</v>
      </c>
    </row>
    <row r="1777" spans="1:16" x14ac:dyDescent="0.3">
      <c r="A1777" t="s">
        <v>12665</v>
      </c>
      <c r="B1777" t="s">
        <v>12666</v>
      </c>
      <c r="C1777" t="s">
        <v>12667</v>
      </c>
      <c r="D1777" t="s">
        <v>1435</v>
      </c>
      <c r="E1777" t="s">
        <v>12668</v>
      </c>
      <c r="F1777" t="s">
        <v>12669</v>
      </c>
      <c r="G1777">
        <v>207</v>
      </c>
      <c r="H1777">
        <v>500</v>
      </c>
      <c r="I1777" s="5" t="s">
        <v>12670</v>
      </c>
      <c r="J1777" s="5" t="s">
        <v>1417</v>
      </c>
      <c r="K1777" s="5" t="str">
        <f t="shared" si="54"/>
        <v>https://www.google.com/maps?q=-11.229722, -41.874720</v>
      </c>
      <c r="L1777" s="5" t="str">
        <f t="shared" si="55"/>
        <v>Abrir no Maps</v>
      </c>
      <c r="M1777" t="s">
        <v>12671</v>
      </c>
      <c r="N1777" s="5"/>
      <c r="O1777" t="str">
        <f>VLOOKUP(G1777,'[1]CONFIG.'!$B:$C,2,0)</f>
        <v>HIAGO</v>
      </c>
      <c r="P1777" t="str">
        <f>VLOOKUP(O1777,'[1]CONFIG.'!$C:$D,2,0)</f>
        <v>74 99872571</v>
      </c>
    </row>
    <row r="1778" spans="1:16" x14ac:dyDescent="0.3">
      <c r="A1778" t="s">
        <v>12672</v>
      </c>
      <c r="B1778" t="s">
        <v>12673</v>
      </c>
      <c r="C1778" t="s">
        <v>12674</v>
      </c>
      <c r="D1778" t="s">
        <v>1435</v>
      </c>
      <c r="E1778" t="s">
        <v>12675</v>
      </c>
      <c r="F1778" t="s">
        <v>137</v>
      </c>
      <c r="G1778">
        <v>207</v>
      </c>
      <c r="H1778">
        <v>500</v>
      </c>
      <c r="I1778" s="5" t="s">
        <v>12676</v>
      </c>
      <c r="J1778" s="5" t="s">
        <v>12677</v>
      </c>
      <c r="K1778" s="5" t="str">
        <f t="shared" si="54"/>
        <v>https://www.google.com/maps?q=-11.225175, -41.882614</v>
      </c>
      <c r="L1778" s="5" t="str">
        <f t="shared" si="55"/>
        <v>Abrir no Maps</v>
      </c>
      <c r="M1778" t="s">
        <v>12678</v>
      </c>
      <c r="N1778" s="5"/>
      <c r="O1778" t="str">
        <f>VLOOKUP(G1778,'[1]CONFIG.'!$B:$C,2,0)</f>
        <v>HIAGO</v>
      </c>
      <c r="P1778" t="str">
        <f>VLOOKUP(O1778,'[1]CONFIG.'!$C:$D,2,0)</f>
        <v>74 99872571</v>
      </c>
    </row>
    <row r="1779" spans="1:16" x14ac:dyDescent="0.3">
      <c r="A1779" t="s">
        <v>12679</v>
      </c>
      <c r="B1779" t="s">
        <v>12680</v>
      </c>
      <c r="C1779" t="s">
        <v>12681</v>
      </c>
      <c r="D1779" t="s">
        <v>1435</v>
      </c>
      <c r="E1779" t="s">
        <v>12682</v>
      </c>
      <c r="F1779" t="s">
        <v>137</v>
      </c>
      <c r="G1779">
        <v>207</v>
      </c>
      <c r="H1779">
        <v>500</v>
      </c>
      <c r="I1779" s="5" t="s">
        <v>12683</v>
      </c>
      <c r="J1779" s="5" t="s">
        <v>12684</v>
      </c>
      <c r="K1779" s="5" t="str">
        <f t="shared" si="54"/>
        <v>https://www.google.com/maps?q=-11.227588, -41.881886</v>
      </c>
      <c r="L1779" s="5" t="str">
        <f t="shared" si="55"/>
        <v>Abrir no Maps</v>
      </c>
      <c r="M1779" t="s">
        <v>12685</v>
      </c>
      <c r="N1779" s="5"/>
      <c r="O1779" t="str">
        <f>VLOOKUP(G1779,'[1]CONFIG.'!$B:$C,2,0)</f>
        <v>HIAGO</v>
      </c>
      <c r="P1779" t="str">
        <f>VLOOKUP(O1779,'[1]CONFIG.'!$C:$D,2,0)</f>
        <v>74 99872571</v>
      </c>
    </row>
    <row r="1780" spans="1:16" x14ac:dyDescent="0.3">
      <c r="A1780" t="s">
        <v>12686</v>
      </c>
      <c r="B1780" t="s">
        <v>12687</v>
      </c>
      <c r="C1780" t="s">
        <v>12688</v>
      </c>
      <c r="D1780" t="s">
        <v>1435</v>
      </c>
      <c r="E1780" t="s">
        <v>12689</v>
      </c>
      <c r="F1780" t="s">
        <v>12690</v>
      </c>
      <c r="G1780">
        <v>207</v>
      </c>
      <c r="H1780">
        <v>500</v>
      </c>
      <c r="I1780" s="5" t="s">
        <v>12691</v>
      </c>
      <c r="J1780" s="5" t="s">
        <v>12692</v>
      </c>
      <c r="K1780" s="5" t="str">
        <f t="shared" si="54"/>
        <v>https://www.google.com/maps?q=-11.150383, -41.813156</v>
      </c>
      <c r="L1780" s="5" t="str">
        <f t="shared" si="55"/>
        <v>Abrir no Maps</v>
      </c>
      <c r="M1780" t="s">
        <v>12693</v>
      </c>
      <c r="N1780" s="5"/>
      <c r="O1780" t="str">
        <f>VLOOKUP(G1780,'[1]CONFIG.'!$B:$C,2,0)</f>
        <v>HIAGO</v>
      </c>
      <c r="P1780" t="str">
        <f>VLOOKUP(O1780,'[1]CONFIG.'!$C:$D,2,0)</f>
        <v>74 99872571</v>
      </c>
    </row>
    <row r="1781" spans="1:16" x14ac:dyDescent="0.3">
      <c r="A1781" t="s">
        <v>12694</v>
      </c>
      <c r="B1781" t="s">
        <v>12695</v>
      </c>
      <c r="C1781" t="s">
        <v>12696</v>
      </c>
      <c r="D1781" t="s">
        <v>1435</v>
      </c>
      <c r="E1781" t="s">
        <v>12697</v>
      </c>
      <c r="F1781" t="s">
        <v>12698</v>
      </c>
      <c r="G1781">
        <v>207</v>
      </c>
      <c r="H1781">
        <v>500</v>
      </c>
      <c r="I1781" s="5" t="s">
        <v>12699</v>
      </c>
      <c r="J1781" s="5" t="s">
        <v>12700</v>
      </c>
      <c r="K1781" s="5" t="str">
        <f t="shared" si="54"/>
        <v>https://www.google.com/maps?q=-11.132424, -41.835987</v>
      </c>
      <c r="L1781" s="5" t="str">
        <f t="shared" si="55"/>
        <v>Abrir no Maps</v>
      </c>
      <c r="M1781" t="s">
        <v>12701</v>
      </c>
      <c r="N1781" s="5"/>
      <c r="O1781" t="str">
        <f>VLOOKUP(G1781,'[1]CONFIG.'!$B:$C,2,0)</f>
        <v>HIAGO</v>
      </c>
      <c r="P1781" t="str">
        <f>VLOOKUP(O1781,'[1]CONFIG.'!$C:$D,2,0)</f>
        <v>74 99872571</v>
      </c>
    </row>
    <row r="1782" spans="1:16" x14ac:dyDescent="0.3">
      <c r="A1782" t="s">
        <v>12702</v>
      </c>
      <c r="B1782" t="s">
        <v>12703</v>
      </c>
      <c r="C1782" t="s">
        <v>12704</v>
      </c>
      <c r="D1782" t="s">
        <v>1435</v>
      </c>
      <c r="E1782" t="s">
        <v>12705</v>
      </c>
      <c r="F1782" t="s">
        <v>12569</v>
      </c>
      <c r="G1782">
        <v>207</v>
      </c>
      <c r="H1782">
        <v>500</v>
      </c>
      <c r="I1782" s="5" t="s">
        <v>12706</v>
      </c>
      <c r="J1782" s="5" t="s">
        <v>12707</v>
      </c>
      <c r="K1782" s="5" t="str">
        <f t="shared" si="54"/>
        <v>https://www.google.com/maps?q=-11.224563, -41.872467</v>
      </c>
      <c r="L1782" s="5" t="str">
        <f t="shared" si="55"/>
        <v>Abrir no Maps</v>
      </c>
      <c r="M1782" t="s">
        <v>12708</v>
      </c>
      <c r="N1782" s="5"/>
      <c r="O1782" t="str">
        <f>VLOOKUP(G1782,'[1]CONFIG.'!$B:$C,2,0)</f>
        <v>HIAGO</v>
      </c>
      <c r="P1782" t="str">
        <f>VLOOKUP(O1782,'[1]CONFIG.'!$C:$D,2,0)</f>
        <v>74 99872571</v>
      </c>
    </row>
    <row r="1783" spans="1:16" x14ac:dyDescent="0.3">
      <c r="A1783" t="s">
        <v>12709</v>
      </c>
      <c r="B1783" t="s">
        <v>12710</v>
      </c>
      <c r="C1783" t="s">
        <v>12711</v>
      </c>
      <c r="D1783" t="s">
        <v>1435</v>
      </c>
      <c r="E1783" t="s">
        <v>12712</v>
      </c>
      <c r="F1783" t="s">
        <v>137</v>
      </c>
      <c r="G1783">
        <v>207</v>
      </c>
      <c r="H1783">
        <v>500</v>
      </c>
      <c r="I1783" s="5" t="s">
        <v>12713</v>
      </c>
      <c r="J1783" s="5" t="s">
        <v>12714</v>
      </c>
      <c r="K1783" s="5" t="str">
        <f t="shared" si="54"/>
        <v>https://www.google.com/maps?q=-11.228016, -41.877705</v>
      </c>
      <c r="L1783" s="5" t="str">
        <f t="shared" si="55"/>
        <v>Abrir no Maps</v>
      </c>
      <c r="M1783" t="s">
        <v>12715</v>
      </c>
      <c r="N1783" s="5"/>
      <c r="O1783" t="str">
        <f>VLOOKUP(G1783,'[1]CONFIG.'!$B:$C,2,0)</f>
        <v>HIAGO</v>
      </c>
      <c r="P1783" t="str">
        <f>VLOOKUP(O1783,'[1]CONFIG.'!$C:$D,2,0)</f>
        <v>74 99872571</v>
      </c>
    </row>
    <row r="1784" spans="1:16" x14ac:dyDescent="0.3">
      <c r="A1784" t="s">
        <v>12716</v>
      </c>
      <c r="B1784" t="s">
        <v>12717</v>
      </c>
      <c r="C1784" t="s">
        <v>12718</v>
      </c>
      <c r="D1784" t="s">
        <v>1435</v>
      </c>
      <c r="E1784" t="s">
        <v>12719</v>
      </c>
      <c r="F1784" t="s">
        <v>1437</v>
      </c>
      <c r="G1784">
        <v>207</v>
      </c>
      <c r="H1784">
        <v>500</v>
      </c>
      <c r="I1784" s="5" t="s">
        <v>12720</v>
      </c>
      <c r="J1784" s="5" t="s">
        <v>12721</v>
      </c>
      <c r="K1784" s="5" t="str">
        <f t="shared" si="54"/>
        <v>https://www.google.com/maps?q=-11.227211, -41.871967</v>
      </c>
      <c r="L1784" s="5" t="str">
        <f t="shared" si="55"/>
        <v>Abrir no Maps</v>
      </c>
      <c r="M1784" t="s">
        <v>12722</v>
      </c>
      <c r="N1784" s="5"/>
      <c r="O1784" t="str">
        <f>VLOOKUP(G1784,'[1]CONFIG.'!$B:$C,2,0)</f>
        <v>HIAGO</v>
      </c>
      <c r="P1784" t="str">
        <f>VLOOKUP(O1784,'[1]CONFIG.'!$C:$D,2,0)</f>
        <v>74 99872571</v>
      </c>
    </row>
    <row r="1785" spans="1:16" x14ac:dyDescent="0.3">
      <c r="A1785" t="s">
        <v>12723</v>
      </c>
      <c r="B1785" t="s">
        <v>12724</v>
      </c>
      <c r="C1785" t="s">
        <v>12725</v>
      </c>
      <c r="D1785" t="s">
        <v>1435</v>
      </c>
      <c r="E1785" t="s">
        <v>12726</v>
      </c>
      <c r="F1785" t="s">
        <v>137</v>
      </c>
      <c r="G1785">
        <v>207</v>
      </c>
      <c r="H1785">
        <v>500</v>
      </c>
      <c r="I1785" s="5" t="s">
        <v>12727</v>
      </c>
      <c r="J1785" s="5" t="s">
        <v>12728</v>
      </c>
      <c r="K1785" s="5" t="str">
        <f t="shared" si="54"/>
        <v>https://www.google.com/maps?q=-11.228391, -41.877380</v>
      </c>
      <c r="L1785" s="5" t="str">
        <f t="shared" si="55"/>
        <v>Abrir no Maps</v>
      </c>
      <c r="M1785" t="s">
        <v>12729</v>
      </c>
      <c r="N1785" s="5"/>
      <c r="O1785" t="str">
        <f>VLOOKUP(G1785,'[1]CONFIG.'!$B:$C,2,0)</f>
        <v>HIAGO</v>
      </c>
      <c r="P1785" t="str">
        <f>VLOOKUP(O1785,'[1]CONFIG.'!$C:$D,2,0)</f>
        <v>74 99872571</v>
      </c>
    </row>
    <row r="1786" spans="1:16" x14ac:dyDescent="0.3">
      <c r="A1786" t="s">
        <v>12730</v>
      </c>
      <c r="B1786" t="s">
        <v>12731</v>
      </c>
      <c r="C1786" t="s">
        <v>12732</v>
      </c>
      <c r="D1786" t="s">
        <v>1435</v>
      </c>
      <c r="E1786" t="s">
        <v>12733</v>
      </c>
      <c r="F1786" t="s">
        <v>12734</v>
      </c>
      <c r="G1786">
        <v>207</v>
      </c>
      <c r="H1786">
        <v>500</v>
      </c>
      <c r="I1786" s="5" t="s">
        <v>12735</v>
      </c>
      <c r="J1786" s="5" t="s">
        <v>12736</v>
      </c>
      <c r="K1786" s="5" t="str">
        <f t="shared" si="54"/>
        <v>https://www.google.com/maps?q=-11.217345, -41.874516</v>
      </c>
      <c r="L1786" s="5" t="str">
        <f t="shared" si="55"/>
        <v>Abrir no Maps</v>
      </c>
      <c r="M1786" t="s">
        <v>12737</v>
      </c>
      <c r="N1786" s="5"/>
      <c r="O1786" t="str">
        <f>VLOOKUP(G1786,'[1]CONFIG.'!$B:$C,2,0)</f>
        <v>HIAGO</v>
      </c>
      <c r="P1786" t="str">
        <f>VLOOKUP(O1786,'[1]CONFIG.'!$C:$D,2,0)</f>
        <v>74 99872571</v>
      </c>
    </row>
    <row r="1787" spans="1:16" x14ac:dyDescent="0.3">
      <c r="A1787" t="s">
        <v>12738</v>
      </c>
      <c r="B1787" t="s">
        <v>12739</v>
      </c>
      <c r="C1787" t="s">
        <v>12740</v>
      </c>
      <c r="D1787" t="s">
        <v>1435</v>
      </c>
      <c r="E1787" t="s">
        <v>12741</v>
      </c>
      <c r="F1787" t="s">
        <v>137</v>
      </c>
      <c r="G1787">
        <v>207</v>
      </c>
      <c r="H1787">
        <v>500</v>
      </c>
      <c r="I1787" s="5" t="s">
        <v>12742</v>
      </c>
      <c r="J1787" s="5" t="s">
        <v>12743</v>
      </c>
      <c r="K1787" s="5" t="str">
        <f t="shared" si="54"/>
        <v>https://www.google.com/maps?q=-11.228117, -41.877070</v>
      </c>
      <c r="L1787" s="5" t="str">
        <f t="shared" si="55"/>
        <v>Abrir no Maps</v>
      </c>
      <c r="M1787" t="s">
        <v>12744</v>
      </c>
      <c r="N1787" s="5"/>
      <c r="O1787" t="str">
        <f>VLOOKUP(G1787,'[1]CONFIG.'!$B:$C,2,0)</f>
        <v>HIAGO</v>
      </c>
      <c r="P1787" t="str">
        <f>VLOOKUP(O1787,'[1]CONFIG.'!$C:$D,2,0)</f>
        <v>74 99872571</v>
      </c>
    </row>
    <row r="1788" spans="1:16" x14ac:dyDescent="0.3">
      <c r="A1788" t="s">
        <v>12745</v>
      </c>
      <c r="B1788" t="s">
        <v>12746</v>
      </c>
      <c r="C1788" t="s">
        <v>12747</v>
      </c>
      <c r="D1788" t="s">
        <v>1435</v>
      </c>
      <c r="E1788" t="s">
        <v>12748</v>
      </c>
      <c r="F1788" t="s">
        <v>12569</v>
      </c>
      <c r="G1788">
        <v>207</v>
      </c>
      <c r="H1788">
        <v>500</v>
      </c>
      <c r="I1788" s="5" t="s">
        <v>12749</v>
      </c>
      <c r="J1788" s="5" t="s">
        <v>12750</v>
      </c>
      <c r="K1788" s="5" t="str">
        <f t="shared" si="54"/>
        <v>https://www.google.com/maps?q=-11.218890, -41.869587</v>
      </c>
      <c r="L1788" s="5" t="str">
        <f t="shared" si="55"/>
        <v>Abrir no Maps</v>
      </c>
      <c r="M1788" t="s">
        <v>12751</v>
      </c>
      <c r="N1788" s="5"/>
      <c r="O1788" t="str">
        <f>VLOOKUP(G1788,'[1]CONFIG.'!$B:$C,2,0)</f>
        <v>HIAGO</v>
      </c>
      <c r="P1788" t="str">
        <f>VLOOKUP(O1788,'[1]CONFIG.'!$C:$D,2,0)</f>
        <v>74 99872571</v>
      </c>
    </row>
    <row r="1789" spans="1:16" x14ac:dyDescent="0.3">
      <c r="A1789" t="s">
        <v>12752</v>
      </c>
      <c r="B1789" t="s">
        <v>12753</v>
      </c>
      <c r="C1789" t="s">
        <v>12754</v>
      </c>
      <c r="D1789" t="s">
        <v>1435</v>
      </c>
      <c r="E1789" t="s">
        <v>12755</v>
      </c>
      <c r="F1789" t="s">
        <v>137</v>
      </c>
      <c r="G1789">
        <v>207</v>
      </c>
      <c r="H1789">
        <v>500</v>
      </c>
      <c r="I1789" s="5" t="s">
        <v>12756</v>
      </c>
      <c r="J1789" s="5" t="s">
        <v>12757</v>
      </c>
      <c r="K1789" s="5" t="str">
        <f t="shared" si="54"/>
        <v>https://www.google.com/maps?q=-11.231014, -41.876360</v>
      </c>
      <c r="L1789" s="5" t="str">
        <f t="shared" si="55"/>
        <v>Abrir no Maps</v>
      </c>
      <c r="M1789" t="s">
        <v>12758</v>
      </c>
      <c r="N1789" s="5"/>
      <c r="O1789" t="str">
        <f>VLOOKUP(G1789,'[1]CONFIG.'!$B:$C,2,0)</f>
        <v>HIAGO</v>
      </c>
      <c r="P1789" t="str">
        <f>VLOOKUP(O1789,'[1]CONFIG.'!$C:$D,2,0)</f>
        <v>74 99872571</v>
      </c>
    </row>
    <row r="1790" spans="1:16" x14ac:dyDescent="0.3">
      <c r="A1790" t="s">
        <v>12759</v>
      </c>
      <c r="B1790" t="s">
        <v>12760</v>
      </c>
      <c r="C1790" t="s">
        <v>12761</v>
      </c>
      <c r="D1790" t="s">
        <v>1435</v>
      </c>
      <c r="E1790" t="s">
        <v>12762</v>
      </c>
      <c r="F1790" t="s">
        <v>12734</v>
      </c>
      <c r="G1790">
        <v>207</v>
      </c>
      <c r="H1790">
        <v>500</v>
      </c>
      <c r="I1790" s="5" t="s">
        <v>12763</v>
      </c>
      <c r="J1790" s="5" t="s">
        <v>12764</v>
      </c>
      <c r="K1790" s="5" t="str">
        <f t="shared" si="54"/>
        <v>https://www.google.com/maps?q=-11.222663, -41.873177</v>
      </c>
      <c r="L1790" s="5" t="str">
        <f t="shared" si="55"/>
        <v>Abrir no Maps</v>
      </c>
      <c r="M1790" t="s">
        <v>12765</v>
      </c>
      <c r="N1790" s="5"/>
      <c r="O1790" t="str">
        <f>VLOOKUP(G1790,'[1]CONFIG.'!$B:$C,2,0)</f>
        <v>HIAGO</v>
      </c>
      <c r="P1790" t="str">
        <f>VLOOKUP(O1790,'[1]CONFIG.'!$C:$D,2,0)</f>
        <v>74 99872571</v>
      </c>
    </row>
    <row r="1791" spans="1:16" x14ac:dyDescent="0.3">
      <c r="A1791" t="s">
        <v>12766</v>
      </c>
      <c r="B1791" t="s">
        <v>12767</v>
      </c>
      <c r="C1791" t="s">
        <v>12768</v>
      </c>
      <c r="D1791" t="s">
        <v>1435</v>
      </c>
      <c r="E1791" t="s">
        <v>12769</v>
      </c>
      <c r="F1791" t="s">
        <v>1437</v>
      </c>
      <c r="G1791">
        <v>207</v>
      </c>
      <c r="H1791">
        <v>500</v>
      </c>
      <c r="I1791" s="5" t="s">
        <v>12770</v>
      </c>
      <c r="J1791" s="5" t="s">
        <v>12771</v>
      </c>
      <c r="K1791" s="5" t="str">
        <f t="shared" si="54"/>
        <v>https://www.google.com/maps?q=-11.231766, -41.874935</v>
      </c>
      <c r="L1791" s="5" t="str">
        <f t="shared" si="55"/>
        <v>Abrir no Maps</v>
      </c>
      <c r="M1791" t="s">
        <v>12772</v>
      </c>
      <c r="N1791" s="5"/>
      <c r="O1791" t="str">
        <f>VLOOKUP(G1791,'[1]CONFIG.'!$B:$C,2,0)</f>
        <v>HIAGO</v>
      </c>
      <c r="P1791" t="str">
        <f>VLOOKUP(O1791,'[1]CONFIG.'!$C:$D,2,0)</f>
        <v>74 99872571</v>
      </c>
    </row>
    <row r="1792" spans="1:16" x14ac:dyDescent="0.3">
      <c r="A1792" t="s">
        <v>12773</v>
      </c>
      <c r="B1792" t="s">
        <v>12774</v>
      </c>
      <c r="C1792" t="s">
        <v>12775</v>
      </c>
      <c r="D1792" t="s">
        <v>1435</v>
      </c>
      <c r="E1792" t="s">
        <v>12776</v>
      </c>
      <c r="F1792" t="s">
        <v>137</v>
      </c>
      <c r="G1792">
        <v>207</v>
      </c>
      <c r="H1792">
        <v>500</v>
      </c>
      <c r="I1792" s="5" t="s">
        <v>12777</v>
      </c>
      <c r="J1792" s="5" t="s">
        <v>12778</v>
      </c>
      <c r="K1792" s="5" t="str">
        <f t="shared" si="54"/>
        <v>https://www.google.com/maps?q=-11.220290, -41.870375</v>
      </c>
      <c r="L1792" s="5" t="str">
        <f t="shared" si="55"/>
        <v>Abrir no Maps</v>
      </c>
      <c r="M1792" t="s">
        <v>12722</v>
      </c>
      <c r="N1792" s="5"/>
      <c r="O1792" t="str">
        <f>VLOOKUP(G1792,'[1]CONFIG.'!$B:$C,2,0)</f>
        <v>HIAGO</v>
      </c>
      <c r="P1792" t="str">
        <f>VLOOKUP(O1792,'[1]CONFIG.'!$C:$D,2,0)</f>
        <v>74 99872571</v>
      </c>
    </row>
    <row r="1793" spans="1:16" x14ac:dyDescent="0.3">
      <c r="A1793" t="s">
        <v>12779</v>
      </c>
      <c r="B1793" t="s">
        <v>12780</v>
      </c>
      <c r="C1793" t="s">
        <v>12781</v>
      </c>
      <c r="D1793" t="s">
        <v>1435</v>
      </c>
      <c r="E1793" t="s">
        <v>12782</v>
      </c>
      <c r="F1793" t="s">
        <v>137</v>
      </c>
      <c r="G1793">
        <v>207</v>
      </c>
      <c r="H1793">
        <v>500</v>
      </c>
      <c r="I1793" s="5" t="s">
        <v>12783</v>
      </c>
      <c r="J1793" s="5" t="s">
        <v>12784</v>
      </c>
      <c r="K1793" s="5" t="str">
        <f t="shared" si="54"/>
        <v>https://www.google.com/maps?q=-11.228056, -41.878242</v>
      </c>
      <c r="L1793" s="5" t="str">
        <f t="shared" si="55"/>
        <v>Abrir no Maps</v>
      </c>
      <c r="M1793" t="s">
        <v>12785</v>
      </c>
      <c r="N1793" s="5"/>
      <c r="O1793" t="str">
        <f>VLOOKUP(G1793,'[1]CONFIG.'!$B:$C,2,0)</f>
        <v>HIAGO</v>
      </c>
      <c r="P1793" t="str">
        <f>VLOOKUP(O1793,'[1]CONFIG.'!$C:$D,2,0)</f>
        <v>74 99872571</v>
      </c>
    </row>
    <row r="1794" spans="1:16" x14ac:dyDescent="0.3">
      <c r="A1794" t="s">
        <v>12786</v>
      </c>
      <c r="B1794" t="s">
        <v>12787</v>
      </c>
      <c r="C1794" t="s">
        <v>12788</v>
      </c>
      <c r="D1794" t="s">
        <v>1435</v>
      </c>
      <c r="E1794" t="s">
        <v>12789</v>
      </c>
      <c r="F1794" t="s">
        <v>137</v>
      </c>
      <c r="G1794">
        <v>207</v>
      </c>
      <c r="H1794">
        <v>500</v>
      </c>
      <c r="I1794" s="5" t="s">
        <v>12790</v>
      </c>
      <c r="J1794" s="5" t="s">
        <v>12791</v>
      </c>
      <c r="K1794" s="5" t="str">
        <f t="shared" si="54"/>
        <v>https://www.google.com/maps?q=-11.227944, -41.877575</v>
      </c>
      <c r="L1794" s="5" t="str">
        <f t="shared" si="55"/>
        <v>Abrir no Maps</v>
      </c>
      <c r="M1794" t="s">
        <v>12792</v>
      </c>
      <c r="N1794" s="5"/>
      <c r="O1794" t="str">
        <f>VLOOKUP(G1794,'[1]CONFIG.'!$B:$C,2,0)</f>
        <v>HIAGO</v>
      </c>
      <c r="P1794" t="str">
        <f>VLOOKUP(O1794,'[1]CONFIG.'!$C:$D,2,0)</f>
        <v>74 99872571</v>
      </c>
    </row>
    <row r="1795" spans="1:16" x14ac:dyDescent="0.3">
      <c r="A1795" t="s">
        <v>12793</v>
      </c>
      <c r="B1795" t="s">
        <v>12794</v>
      </c>
      <c r="C1795" t="s">
        <v>12795</v>
      </c>
      <c r="D1795" t="s">
        <v>1435</v>
      </c>
      <c r="E1795" t="s">
        <v>12796</v>
      </c>
      <c r="F1795" t="s">
        <v>1435</v>
      </c>
      <c r="G1795">
        <v>207</v>
      </c>
      <c r="H1795">
        <v>500</v>
      </c>
      <c r="I1795" s="5" t="s">
        <v>12797</v>
      </c>
      <c r="J1795" s="5" t="s">
        <v>12798</v>
      </c>
      <c r="K1795" s="5" t="str">
        <f t="shared" si="54"/>
        <v>https://www.google.com/maps?q=-11.229681, -41.879500</v>
      </c>
      <c r="L1795" s="5" t="str">
        <f t="shared" si="55"/>
        <v>Abrir no Maps</v>
      </c>
      <c r="M1795" t="s">
        <v>12799</v>
      </c>
      <c r="N1795" s="5"/>
      <c r="O1795" t="str">
        <f>VLOOKUP(G1795,'[1]CONFIG.'!$B:$C,2,0)</f>
        <v>HIAGO</v>
      </c>
      <c r="P1795" t="str">
        <f>VLOOKUP(O1795,'[1]CONFIG.'!$C:$D,2,0)</f>
        <v>74 99872571</v>
      </c>
    </row>
    <row r="1796" spans="1:16" x14ac:dyDescent="0.3">
      <c r="A1796" t="s">
        <v>12800</v>
      </c>
      <c r="B1796" t="s">
        <v>12801</v>
      </c>
      <c r="C1796" t="s">
        <v>12802</v>
      </c>
      <c r="D1796" t="s">
        <v>1435</v>
      </c>
      <c r="E1796" t="s">
        <v>12803</v>
      </c>
      <c r="F1796" t="s">
        <v>12804</v>
      </c>
      <c r="G1796">
        <v>207</v>
      </c>
      <c r="H1796">
        <v>500</v>
      </c>
      <c r="I1796" s="5" t="s">
        <v>12805</v>
      </c>
      <c r="J1796" s="5" t="s">
        <v>12806</v>
      </c>
      <c r="K1796" s="5" t="str">
        <f t="shared" ref="K1796:K1859" si="56">"https://www.google.com/maps?q="&amp;""&amp;LEFT(I1796,3)&amp;"."&amp;RIGHT(I1796,6)&amp;", "&amp;LEFT(J1796,3)&amp;"."&amp;RIGHT(J1796,6)</f>
        <v>https://www.google.com/maps?q=-11.229623, -41.876041</v>
      </c>
      <c r="L1796" s="5" t="str">
        <f t="shared" ref="L1796:L1859" si="57">HYPERLINK(K1796,"Abrir no Maps")</f>
        <v>Abrir no Maps</v>
      </c>
      <c r="M1796" t="s">
        <v>12807</v>
      </c>
      <c r="N1796" s="5"/>
      <c r="O1796" t="str">
        <f>VLOOKUP(G1796,'[1]CONFIG.'!$B:$C,2,0)</f>
        <v>HIAGO</v>
      </c>
      <c r="P1796" t="str">
        <f>VLOOKUP(O1796,'[1]CONFIG.'!$C:$D,2,0)</f>
        <v>74 99872571</v>
      </c>
    </row>
    <row r="1797" spans="1:16" x14ac:dyDescent="0.3">
      <c r="A1797" t="s">
        <v>12808</v>
      </c>
      <c r="B1797" t="s">
        <v>12809</v>
      </c>
      <c r="C1797" t="s">
        <v>12810</v>
      </c>
      <c r="D1797" t="s">
        <v>1435</v>
      </c>
      <c r="E1797" t="s">
        <v>12811</v>
      </c>
      <c r="F1797" t="s">
        <v>1435</v>
      </c>
      <c r="G1797">
        <v>207</v>
      </c>
      <c r="H1797">
        <v>500</v>
      </c>
      <c r="I1797" s="5" t="s">
        <v>12812</v>
      </c>
      <c r="J1797" s="5" t="s">
        <v>12813</v>
      </c>
      <c r="K1797" s="5" t="str">
        <f t="shared" si="56"/>
        <v>https://www.google.com/maps?q=-11.227385, -41.882223</v>
      </c>
      <c r="L1797" s="5" t="str">
        <f t="shared" si="57"/>
        <v>Abrir no Maps</v>
      </c>
      <c r="M1797" t="s">
        <v>12814</v>
      </c>
      <c r="N1797" s="5"/>
      <c r="O1797" t="str">
        <f>VLOOKUP(G1797,'[1]CONFIG.'!$B:$C,2,0)</f>
        <v>HIAGO</v>
      </c>
      <c r="P1797" t="str">
        <f>VLOOKUP(O1797,'[1]CONFIG.'!$C:$D,2,0)</f>
        <v>74 99872571</v>
      </c>
    </row>
    <row r="1798" spans="1:16" x14ac:dyDescent="0.3">
      <c r="A1798" t="s">
        <v>12815</v>
      </c>
      <c r="B1798" t="s">
        <v>12816</v>
      </c>
      <c r="C1798" t="s">
        <v>12817</v>
      </c>
      <c r="D1798" t="s">
        <v>1435</v>
      </c>
      <c r="E1798" t="s">
        <v>12818</v>
      </c>
      <c r="F1798" t="s">
        <v>12429</v>
      </c>
      <c r="G1798">
        <v>207</v>
      </c>
      <c r="H1798">
        <v>500</v>
      </c>
      <c r="I1798" s="5" t="s">
        <v>12819</v>
      </c>
      <c r="J1798" s="5" t="s">
        <v>12820</v>
      </c>
      <c r="K1798" s="5" t="str">
        <f t="shared" si="56"/>
        <v>https://www.google.com/maps?q=-11.068819, -41.690157</v>
      </c>
      <c r="L1798" s="5" t="str">
        <f t="shared" si="57"/>
        <v>Abrir no Maps</v>
      </c>
      <c r="M1798" t="s">
        <v>12821</v>
      </c>
      <c r="N1798" s="5"/>
      <c r="O1798" t="str">
        <f>VLOOKUP(G1798,'[1]CONFIG.'!$B:$C,2,0)</f>
        <v>HIAGO</v>
      </c>
      <c r="P1798" t="str">
        <f>VLOOKUP(O1798,'[1]CONFIG.'!$C:$D,2,0)</f>
        <v>74 99872571</v>
      </c>
    </row>
    <row r="1799" spans="1:16" x14ac:dyDescent="0.3">
      <c r="A1799" t="s">
        <v>12822</v>
      </c>
      <c r="B1799" t="s">
        <v>12823</v>
      </c>
      <c r="C1799" t="s">
        <v>12824</v>
      </c>
      <c r="D1799" t="s">
        <v>1435</v>
      </c>
      <c r="E1799" t="s">
        <v>12825</v>
      </c>
      <c r="F1799" t="s">
        <v>12429</v>
      </c>
      <c r="G1799">
        <v>207</v>
      </c>
      <c r="H1799">
        <v>500</v>
      </c>
      <c r="I1799" s="5" t="s">
        <v>12826</v>
      </c>
      <c r="J1799" s="5" t="s">
        <v>12827</v>
      </c>
      <c r="K1799" s="5" t="str">
        <f t="shared" si="56"/>
        <v>https://www.google.com/maps?q=-11.068694, -41.690095</v>
      </c>
      <c r="L1799" s="5" t="str">
        <f t="shared" si="57"/>
        <v>Abrir no Maps</v>
      </c>
      <c r="M1799" t="s">
        <v>12828</v>
      </c>
      <c r="N1799" s="5"/>
      <c r="O1799" t="str">
        <f>VLOOKUP(G1799,'[1]CONFIG.'!$B:$C,2,0)</f>
        <v>HIAGO</v>
      </c>
      <c r="P1799" t="str">
        <f>VLOOKUP(O1799,'[1]CONFIG.'!$C:$D,2,0)</f>
        <v>74 99872571</v>
      </c>
    </row>
    <row r="1800" spans="1:16" x14ac:dyDescent="0.3">
      <c r="A1800" t="s">
        <v>12829</v>
      </c>
      <c r="B1800" t="s">
        <v>12830</v>
      </c>
      <c r="C1800" t="s">
        <v>12831</v>
      </c>
      <c r="D1800" t="s">
        <v>1435</v>
      </c>
      <c r="E1800" t="s">
        <v>12832</v>
      </c>
      <c r="F1800" t="s">
        <v>12429</v>
      </c>
      <c r="G1800">
        <v>207</v>
      </c>
      <c r="H1800">
        <v>500</v>
      </c>
      <c r="I1800" s="5" t="s">
        <v>12833</v>
      </c>
      <c r="J1800" s="5" t="s">
        <v>12834</v>
      </c>
      <c r="K1800" s="5" t="str">
        <f t="shared" si="56"/>
        <v>https://www.google.com/maps?q=-11.068280, -41.690421</v>
      </c>
      <c r="L1800" s="5" t="str">
        <f t="shared" si="57"/>
        <v>Abrir no Maps</v>
      </c>
      <c r="M1800" t="s">
        <v>12835</v>
      </c>
      <c r="N1800" s="5"/>
      <c r="O1800" t="str">
        <f>VLOOKUP(G1800,'[1]CONFIG.'!$B:$C,2,0)</f>
        <v>HIAGO</v>
      </c>
      <c r="P1800" t="str">
        <f>VLOOKUP(O1800,'[1]CONFIG.'!$C:$D,2,0)</f>
        <v>74 99872571</v>
      </c>
    </row>
    <row r="1801" spans="1:16" x14ac:dyDescent="0.3">
      <c r="A1801" t="s">
        <v>12836</v>
      </c>
      <c r="B1801" t="s">
        <v>12837</v>
      </c>
      <c r="C1801" t="s">
        <v>12838</v>
      </c>
      <c r="D1801" t="s">
        <v>1435</v>
      </c>
      <c r="E1801" t="s">
        <v>12839</v>
      </c>
      <c r="F1801" t="s">
        <v>12429</v>
      </c>
      <c r="G1801">
        <v>207</v>
      </c>
      <c r="H1801">
        <v>500</v>
      </c>
      <c r="I1801" s="5" t="s">
        <v>12840</v>
      </c>
      <c r="J1801" s="5" t="s">
        <v>12841</v>
      </c>
      <c r="K1801" s="5" t="str">
        <f t="shared" si="56"/>
        <v>https://www.google.com/maps?q=-11.067792, -41.690353</v>
      </c>
      <c r="L1801" s="5" t="str">
        <f t="shared" si="57"/>
        <v>Abrir no Maps</v>
      </c>
      <c r="M1801" t="s">
        <v>12842</v>
      </c>
      <c r="N1801" s="5"/>
      <c r="O1801" t="str">
        <f>VLOOKUP(G1801,'[1]CONFIG.'!$B:$C,2,0)</f>
        <v>HIAGO</v>
      </c>
      <c r="P1801" t="str">
        <f>VLOOKUP(O1801,'[1]CONFIG.'!$C:$D,2,0)</f>
        <v>74 99872571</v>
      </c>
    </row>
    <row r="1802" spans="1:16" x14ac:dyDescent="0.3">
      <c r="A1802" t="s">
        <v>12843</v>
      </c>
      <c r="B1802" t="s">
        <v>12844</v>
      </c>
      <c r="C1802" t="s">
        <v>12845</v>
      </c>
      <c r="D1802" t="s">
        <v>1435</v>
      </c>
      <c r="E1802" t="s">
        <v>12846</v>
      </c>
      <c r="F1802" t="s">
        <v>4659</v>
      </c>
      <c r="G1802">
        <v>207</v>
      </c>
      <c r="H1802">
        <v>500</v>
      </c>
      <c r="I1802" s="5" t="s">
        <v>12847</v>
      </c>
      <c r="J1802" s="5" t="s">
        <v>12848</v>
      </c>
      <c r="K1802" s="5" t="str">
        <f t="shared" si="56"/>
        <v>https://www.google.com/maps?q=-11.068582, -41.692172</v>
      </c>
      <c r="L1802" s="5" t="str">
        <f t="shared" si="57"/>
        <v>Abrir no Maps</v>
      </c>
      <c r="M1802" t="s">
        <v>12849</v>
      </c>
      <c r="N1802" s="5"/>
      <c r="O1802" t="str">
        <f>VLOOKUP(G1802,'[1]CONFIG.'!$B:$C,2,0)</f>
        <v>HIAGO</v>
      </c>
      <c r="P1802" t="str">
        <f>VLOOKUP(O1802,'[1]CONFIG.'!$C:$D,2,0)</f>
        <v>74 99872571</v>
      </c>
    </row>
    <row r="1803" spans="1:16" x14ac:dyDescent="0.3">
      <c r="A1803" t="s">
        <v>12850</v>
      </c>
      <c r="B1803" t="s">
        <v>12851</v>
      </c>
      <c r="C1803" t="s">
        <v>12852</v>
      </c>
      <c r="D1803" t="s">
        <v>1435</v>
      </c>
      <c r="E1803" t="s">
        <v>12853</v>
      </c>
      <c r="F1803" t="s">
        <v>12429</v>
      </c>
      <c r="G1803">
        <v>207</v>
      </c>
      <c r="H1803">
        <v>500</v>
      </c>
      <c r="I1803" s="5" t="s">
        <v>12854</v>
      </c>
      <c r="J1803" s="5" t="s">
        <v>12855</v>
      </c>
      <c r="K1803" s="5" t="str">
        <f t="shared" si="56"/>
        <v>https://www.google.com/maps?q=-11.068940, -41.690084</v>
      </c>
      <c r="L1803" s="5" t="str">
        <f t="shared" si="57"/>
        <v>Abrir no Maps</v>
      </c>
      <c r="M1803" t="s">
        <v>12856</v>
      </c>
      <c r="N1803" s="5"/>
      <c r="O1803" t="str">
        <f>VLOOKUP(G1803,'[1]CONFIG.'!$B:$C,2,0)</f>
        <v>HIAGO</v>
      </c>
      <c r="P1803" t="str">
        <f>VLOOKUP(O1803,'[1]CONFIG.'!$C:$D,2,0)</f>
        <v>74 99872571</v>
      </c>
    </row>
    <row r="1804" spans="1:16" x14ac:dyDescent="0.3">
      <c r="A1804" t="s">
        <v>12857</v>
      </c>
      <c r="B1804" t="s">
        <v>12858</v>
      </c>
      <c r="C1804" t="s">
        <v>12859</v>
      </c>
      <c r="D1804" t="s">
        <v>1435</v>
      </c>
      <c r="E1804" t="s">
        <v>12860</v>
      </c>
      <c r="F1804" t="s">
        <v>12429</v>
      </c>
      <c r="G1804">
        <v>207</v>
      </c>
      <c r="H1804">
        <v>500</v>
      </c>
      <c r="I1804" s="5" t="s">
        <v>12861</v>
      </c>
      <c r="J1804" s="5" t="s">
        <v>12862</v>
      </c>
      <c r="K1804" s="5" t="str">
        <f t="shared" si="56"/>
        <v>https://www.google.com/maps?q=-11.068207, -41.689588</v>
      </c>
      <c r="L1804" s="5" t="str">
        <f t="shared" si="57"/>
        <v>Abrir no Maps</v>
      </c>
      <c r="M1804" t="s">
        <v>12863</v>
      </c>
      <c r="N1804" s="5"/>
      <c r="O1804" t="str">
        <f>VLOOKUP(G1804,'[1]CONFIG.'!$B:$C,2,0)</f>
        <v>HIAGO</v>
      </c>
      <c r="P1804" t="str">
        <f>VLOOKUP(O1804,'[1]CONFIG.'!$C:$D,2,0)</f>
        <v>74 99872571</v>
      </c>
    </row>
    <row r="1805" spans="1:16" x14ac:dyDescent="0.3">
      <c r="A1805" t="s">
        <v>12864</v>
      </c>
      <c r="B1805" t="s">
        <v>12865</v>
      </c>
      <c r="C1805" t="s">
        <v>12866</v>
      </c>
      <c r="D1805" t="s">
        <v>1435</v>
      </c>
      <c r="E1805" t="s">
        <v>12867</v>
      </c>
      <c r="F1805" t="s">
        <v>12868</v>
      </c>
      <c r="G1805">
        <v>207</v>
      </c>
      <c r="H1805">
        <v>500</v>
      </c>
      <c r="I1805" s="5" t="s">
        <v>12869</v>
      </c>
      <c r="J1805" s="5" t="s">
        <v>12870</v>
      </c>
      <c r="K1805" s="5" t="str">
        <f t="shared" si="56"/>
        <v>https://www.google.com/maps?q=-11.154610, -41.819412</v>
      </c>
      <c r="L1805" s="5" t="str">
        <f t="shared" si="57"/>
        <v>Abrir no Maps</v>
      </c>
      <c r="M1805" t="s">
        <v>12871</v>
      </c>
      <c r="N1805" s="5"/>
      <c r="O1805" t="str">
        <f>VLOOKUP(G1805,'[1]CONFIG.'!$B:$C,2,0)</f>
        <v>HIAGO</v>
      </c>
      <c r="P1805" t="str">
        <f>VLOOKUP(O1805,'[1]CONFIG.'!$C:$D,2,0)</f>
        <v>74 99872571</v>
      </c>
    </row>
    <row r="1806" spans="1:16" x14ac:dyDescent="0.3">
      <c r="A1806" t="s">
        <v>12872</v>
      </c>
      <c r="B1806" t="s">
        <v>12873</v>
      </c>
      <c r="C1806" t="s">
        <v>12874</v>
      </c>
      <c r="D1806" t="s">
        <v>1435</v>
      </c>
      <c r="E1806" t="s">
        <v>12875</v>
      </c>
      <c r="F1806" t="s">
        <v>137</v>
      </c>
      <c r="G1806">
        <v>207</v>
      </c>
      <c r="H1806">
        <v>500</v>
      </c>
      <c r="I1806" s="5" t="s">
        <v>12876</v>
      </c>
      <c r="J1806" s="5" t="s">
        <v>12877</v>
      </c>
      <c r="K1806" s="5" t="str">
        <f t="shared" si="56"/>
        <v>https://www.google.com/maps?q=-11.228434, -41.878946</v>
      </c>
      <c r="L1806" s="5" t="str">
        <f t="shared" si="57"/>
        <v>Abrir no Maps</v>
      </c>
      <c r="M1806" t="s">
        <v>12878</v>
      </c>
      <c r="N1806" s="5"/>
      <c r="O1806" t="str">
        <f>VLOOKUP(G1806,'[1]CONFIG.'!$B:$C,2,0)</f>
        <v>HIAGO</v>
      </c>
      <c r="P1806" t="str">
        <f>VLOOKUP(O1806,'[1]CONFIG.'!$C:$D,2,0)</f>
        <v>74 99872571</v>
      </c>
    </row>
    <row r="1807" spans="1:16" x14ac:dyDescent="0.3">
      <c r="A1807" t="s">
        <v>12879</v>
      </c>
      <c r="B1807" t="s">
        <v>12787</v>
      </c>
      <c r="C1807" t="s">
        <v>12880</v>
      </c>
      <c r="D1807" t="s">
        <v>1435</v>
      </c>
      <c r="E1807" t="s">
        <v>12881</v>
      </c>
      <c r="F1807" t="s">
        <v>137</v>
      </c>
      <c r="G1807">
        <v>207</v>
      </c>
      <c r="H1807">
        <v>500</v>
      </c>
      <c r="I1807" s="5" t="s">
        <v>12882</v>
      </c>
      <c r="J1807" s="5" t="s">
        <v>12883</v>
      </c>
      <c r="K1807" s="5" t="str">
        <f t="shared" si="56"/>
        <v>https://www.google.com/maps?q=-11.227795, -41.877203</v>
      </c>
      <c r="L1807" s="5" t="str">
        <f t="shared" si="57"/>
        <v>Abrir no Maps</v>
      </c>
      <c r="M1807" t="s">
        <v>12884</v>
      </c>
      <c r="N1807" s="5"/>
      <c r="O1807" t="str">
        <f>VLOOKUP(G1807,'[1]CONFIG.'!$B:$C,2,0)</f>
        <v>HIAGO</v>
      </c>
      <c r="P1807" t="str">
        <f>VLOOKUP(O1807,'[1]CONFIG.'!$C:$D,2,0)</f>
        <v>74 99872571</v>
      </c>
    </row>
    <row r="1808" spans="1:16" x14ac:dyDescent="0.3">
      <c r="A1808" t="s">
        <v>12885</v>
      </c>
      <c r="B1808" t="s">
        <v>12886</v>
      </c>
      <c r="C1808" t="s">
        <v>12887</v>
      </c>
      <c r="D1808" t="s">
        <v>1435</v>
      </c>
      <c r="E1808" t="s">
        <v>12888</v>
      </c>
      <c r="F1808" t="s">
        <v>12889</v>
      </c>
      <c r="G1808">
        <v>207</v>
      </c>
      <c r="H1808">
        <v>500</v>
      </c>
      <c r="I1808" s="5" t="s">
        <v>12890</v>
      </c>
      <c r="J1808" s="5" t="s">
        <v>12891</v>
      </c>
      <c r="K1808" s="5" t="str">
        <f t="shared" si="56"/>
        <v>https://www.google.com/maps?q=-11.226633, -41.869874</v>
      </c>
      <c r="L1808" s="5" t="str">
        <f t="shared" si="57"/>
        <v>Abrir no Maps</v>
      </c>
      <c r="M1808" t="s">
        <v>12892</v>
      </c>
      <c r="N1808" s="5"/>
      <c r="O1808" t="str">
        <f>VLOOKUP(G1808,'[1]CONFIG.'!$B:$C,2,0)</f>
        <v>HIAGO</v>
      </c>
      <c r="P1808" t="str">
        <f>VLOOKUP(O1808,'[1]CONFIG.'!$C:$D,2,0)</f>
        <v>74 99872571</v>
      </c>
    </row>
    <row r="1809" spans="1:16" x14ac:dyDescent="0.3">
      <c r="A1809" t="s">
        <v>12893</v>
      </c>
      <c r="B1809" t="s">
        <v>12894</v>
      </c>
      <c r="C1809" t="s">
        <v>12895</v>
      </c>
      <c r="D1809" t="s">
        <v>1435</v>
      </c>
      <c r="E1809" t="s">
        <v>12896</v>
      </c>
      <c r="F1809" t="s">
        <v>137</v>
      </c>
      <c r="G1809">
        <v>207</v>
      </c>
      <c r="H1809">
        <v>500</v>
      </c>
      <c r="I1809" s="5" t="s">
        <v>12897</v>
      </c>
      <c r="J1809" s="5" t="s">
        <v>12898</v>
      </c>
      <c r="K1809" s="5" t="str">
        <f t="shared" si="56"/>
        <v>https://www.google.com/maps?q=-11.228158, -41.877552</v>
      </c>
      <c r="L1809" s="5" t="str">
        <f t="shared" si="57"/>
        <v>Abrir no Maps</v>
      </c>
      <c r="M1809" t="s">
        <v>12899</v>
      </c>
      <c r="N1809" s="5"/>
      <c r="O1809" t="str">
        <f>VLOOKUP(G1809,'[1]CONFIG.'!$B:$C,2,0)</f>
        <v>HIAGO</v>
      </c>
      <c r="P1809" t="str">
        <f>VLOOKUP(O1809,'[1]CONFIG.'!$C:$D,2,0)</f>
        <v>74 99872571</v>
      </c>
    </row>
    <row r="1810" spans="1:16" x14ac:dyDescent="0.3">
      <c r="A1810" t="s">
        <v>12900</v>
      </c>
      <c r="B1810" t="s">
        <v>12901</v>
      </c>
      <c r="C1810" t="s">
        <v>12902</v>
      </c>
      <c r="D1810" t="s">
        <v>1435</v>
      </c>
      <c r="E1810" t="s">
        <v>12903</v>
      </c>
      <c r="F1810" t="s">
        <v>137</v>
      </c>
      <c r="G1810">
        <v>207</v>
      </c>
      <c r="H1810">
        <v>500</v>
      </c>
      <c r="I1810" s="5" t="s">
        <v>12904</v>
      </c>
      <c r="J1810" s="5" t="s">
        <v>12905</v>
      </c>
      <c r="K1810" s="5" t="str">
        <f t="shared" si="56"/>
        <v>https://www.google.com/maps?q=-11.228509, -41.878509</v>
      </c>
      <c r="L1810" s="5" t="str">
        <f t="shared" si="57"/>
        <v>Abrir no Maps</v>
      </c>
      <c r="M1810" t="s">
        <v>12906</v>
      </c>
      <c r="N1810" s="5"/>
      <c r="O1810" t="str">
        <f>VLOOKUP(G1810,'[1]CONFIG.'!$B:$C,2,0)</f>
        <v>HIAGO</v>
      </c>
      <c r="P1810" t="str">
        <f>VLOOKUP(O1810,'[1]CONFIG.'!$C:$D,2,0)</f>
        <v>74 99872571</v>
      </c>
    </row>
    <row r="1811" spans="1:16" x14ac:dyDescent="0.3">
      <c r="A1811" t="s">
        <v>12907</v>
      </c>
      <c r="B1811" t="s">
        <v>12908</v>
      </c>
      <c r="C1811" t="s">
        <v>12909</v>
      </c>
      <c r="D1811" t="s">
        <v>1435</v>
      </c>
      <c r="E1811" t="s">
        <v>12910</v>
      </c>
      <c r="F1811" t="s">
        <v>12911</v>
      </c>
      <c r="G1811">
        <v>207</v>
      </c>
      <c r="H1811">
        <v>500</v>
      </c>
      <c r="I1811" s="5" t="s">
        <v>12912</v>
      </c>
      <c r="J1811" s="5" t="s">
        <v>12913</v>
      </c>
      <c r="K1811" s="5" t="str">
        <f t="shared" si="56"/>
        <v>https://www.google.com/maps?q=-11.225265, -41.862041</v>
      </c>
      <c r="L1811" s="5" t="str">
        <f t="shared" si="57"/>
        <v>Abrir no Maps</v>
      </c>
      <c r="M1811" t="s">
        <v>12914</v>
      </c>
      <c r="N1811" s="5"/>
      <c r="O1811" t="str">
        <f>VLOOKUP(G1811,'[1]CONFIG.'!$B:$C,2,0)</f>
        <v>HIAGO</v>
      </c>
      <c r="P1811" t="str">
        <f>VLOOKUP(O1811,'[1]CONFIG.'!$C:$D,2,0)</f>
        <v>74 99872571</v>
      </c>
    </row>
    <row r="1812" spans="1:16" x14ac:dyDescent="0.3">
      <c r="A1812" t="s">
        <v>12915</v>
      </c>
      <c r="B1812" t="s">
        <v>12916</v>
      </c>
      <c r="C1812" t="s">
        <v>12917</v>
      </c>
      <c r="D1812" t="s">
        <v>1435</v>
      </c>
      <c r="E1812" t="s">
        <v>12918</v>
      </c>
      <c r="F1812" t="s">
        <v>12919</v>
      </c>
      <c r="G1812">
        <v>207</v>
      </c>
      <c r="H1812">
        <v>500</v>
      </c>
      <c r="I1812" s="5" t="s">
        <v>12920</v>
      </c>
      <c r="J1812" s="5" t="s">
        <v>12921</v>
      </c>
      <c r="K1812" s="5" t="str">
        <f t="shared" si="56"/>
        <v>https://www.google.com/maps?q=-11.227775, -41.877286</v>
      </c>
      <c r="L1812" s="5" t="str">
        <f t="shared" si="57"/>
        <v>Abrir no Maps</v>
      </c>
      <c r="M1812" t="s">
        <v>12600</v>
      </c>
      <c r="N1812" s="5"/>
      <c r="O1812" t="str">
        <f>VLOOKUP(G1812,'[1]CONFIG.'!$B:$C,2,0)</f>
        <v>HIAGO</v>
      </c>
      <c r="P1812" t="str">
        <f>VLOOKUP(O1812,'[1]CONFIG.'!$C:$D,2,0)</f>
        <v>74 99872571</v>
      </c>
    </row>
    <row r="1813" spans="1:16" x14ac:dyDescent="0.3">
      <c r="A1813" t="s">
        <v>12922</v>
      </c>
      <c r="B1813" t="s">
        <v>12923</v>
      </c>
      <c r="C1813" t="s">
        <v>12924</v>
      </c>
      <c r="D1813" t="s">
        <v>7835</v>
      </c>
      <c r="E1813" t="s">
        <v>12925</v>
      </c>
      <c r="F1813" t="s">
        <v>12926</v>
      </c>
      <c r="G1813">
        <v>202</v>
      </c>
      <c r="H1813">
        <v>500</v>
      </c>
      <c r="I1813" s="5" t="s">
        <v>12927</v>
      </c>
      <c r="J1813" s="5" t="s">
        <v>12928</v>
      </c>
      <c r="K1813" s="5" t="str">
        <f t="shared" si="56"/>
        <v>https://www.google.com/maps?q=-12.085834, -41.608890</v>
      </c>
      <c r="L1813" s="5" t="str">
        <f t="shared" si="57"/>
        <v>Abrir no Maps</v>
      </c>
      <c r="M1813" t="s">
        <v>12929</v>
      </c>
      <c r="N1813" s="5"/>
      <c r="O1813" t="str">
        <f>VLOOKUP(G1813,'[1]CONFIG.'!$B:$C,2,0)</f>
        <v>ARISTON</v>
      </c>
      <c r="P1813" t="str">
        <f>VLOOKUP(O1813,'[1]CONFIG.'!$C:$D,2,0)</f>
        <v>74 99384078</v>
      </c>
    </row>
    <row r="1814" spans="1:16" x14ac:dyDescent="0.3">
      <c r="A1814" t="s">
        <v>12930</v>
      </c>
      <c r="B1814" t="s">
        <v>12931</v>
      </c>
      <c r="C1814" t="s">
        <v>12932</v>
      </c>
      <c r="D1814" t="s">
        <v>7835</v>
      </c>
      <c r="E1814" t="s">
        <v>12933</v>
      </c>
      <c r="F1814" t="s">
        <v>12934</v>
      </c>
      <c r="G1814">
        <v>202</v>
      </c>
      <c r="H1814">
        <v>500</v>
      </c>
      <c r="I1814" s="5" t="s">
        <v>12935</v>
      </c>
      <c r="J1814" s="5" t="s">
        <v>12936</v>
      </c>
      <c r="K1814" s="5" t="str">
        <f t="shared" si="56"/>
        <v>https://www.google.com/maps?q=-12.079733, -41.600740</v>
      </c>
      <c r="L1814" s="5" t="str">
        <f t="shared" si="57"/>
        <v>Abrir no Maps</v>
      </c>
      <c r="M1814" t="s">
        <v>12937</v>
      </c>
      <c r="N1814" s="5"/>
      <c r="O1814" t="str">
        <f>VLOOKUP(G1814,'[1]CONFIG.'!$B:$C,2,0)</f>
        <v>ARISTON</v>
      </c>
      <c r="P1814" t="str">
        <f>VLOOKUP(O1814,'[1]CONFIG.'!$C:$D,2,0)</f>
        <v>74 99384078</v>
      </c>
    </row>
    <row r="1815" spans="1:16" x14ac:dyDescent="0.3">
      <c r="A1815" t="s">
        <v>12938</v>
      </c>
      <c r="B1815" t="s">
        <v>12939</v>
      </c>
      <c r="C1815" t="s">
        <v>12940</v>
      </c>
      <c r="D1815" t="s">
        <v>7835</v>
      </c>
      <c r="E1815" t="s">
        <v>12941</v>
      </c>
      <c r="F1815" t="s">
        <v>137</v>
      </c>
      <c r="G1815">
        <v>202</v>
      </c>
      <c r="H1815">
        <v>500</v>
      </c>
      <c r="I1815" s="5" t="s">
        <v>12942</v>
      </c>
      <c r="J1815" s="5" t="s">
        <v>12943</v>
      </c>
      <c r="K1815" s="5" t="str">
        <f t="shared" si="56"/>
        <v>https://www.google.com/maps?q=-12.088790, -41.647880</v>
      </c>
      <c r="L1815" s="5" t="str">
        <f t="shared" si="57"/>
        <v>Abrir no Maps</v>
      </c>
      <c r="M1815" t="s">
        <v>12944</v>
      </c>
      <c r="N1815" s="5"/>
      <c r="O1815" t="str">
        <f>VLOOKUP(G1815,'[1]CONFIG.'!$B:$C,2,0)</f>
        <v>ARISTON</v>
      </c>
      <c r="P1815" t="str">
        <f>VLOOKUP(O1815,'[1]CONFIG.'!$C:$D,2,0)</f>
        <v>74 99384078</v>
      </c>
    </row>
    <row r="1816" spans="1:16" x14ac:dyDescent="0.3">
      <c r="A1816" t="s">
        <v>12945</v>
      </c>
      <c r="B1816" t="s">
        <v>12946</v>
      </c>
      <c r="C1816" t="s">
        <v>12947</v>
      </c>
      <c r="D1816" t="s">
        <v>7835</v>
      </c>
      <c r="E1816" t="s">
        <v>12948</v>
      </c>
      <c r="F1816" t="s">
        <v>137</v>
      </c>
      <c r="G1816">
        <v>202</v>
      </c>
      <c r="H1816">
        <v>500</v>
      </c>
      <c r="I1816" s="5" t="s">
        <v>12949</v>
      </c>
      <c r="J1816" s="5" t="s">
        <v>12950</v>
      </c>
      <c r="K1816" s="5" t="str">
        <f t="shared" si="56"/>
        <v>https://www.google.com/maps?q=-12.093183, -41.648150</v>
      </c>
      <c r="L1816" s="5" t="str">
        <f t="shared" si="57"/>
        <v>Abrir no Maps</v>
      </c>
      <c r="M1816" t="s">
        <v>12951</v>
      </c>
      <c r="N1816" s="5"/>
      <c r="O1816" t="str">
        <f>VLOOKUP(G1816,'[1]CONFIG.'!$B:$C,2,0)</f>
        <v>ARISTON</v>
      </c>
      <c r="P1816" t="str">
        <f>VLOOKUP(O1816,'[1]CONFIG.'!$C:$D,2,0)</f>
        <v>74 99384078</v>
      </c>
    </row>
    <row r="1817" spans="1:16" x14ac:dyDescent="0.3">
      <c r="A1817" t="s">
        <v>12952</v>
      </c>
      <c r="B1817" t="s">
        <v>12953</v>
      </c>
      <c r="C1817" t="s">
        <v>12954</v>
      </c>
      <c r="D1817" t="s">
        <v>7835</v>
      </c>
      <c r="E1817" t="s">
        <v>12955</v>
      </c>
      <c r="F1817" t="s">
        <v>137</v>
      </c>
      <c r="G1817">
        <v>202</v>
      </c>
      <c r="H1817">
        <v>500</v>
      </c>
      <c r="I1817" s="5" t="s">
        <v>12956</v>
      </c>
      <c r="J1817" s="5" t="s">
        <v>12957</v>
      </c>
      <c r="K1817" s="5" t="str">
        <f t="shared" si="56"/>
        <v>https://www.google.com/maps?q=-12.089579, -41.648060</v>
      </c>
      <c r="L1817" s="5" t="str">
        <f t="shared" si="57"/>
        <v>Abrir no Maps</v>
      </c>
      <c r="M1817" t="s">
        <v>12958</v>
      </c>
      <c r="N1817" s="5"/>
      <c r="O1817" t="str">
        <f>VLOOKUP(G1817,'[1]CONFIG.'!$B:$C,2,0)</f>
        <v>ARISTON</v>
      </c>
      <c r="P1817" t="str">
        <f>VLOOKUP(O1817,'[1]CONFIG.'!$C:$D,2,0)</f>
        <v>74 99384078</v>
      </c>
    </row>
    <row r="1818" spans="1:16" x14ac:dyDescent="0.3">
      <c r="A1818" t="s">
        <v>12959</v>
      </c>
      <c r="B1818" t="s">
        <v>12960</v>
      </c>
      <c r="C1818" t="s">
        <v>12961</v>
      </c>
      <c r="D1818" t="s">
        <v>7835</v>
      </c>
      <c r="E1818" t="s">
        <v>12962</v>
      </c>
      <c r="F1818" t="s">
        <v>137</v>
      </c>
      <c r="G1818">
        <v>202</v>
      </c>
      <c r="H1818">
        <v>500</v>
      </c>
      <c r="I1818" s="5" t="s">
        <v>12963</v>
      </c>
      <c r="J1818" s="5" t="s">
        <v>12964</v>
      </c>
      <c r="K1818" s="5" t="str">
        <f t="shared" si="56"/>
        <v>https://www.google.com/maps?q=-12.089611, -41.648083</v>
      </c>
      <c r="L1818" s="5" t="str">
        <f t="shared" si="57"/>
        <v>Abrir no Maps</v>
      </c>
      <c r="M1818" t="s">
        <v>12965</v>
      </c>
      <c r="N1818" s="5"/>
      <c r="O1818" t="str">
        <f>VLOOKUP(G1818,'[1]CONFIG.'!$B:$C,2,0)</f>
        <v>ARISTON</v>
      </c>
      <c r="P1818" t="str">
        <f>VLOOKUP(O1818,'[1]CONFIG.'!$C:$D,2,0)</f>
        <v>74 99384078</v>
      </c>
    </row>
    <row r="1819" spans="1:16" x14ac:dyDescent="0.3">
      <c r="A1819" t="s">
        <v>12966</v>
      </c>
      <c r="B1819" t="s">
        <v>12967</v>
      </c>
      <c r="C1819" t="s">
        <v>12968</v>
      </c>
      <c r="D1819" t="s">
        <v>7835</v>
      </c>
      <c r="E1819" t="s">
        <v>12969</v>
      </c>
      <c r="F1819" t="s">
        <v>137</v>
      </c>
      <c r="G1819">
        <v>202</v>
      </c>
      <c r="H1819">
        <v>500</v>
      </c>
      <c r="I1819" s="5" t="s">
        <v>12970</v>
      </c>
      <c r="J1819" s="5" t="s">
        <v>12971</v>
      </c>
      <c r="K1819" s="5" t="str">
        <f t="shared" si="56"/>
        <v>https://www.google.com/maps?q=-12.089535, -41.647743</v>
      </c>
      <c r="L1819" s="5" t="str">
        <f t="shared" si="57"/>
        <v>Abrir no Maps</v>
      </c>
      <c r="M1819" t="s">
        <v>12972</v>
      </c>
      <c r="N1819" s="5"/>
      <c r="O1819" t="str">
        <f>VLOOKUP(G1819,'[1]CONFIG.'!$B:$C,2,0)</f>
        <v>ARISTON</v>
      </c>
      <c r="P1819" t="str">
        <f>VLOOKUP(O1819,'[1]CONFIG.'!$C:$D,2,0)</f>
        <v>74 99384078</v>
      </c>
    </row>
    <row r="1820" spans="1:16" x14ac:dyDescent="0.3">
      <c r="A1820" t="s">
        <v>12973</v>
      </c>
      <c r="B1820" t="s">
        <v>12974</v>
      </c>
      <c r="C1820" t="s">
        <v>12975</v>
      </c>
      <c r="D1820" t="s">
        <v>7835</v>
      </c>
      <c r="E1820" t="s">
        <v>12976</v>
      </c>
      <c r="F1820" t="s">
        <v>12977</v>
      </c>
      <c r="G1820">
        <v>202</v>
      </c>
      <c r="H1820">
        <v>500</v>
      </c>
      <c r="I1820" s="5" t="s">
        <v>12978</v>
      </c>
      <c r="J1820" s="5" t="s">
        <v>12979</v>
      </c>
      <c r="K1820" s="5" t="str">
        <f t="shared" si="56"/>
        <v>https://www.google.com/maps?q=-12.065386, -41.599216</v>
      </c>
      <c r="L1820" s="5" t="str">
        <f t="shared" si="57"/>
        <v>Abrir no Maps</v>
      </c>
      <c r="M1820" t="s">
        <v>12980</v>
      </c>
      <c r="N1820" s="5"/>
      <c r="O1820" t="str">
        <f>VLOOKUP(G1820,'[1]CONFIG.'!$B:$C,2,0)</f>
        <v>ARISTON</v>
      </c>
      <c r="P1820" t="str">
        <f>VLOOKUP(O1820,'[1]CONFIG.'!$C:$D,2,0)</f>
        <v>74 99384078</v>
      </c>
    </row>
    <row r="1821" spans="1:16" x14ac:dyDescent="0.3">
      <c r="A1821" t="s">
        <v>12981</v>
      </c>
      <c r="B1821" t="s">
        <v>12982</v>
      </c>
      <c r="C1821" t="s">
        <v>12983</v>
      </c>
      <c r="D1821" t="s">
        <v>7835</v>
      </c>
      <c r="E1821" t="s">
        <v>12984</v>
      </c>
      <c r="F1821" t="s">
        <v>137</v>
      </c>
      <c r="G1821">
        <v>202</v>
      </c>
      <c r="H1821">
        <v>500</v>
      </c>
      <c r="I1821" s="5" t="s">
        <v>12985</v>
      </c>
      <c r="J1821" s="5" t="s">
        <v>12986</v>
      </c>
      <c r="K1821" s="5" t="str">
        <f t="shared" si="56"/>
        <v>https://www.google.com/maps?q=-12.091535, -41.651245</v>
      </c>
      <c r="L1821" s="5" t="str">
        <f t="shared" si="57"/>
        <v>Abrir no Maps</v>
      </c>
      <c r="M1821" t="s">
        <v>12987</v>
      </c>
      <c r="N1821" s="5"/>
      <c r="O1821" t="str">
        <f>VLOOKUP(G1821,'[1]CONFIG.'!$B:$C,2,0)</f>
        <v>ARISTON</v>
      </c>
      <c r="P1821" t="str">
        <f>VLOOKUP(O1821,'[1]CONFIG.'!$C:$D,2,0)</f>
        <v>74 99384078</v>
      </c>
    </row>
    <row r="1822" spans="1:16" x14ac:dyDescent="0.3">
      <c r="A1822" t="s">
        <v>12988</v>
      </c>
      <c r="B1822" t="s">
        <v>12989</v>
      </c>
      <c r="C1822" t="s">
        <v>12990</v>
      </c>
      <c r="D1822" t="s">
        <v>7835</v>
      </c>
      <c r="E1822" t="s">
        <v>12991</v>
      </c>
      <c r="F1822" t="s">
        <v>12992</v>
      </c>
      <c r="G1822">
        <v>202</v>
      </c>
      <c r="H1822">
        <v>500</v>
      </c>
      <c r="I1822" s="5" t="s">
        <v>12993</v>
      </c>
      <c r="J1822" s="5" t="s">
        <v>12994</v>
      </c>
      <c r="K1822" s="5" t="str">
        <f t="shared" si="56"/>
        <v>https://www.google.com/maps?q=-12.014167, -41.668888</v>
      </c>
      <c r="L1822" s="5" t="str">
        <f t="shared" si="57"/>
        <v>Abrir no Maps</v>
      </c>
      <c r="M1822" t="s">
        <v>12995</v>
      </c>
      <c r="N1822" s="5"/>
      <c r="O1822" t="str">
        <f>VLOOKUP(G1822,'[1]CONFIG.'!$B:$C,2,0)</f>
        <v>ARISTON</v>
      </c>
      <c r="P1822" t="str">
        <f>VLOOKUP(O1822,'[1]CONFIG.'!$C:$D,2,0)</f>
        <v>74 99384078</v>
      </c>
    </row>
    <row r="1823" spans="1:16" x14ac:dyDescent="0.3">
      <c r="A1823" t="s">
        <v>12996</v>
      </c>
      <c r="B1823" t="s">
        <v>12997</v>
      </c>
      <c r="C1823" t="s">
        <v>12998</v>
      </c>
      <c r="D1823" t="s">
        <v>7835</v>
      </c>
      <c r="E1823" t="s">
        <v>12999</v>
      </c>
      <c r="F1823" t="s">
        <v>13000</v>
      </c>
      <c r="G1823">
        <v>210</v>
      </c>
      <c r="H1823">
        <v>500</v>
      </c>
      <c r="I1823" s="5" t="s">
        <v>13001</v>
      </c>
      <c r="J1823" s="5" t="s">
        <v>13002</v>
      </c>
      <c r="K1823" s="5" t="str">
        <f t="shared" si="56"/>
        <v>https://www.google.com/maps?q=-11.929616, -41.853050</v>
      </c>
      <c r="L1823" s="5" t="str">
        <f t="shared" si="57"/>
        <v>Abrir no Maps</v>
      </c>
      <c r="M1823" t="s">
        <v>13003</v>
      </c>
      <c r="N1823" s="5"/>
      <c r="O1823" t="str">
        <f>VLOOKUP(G1823,'[1]CONFIG.'!$B:$C,2,0)</f>
        <v>SILAS</v>
      </c>
      <c r="P1823" t="str">
        <f>VLOOKUP(O1823,'[1]CONFIG.'!$C:$D,2,0)</f>
        <v>74 98041875</v>
      </c>
    </row>
    <row r="1824" spans="1:16" x14ac:dyDescent="0.3">
      <c r="A1824" t="s">
        <v>13004</v>
      </c>
      <c r="B1824" t="s">
        <v>13005</v>
      </c>
      <c r="C1824" t="s">
        <v>13006</v>
      </c>
      <c r="D1824" t="s">
        <v>7835</v>
      </c>
      <c r="E1824" t="s">
        <v>13007</v>
      </c>
      <c r="F1824" t="s">
        <v>137</v>
      </c>
      <c r="G1824">
        <v>202</v>
      </c>
      <c r="H1824">
        <v>500</v>
      </c>
      <c r="I1824" s="5" t="s">
        <v>13008</v>
      </c>
      <c r="J1824" s="5" t="s">
        <v>13009</v>
      </c>
      <c r="K1824" s="5" t="str">
        <f t="shared" si="56"/>
        <v>https://www.google.com/maps?q=-12.091222, -41.647280</v>
      </c>
      <c r="L1824" s="5" t="str">
        <f t="shared" si="57"/>
        <v>Abrir no Maps</v>
      </c>
      <c r="M1824" t="s">
        <v>13010</v>
      </c>
      <c r="N1824" s="5"/>
      <c r="O1824" t="str">
        <f>VLOOKUP(G1824,'[1]CONFIG.'!$B:$C,2,0)</f>
        <v>ARISTON</v>
      </c>
      <c r="P1824" t="str">
        <f>VLOOKUP(O1824,'[1]CONFIG.'!$C:$D,2,0)</f>
        <v>74 99384078</v>
      </c>
    </row>
    <row r="1825" spans="1:16" x14ac:dyDescent="0.3">
      <c r="A1825" t="s">
        <v>13011</v>
      </c>
      <c r="B1825" t="s">
        <v>13012</v>
      </c>
      <c r="C1825" t="s">
        <v>13013</v>
      </c>
      <c r="D1825" t="s">
        <v>7835</v>
      </c>
      <c r="E1825" t="s">
        <v>13014</v>
      </c>
      <c r="F1825" t="s">
        <v>13015</v>
      </c>
      <c r="G1825">
        <v>202</v>
      </c>
      <c r="H1825">
        <v>500</v>
      </c>
      <c r="I1825" s="5" t="s">
        <v>13016</v>
      </c>
      <c r="J1825" s="5" t="s">
        <v>13017</v>
      </c>
      <c r="K1825" s="5" t="str">
        <f t="shared" si="56"/>
        <v>https://www.google.com/maps?q=-12.137041, -41.611168</v>
      </c>
      <c r="L1825" s="5" t="str">
        <f t="shared" si="57"/>
        <v>Abrir no Maps</v>
      </c>
      <c r="M1825" t="s">
        <v>13018</v>
      </c>
      <c r="N1825" s="5"/>
      <c r="O1825" t="str">
        <f>VLOOKUP(G1825,'[1]CONFIG.'!$B:$C,2,0)</f>
        <v>ARISTON</v>
      </c>
      <c r="P1825" t="str">
        <f>VLOOKUP(O1825,'[1]CONFIG.'!$C:$D,2,0)</f>
        <v>74 99384078</v>
      </c>
    </row>
    <row r="1826" spans="1:16" x14ac:dyDescent="0.3">
      <c r="A1826" t="s">
        <v>13019</v>
      </c>
      <c r="B1826" t="s">
        <v>13020</v>
      </c>
      <c r="C1826" t="s">
        <v>13021</v>
      </c>
      <c r="D1826" t="s">
        <v>7835</v>
      </c>
      <c r="E1826" t="s">
        <v>13022</v>
      </c>
      <c r="F1826" t="s">
        <v>13023</v>
      </c>
      <c r="G1826">
        <v>210</v>
      </c>
      <c r="H1826">
        <v>500</v>
      </c>
      <c r="I1826" s="5" t="s">
        <v>13024</v>
      </c>
      <c r="J1826" s="5" t="s">
        <v>13025</v>
      </c>
      <c r="K1826" s="5" t="str">
        <f t="shared" si="56"/>
        <v>https://www.google.com/maps?q=-11.928717, -41.856125</v>
      </c>
      <c r="L1826" s="5" t="str">
        <f t="shared" si="57"/>
        <v>Abrir no Maps</v>
      </c>
      <c r="M1826" t="s">
        <v>13026</v>
      </c>
      <c r="N1826" s="5"/>
      <c r="O1826" t="str">
        <f>VLOOKUP(G1826,'[1]CONFIG.'!$B:$C,2,0)</f>
        <v>SILAS</v>
      </c>
      <c r="P1826" t="str">
        <f>VLOOKUP(O1826,'[1]CONFIG.'!$C:$D,2,0)</f>
        <v>74 98041875</v>
      </c>
    </row>
    <row r="1827" spans="1:16" x14ac:dyDescent="0.3">
      <c r="A1827" t="s">
        <v>13027</v>
      </c>
      <c r="B1827" t="s">
        <v>13028</v>
      </c>
      <c r="C1827" t="s">
        <v>13029</v>
      </c>
      <c r="D1827" t="s">
        <v>7835</v>
      </c>
      <c r="E1827" t="s">
        <v>13030</v>
      </c>
      <c r="F1827" t="s">
        <v>13031</v>
      </c>
      <c r="G1827">
        <v>202</v>
      </c>
      <c r="H1827">
        <v>500</v>
      </c>
      <c r="I1827" s="5" t="s">
        <v>13032</v>
      </c>
      <c r="J1827" s="5" t="s">
        <v>13033</v>
      </c>
      <c r="K1827" s="5" t="str">
        <f t="shared" si="56"/>
        <v>https://www.google.com/maps?q=-12.016534, -41.668040</v>
      </c>
      <c r="L1827" s="5" t="str">
        <f t="shared" si="57"/>
        <v>Abrir no Maps</v>
      </c>
      <c r="M1827" t="s">
        <v>13034</v>
      </c>
      <c r="N1827" s="5"/>
      <c r="O1827" t="str">
        <f>VLOOKUP(G1827,'[1]CONFIG.'!$B:$C,2,0)</f>
        <v>ARISTON</v>
      </c>
      <c r="P1827" t="str">
        <f>VLOOKUP(O1827,'[1]CONFIG.'!$C:$D,2,0)</f>
        <v>74 99384078</v>
      </c>
    </row>
    <row r="1828" spans="1:16" x14ac:dyDescent="0.3">
      <c r="A1828" t="s">
        <v>13035</v>
      </c>
      <c r="B1828" t="s">
        <v>13036</v>
      </c>
      <c r="C1828" t="s">
        <v>13037</v>
      </c>
      <c r="D1828" t="s">
        <v>7835</v>
      </c>
      <c r="E1828" t="s">
        <v>13038</v>
      </c>
      <c r="F1828" t="s">
        <v>13039</v>
      </c>
      <c r="G1828">
        <v>202</v>
      </c>
      <c r="H1828">
        <v>500</v>
      </c>
      <c r="I1828" s="5" t="s">
        <v>13040</v>
      </c>
      <c r="J1828" s="5" t="s">
        <v>13041</v>
      </c>
      <c r="K1828" s="5" t="str">
        <f t="shared" si="56"/>
        <v>https://www.google.com/maps?q=-12.086177, -41.608948</v>
      </c>
      <c r="L1828" s="5" t="str">
        <f t="shared" si="57"/>
        <v>Abrir no Maps</v>
      </c>
      <c r="M1828" t="s">
        <v>13042</v>
      </c>
      <c r="N1828" s="5"/>
      <c r="O1828" t="str">
        <f>VLOOKUP(G1828,'[1]CONFIG.'!$B:$C,2,0)</f>
        <v>ARISTON</v>
      </c>
      <c r="P1828" t="str">
        <f>VLOOKUP(O1828,'[1]CONFIG.'!$C:$D,2,0)</f>
        <v>74 99384078</v>
      </c>
    </row>
    <row r="1829" spans="1:16" x14ac:dyDescent="0.3">
      <c r="A1829" t="s">
        <v>13043</v>
      </c>
      <c r="B1829" t="s">
        <v>13044</v>
      </c>
      <c r="C1829" t="s">
        <v>13045</v>
      </c>
      <c r="D1829" t="s">
        <v>7835</v>
      </c>
      <c r="E1829" t="s">
        <v>13046</v>
      </c>
      <c r="F1829" t="s">
        <v>137</v>
      </c>
      <c r="G1829">
        <v>202</v>
      </c>
      <c r="H1829">
        <v>500</v>
      </c>
      <c r="I1829" s="5" t="s">
        <v>13047</v>
      </c>
      <c r="J1829" s="5" t="s">
        <v>13048</v>
      </c>
      <c r="K1829" s="5" t="str">
        <f t="shared" si="56"/>
        <v>https://www.google.com/maps?q=-12.089107, -41.647870</v>
      </c>
      <c r="L1829" s="5" t="str">
        <f t="shared" si="57"/>
        <v>Abrir no Maps</v>
      </c>
      <c r="M1829" t="s">
        <v>13049</v>
      </c>
      <c r="N1829" s="5"/>
      <c r="O1829" t="str">
        <f>VLOOKUP(G1829,'[1]CONFIG.'!$B:$C,2,0)</f>
        <v>ARISTON</v>
      </c>
      <c r="P1829" t="str">
        <f>VLOOKUP(O1829,'[1]CONFIG.'!$C:$D,2,0)</f>
        <v>74 99384078</v>
      </c>
    </row>
    <row r="1830" spans="1:16" x14ac:dyDescent="0.3">
      <c r="A1830" t="s">
        <v>13050</v>
      </c>
      <c r="B1830" t="s">
        <v>13051</v>
      </c>
      <c r="C1830" t="s">
        <v>13052</v>
      </c>
      <c r="D1830" t="s">
        <v>7835</v>
      </c>
      <c r="E1830" t="s">
        <v>13053</v>
      </c>
      <c r="F1830" t="s">
        <v>13015</v>
      </c>
      <c r="G1830">
        <v>202</v>
      </c>
      <c r="H1830">
        <v>500</v>
      </c>
      <c r="I1830" s="5" t="s">
        <v>13054</v>
      </c>
      <c r="J1830" s="5" t="s">
        <v>13055</v>
      </c>
      <c r="K1830" s="5" t="str">
        <f t="shared" si="56"/>
        <v>https://www.google.com/maps?q=-12.137516, -41.610725</v>
      </c>
      <c r="L1830" s="5" t="str">
        <f t="shared" si="57"/>
        <v>Abrir no Maps</v>
      </c>
      <c r="M1830" t="s">
        <v>13056</v>
      </c>
      <c r="N1830" s="5"/>
      <c r="O1830" t="str">
        <f>VLOOKUP(G1830,'[1]CONFIG.'!$B:$C,2,0)</f>
        <v>ARISTON</v>
      </c>
      <c r="P1830" t="str">
        <f>VLOOKUP(O1830,'[1]CONFIG.'!$C:$D,2,0)</f>
        <v>74 99384078</v>
      </c>
    </row>
    <row r="1831" spans="1:16" x14ac:dyDescent="0.3">
      <c r="A1831" t="s">
        <v>13057</v>
      </c>
      <c r="B1831" t="s">
        <v>13058</v>
      </c>
      <c r="C1831" t="s">
        <v>13059</v>
      </c>
      <c r="D1831" t="s">
        <v>7835</v>
      </c>
      <c r="E1831" t="s">
        <v>13060</v>
      </c>
      <c r="F1831" t="s">
        <v>13015</v>
      </c>
      <c r="G1831">
        <v>202</v>
      </c>
      <c r="H1831">
        <v>500</v>
      </c>
      <c r="I1831" s="5" t="s">
        <v>13061</v>
      </c>
      <c r="J1831" s="5" t="s">
        <v>13062</v>
      </c>
      <c r="K1831" s="5" t="str">
        <f t="shared" si="56"/>
        <v>https://www.google.com/maps?q=-12.143539, -41.616238</v>
      </c>
      <c r="L1831" s="5" t="str">
        <f t="shared" si="57"/>
        <v>Abrir no Maps</v>
      </c>
      <c r="M1831" t="s">
        <v>13063</v>
      </c>
      <c r="N1831" s="5"/>
      <c r="O1831" t="str">
        <f>VLOOKUP(G1831,'[1]CONFIG.'!$B:$C,2,0)</f>
        <v>ARISTON</v>
      </c>
      <c r="P1831" t="str">
        <f>VLOOKUP(O1831,'[1]CONFIG.'!$C:$D,2,0)</f>
        <v>74 99384078</v>
      </c>
    </row>
    <row r="1832" spans="1:16" x14ac:dyDescent="0.3">
      <c r="A1832" t="s">
        <v>13064</v>
      </c>
      <c r="B1832" t="s">
        <v>13065</v>
      </c>
      <c r="C1832" t="s">
        <v>13066</v>
      </c>
      <c r="D1832" t="s">
        <v>7835</v>
      </c>
      <c r="E1832" t="s">
        <v>13067</v>
      </c>
      <c r="F1832" t="s">
        <v>13015</v>
      </c>
      <c r="G1832">
        <v>202</v>
      </c>
      <c r="H1832">
        <v>500</v>
      </c>
      <c r="I1832" s="5" t="s">
        <v>13068</v>
      </c>
      <c r="J1832" s="5" t="s">
        <v>13069</v>
      </c>
      <c r="K1832" s="5" t="str">
        <f t="shared" si="56"/>
        <v>https://www.google.com/maps?q=-12.140036, -41.610058</v>
      </c>
      <c r="L1832" s="5" t="str">
        <f t="shared" si="57"/>
        <v>Abrir no Maps</v>
      </c>
      <c r="M1832" t="s">
        <v>13070</v>
      </c>
      <c r="N1832" s="5"/>
      <c r="O1832" t="str">
        <f>VLOOKUP(G1832,'[1]CONFIG.'!$B:$C,2,0)</f>
        <v>ARISTON</v>
      </c>
      <c r="P1832" t="str">
        <f>VLOOKUP(O1832,'[1]CONFIG.'!$C:$D,2,0)</f>
        <v>74 99384078</v>
      </c>
    </row>
    <row r="1833" spans="1:16" x14ac:dyDescent="0.3">
      <c r="A1833" t="s">
        <v>13071</v>
      </c>
      <c r="B1833" t="s">
        <v>13072</v>
      </c>
      <c r="C1833" t="s">
        <v>13073</v>
      </c>
      <c r="D1833" t="s">
        <v>7835</v>
      </c>
      <c r="E1833" t="s">
        <v>13074</v>
      </c>
      <c r="F1833" t="s">
        <v>137</v>
      </c>
      <c r="G1833">
        <v>202</v>
      </c>
      <c r="H1833">
        <v>500</v>
      </c>
      <c r="I1833" s="5" t="s">
        <v>13075</v>
      </c>
      <c r="J1833" s="5" t="s">
        <v>13076</v>
      </c>
      <c r="K1833" s="5" t="str">
        <f t="shared" si="56"/>
        <v>https://www.google.com/maps?q=-12.092469, -41.648396</v>
      </c>
      <c r="L1833" s="5" t="str">
        <f t="shared" si="57"/>
        <v>Abrir no Maps</v>
      </c>
      <c r="M1833" t="s">
        <v>13077</v>
      </c>
      <c r="N1833" s="5"/>
      <c r="O1833" t="str">
        <f>VLOOKUP(G1833,'[1]CONFIG.'!$B:$C,2,0)</f>
        <v>ARISTON</v>
      </c>
      <c r="P1833" t="str">
        <f>VLOOKUP(O1833,'[1]CONFIG.'!$C:$D,2,0)</f>
        <v>74 99384078</v>
      </c>
    </row>
    <row r="1834" spans="1:16" x14ac:dyDescent="0.3">
      <c r="A1834" t="s">
        <v>13078</v>
      </c>
      <c r="B1834" t="s">
        <v>13079</v>
      </c>
      <c r="C1834" t="s">
        <v>13080</v>
      </c>
      <c r="D1834" t="s">
        <v>3708</v>
      </c>
      <c r="E1834" t="s">
        <v>13081</v>
      </c>
      <c r="F1834" t="s">
        <v>4230</v>
      </c>
      <c r="G1834">
        <v>206</v>
      </c>
      <c r="H1834">
        <v>200</v>
      </c>
      <c r="I1834" s="5" t="s">
        <v>563</v>
      </c>
      <c r="J1834" s="5" t="s">
        <v>13082</v>
      </c>
      <c r="K1834" s="5" t="str">
        <f t="shared" si="56"/>
        <v>https://www.google.com/maps?q=-11.307777, -41.467224</v>
      </c>
      <c r="L1834" s="5" t="str">
        <f t="shared" si="57"/>
        <v>Abrir no Maps</v>
      </c>
      <c r="M1834" t="s">
        <v>13083</v>
      </c>
      <c r="N1834" s="5"/>
      <c r="O1834" t="str">
        <f>VLOOKUP(G1834,'[1]CONFIG.'!$B:$C,2,0)</f>
        <v>ROBERTO</v>
      </c>
      <c r="P1834" t="str">
        <f>VLOOKUP(O1834,'[1]CONFIG.'!$C:$D,2,0)</f>
        <v>74 99551147</v>
      </c>
    </row>
    <row r="1835" spans="1:16" x14ac:dyDescent="0.3">
      <c r="A1835" t="s">
        <v>13084</v>
      </c>
      <c r="B1835" t="s">
        <v>13085</v>
      </c>
      <c r="C1835" t="s">
        <v>13086</v>
      </c>
      <c r="D1835" t="s">
        <v>7835</v>
      </c>
      <c r="E1835" t="s">
        <v>13087</v>
      </c>
      <c r="F1835" t="s">
        <v>12992</v>
      </c>
      <c r="G1835">
        <v>202</v>
      </c>
      <c r="H1835">
        <v>500</v>
      </c>
      <c r="I1835" s="5" t="s">
        <v>13088</v>
      </c>
      <c r="J1835" s="5" t="s">
        <v>13089</v>
      </c>
      <c r="K1835" s="5" t="str">
        <f t="shared" si="56"/>
        <v>https://www.google.com/maps?q=-12.016726, -41.668076</v>
      </c>
      <c r="L1835" s="5" t="str">
        <f t="shared" si="57"/>
        <v>Abrir no Maps</v>
      </c>
      <c r="M1835" t="s">
        <v>13090</v>
      </c>
      <c r="N1835" s="5"/>
      <c r="O1835" t="str">
        <f>VLOOKUP(G1835,'[1]CONFIG.'!$B:$C,2,0)</f>
        <v>ARISTON</v>
      </c>
      <c r="P1835" t="str">
        <f>VLOOKUP(O1835,'[1]CONFIG.'!$C:$D,2,0)</f>
        <v>74 99384078</v>
      </c>
    </row>
    <row r="1836" spans="1:16" x14ac:dyDescent="0.3">
      <c r="A1836" t="s">
        <v>13091</v>
      </c>
      <c r="B1836" t="s">
        <v>13092</v>
      </c>
      <c r="C1836" t="s">
        <v>13093</v>
      </c>
      <c r="D1836" t="s">
        <v>7835</v>
      </c>
      <c r="E1836" t="s">
        <v>13094</v>
      </c>
      <c r="F1836" t="s">
        <v>12926</v>
      </c>
      <c r="G1836">
        <v>202</v>
      </c>
      <c r="H1836">
        <v>500</v>
      </c>
      <c r="I1836" s="5" t="s">
        <v>13095</v>
      </c>
      <c r="J1836" s="5" t="s">
        <v>13096</v>
      </c>
      <c r="K1836" s="5" t="str">
        <f t="shared" si="56"/>
        <v>https://www.google.com/maps?q=-12.086322, -41.608624</v>
      </c>
      <c r="L1836" s="5" t="str">
        <f t="shared" si="57"/>
        <v>Abrir no Maps</v>
      </c>
      <c r="M1836" t="s">
        <v>13097</v>
      </c>
      <c r="N1836" s="5"/>
      <c r="O1836" t="str">
        <f>VLOOKUP(G1836,'[1]CONFIG.'!$B:$C,2,0)</f>
        <v>ARISTON</v>
      </c>
      <c r="P1836" t="str">
        <f>VLOOKUP(O1836,'[1]CONFIG.'!$C:$D,2,0)</f>
        <v>74 99384078</v>
      </c>
    </row>
    <row r="1837" spans="1:16" x14ac:dyDescent="0.3">
      <c r="A1837" t="s">
        <v>13098</v>
      </c>
      <c r="B1837" t="s">
        <v>13099</v>
      </c>
      <c r="C1837" t="s">
        <v>13100</v>
      </c>
      <c r="D1837" t="s">
        <v>7835</v>
      </c>
      <c r="E1837" t="s">
        <v>13101</v>
      </c>
      <c r="F1837" t="s">
        <v>137</v>
      </c>
      <c r="G1837">
        <v>202</v>
      </c>
      <c r="H1837">
        <v>500</v>
      </c>
      <c r="I1837" s="5" t="s">
        <v>13102</v>
      </c>
      <c r="J1837" s="5" t="s">
        <v>13103</v>
      </c>
      <c r="K1837" s="5" t="str">
        <f t="shared" si="56"/>
        <v>https://www.google.com/maps?q=-12.088923, -41.649870</v>
      </c>
      <c r="L1837" s="5" t="str">
        <f t="shared" si="57"/>
        <v>Abrir no Maps</v>
      </c>
      <c r="M1837" t="s">
        <v>13104</v>
      </c>
      <c r="N1837" s="5"/>
      <c r="O1837" t="str">
        <f>VLOOKUP(G1837,'[1]CONFIG.'!$B:$C,2,0)</f>
        <v>ARISTON</v>
      </c>
      <c r="P1837" t="str">
        <f>VLOOKUP(O1837,'[1]CONFIG.'!$C:$D,2,0)</f>
        <v>74 99384078</v>
      </c>
    </row>
    <row r="1838" spans="1:16" x14ac:dyDescent="0.3">
      <c r="A1838" t="s">
        <v>13105</v>
      </c>
      <c r="B1838" t="s">
        <v>13106</v>
      </c>
      <c r="C1838" t="s">
        <v>13107</v>
      </c>
      <c r="D1838" t="s">
        <v>7835</v>
      </c>
      <c r="E1838" t="s">
        <v>13108</v>
      </c>
      <c r="F1838" t="s">
        <v>13109</v>
      </c>
      <c r="G1838">
        <v>202</v>
      </c>
      <c r="H1838">
        <v>500</v>
      </c>
      <c r="I1838" s="5" t="s">
        <v>13110</v>
      </c>
      <c r="J1838" s="5" t="s">
        <v>13111</v>
      </c>
      <c r="K1838" s="5" t="str">
        <f t="shared" si="56"/>
        <v>https://www.google.com/maps?q=-12.094476, -41.640778</v>
      </c>
      <c r="L1838" s="5" t="str">
        <f t="shared" si="57"/>
        <v>Abrir no Maps</v>
      </c>
      <c r="M1838" t="s">
        <v>13112</v>
      </c>
      <c r="N1838" s="5"/>
      <c r="O1838" t="str">
        <f>VLOOKUP(G1838,'[1]CONFIG.'!$B:$C,2,0)</f>
        <v>ARISTON</v>
      </c>
      <c r="P1838" t="str">
        <f>VLOOKUP(O1838,'[1]CONFIG.'!$C:$D,2,0)</f>
        <v>74 99384078</v>
      </c>
    </row>
    <row r="1839" spans="1:16" x14ac:dyDescent="0.3">
      <c r="A1839" t="s">
        <v>13113</v>
      </c>
      <c r="B1839" t="s">
        <v>13114</v>
      </c>
      <c r="C1839" t="s">
        <v>13115</v>
      </c>
      <c r="D1839" t="s">
        <v>7835</v>
      </c>
      <c r="E1839" t="s">
        <v>13116</v>
      </c>
      <c r="F1839" t="s">
        <v>137</v>
      </c>
      <c r="G1839">
        <v>202</v>
      </c>
      <c r="H1839">
        <v>500</v>
      </c>
      <c r="I1839" s="5" t="s">
        <v>13117</v>
      </c>
      <c r="J1839" s="5" t="s">
        <v>13118</v>
      </c>
      <c r="K1839" s="5" t="str">
        <f t="shared" si="56"/>
        <v>https://www.google.com/maps?q=-12.091275, -41.651554</v>
      </c>
      <c r="L1839" s="5" t="str">
        <f t="shared" si="57"/>
        <v>Abrir no Maps</v>
      </c>
      <c r="M1839" t="s">
        <v>13119</v>
      </c>
      <c r="N1839" s="5"/>
      <c r="O1839" t="str">
        <f>VLOOKUP(G1839,'[1]CONFIG.'!$B:$C,2,0)</f>
        <v>ARISTON</v>
      </c>
      <c r="P1839" t="str">
        <f>VLOOKUP(O1839,'[1]CONFIG.'!$C:$D,2,0)</f>
        <v>74 99384078</v>
      </c>
    </row>
    <row r="1840" spans="1:16" x14ac:dyDescent="0.3">
      <c r="A1840" t="s">
        <v>13120</v>
      </c>
      <c r="B1840" t="s">
        <v>13121</v>
      </c>
      <c r="C1840" t="s">
        <v>13122</v>
      </c>
      <c r="D1840" t="s">
        <v>7835</v>
      </c>
      <c r="E1840" t="s">
        <v>13123</v>
      </c>
      <c r="F1840" t="s">
        <v>137</v>
      </c>
      <c r="G1840">
        <v>202</v>
      </c>
      <c r="H1840">
        <v>500</v>
      </c>
      <c r="I1840" s="5" t="s">
        <v>13124</v>
      </c>
      <c r="J1840" s="5" t="s">
        <v>12964</v>
      </c>
      <c r="K1840" s="5" t="str">
        <f t="shared" si="56"/>
        <v>https://www.google.com/maps?q=-12.093451, -41.648083</v>
      </c>
      <c r="L1840" s="5" t="str">
        <f t="shared" si="57"/>
        <v>Abrir no Maps</v>
      </c>
      <c r="M1840" t="s">
        <v>13125</v>
      </c>
      <c r="N1840" s="5"/>
      <c r="O1840" t="str">
        <f>VLOOKUP(G1840,'[1]CONFIG.'!$B:$C,2,0)</f>
        <v>ARISTON</v>
      </c>
      <c r="P1840" t="str">
        <f>VLOOKUP(O1840,'[1]CONFIG.'!$C:$D,2,0)</f>
        <v>74 99384078</v>
      </c>
    </row>
    <row r="1841" spans="1:16" x14ac:dyDescent="0.3">
      <c r="A1841" t="s">
        <v>13126</v>
      </c>
      <c r="B1841" t="s">
        <v>13127</v>
      </c>
      <c r="C1841" t="s">
        <v>13128</v>
      </c>
      <c r="D1841" t="s">
        <v>488</v>
      </c>
      <c r="E1841" t="s">
        <v>13129</v>
      </c>
      <c r="F1841" t="s">
        <v>137</v>
      </c>
      <c r="G1841">
        <v>202</v>
      </c>
      <c r="H1841">
        <v>500</v>
      </c>
      <c r="I1841" s="5" t="s">
        <v>13130</v>
      </c>
      <c r="J1841" s="5" t="s">
        <v>13131</v>
      </c>
      <c r="K1841" s="5" t="str">
        <f t="shared" si="56"/>
        <v>https://www.google.com/maps?q=-12.246670, -41.616577</v>
      </c>
      <c r="L1841" s="5" t="str">
        <f t="shared" si="57"/>
        <v>Abrir no Maps</v>
      </c>
      <c r="M1841" t="s">
        <v>7502</v>
      </c>
      <c r="N1841" s="5"/>
      <c r="O1841" t="str">
        <f>VLOOKUP(G1841,'[1]CONFIG.'!$B:$C,2,0)</f>
        <v>ARISTON</v>
      </c>
      <c r="P1841" t="str">
        <f>VLOOKUP(O1841,'[1]CONFIG.'!$C:$D,2,0)</f>
        <v>74 99384078</v>
      </c>
    </row>
    <row r="1842" spans="1:16" x14ac:dyDescent="0.3">
      <c r="A1842" t="s">
        <v>13132</v>
      </c>
      <c r="B1842" t="s">
        <v>13133</v>
      </c>
      <c r="C1842" t="s">
        <v>13134</v>
      </c>
      <c r="D1842" t="s">
        <v>7835</v>
      </c>
      <c r="E1842" t="s">
        <v>13135</v>
      </c>
      <c r="F1842" t="s">
        <v>13136</v>
      </c>
      <c r="G1842">
        <v>202</v>
      </c>
      <c r="H1842">
        <v>500</v>
      </c>
      <c r="I1842" s="5" t="s">
        <v>13137</v>
      </c>
      <c r="J1842" s="5" t="s">
        <v>13138</v>
      </c>
      <c r="K1842" s="5" t="str">
        <f t="shared" si="56"/>
        <v>https://www.google.com/maps?q=-12.086596, -41.648586</v>
      </c>
      <c r="L1842" s="5" t="str">
        <f t="shared" si="57"/>
        <v>Abrir no Maps</v>
      </c>
      <c r="M1842" t="s">
        <v>13139</v>
      </c>
      <c r="N1842" s="5"/>
      <c r="O1842" t="str">
        <f>VLOOKUP(G1842,'[1]CONFIG.'!$B:$C,2,0)</f>
        <v>ARISTON</v>
      </c>
      <c r="P1842" t="str">
        <f>VLOOKUP(O1842,'[1]CONFIG.'!$C:$D,2,0)</f>
        <v>74 99384078</v>
      </c>
    </row>
    <row r="1843" spans="1:16" x14ac:dyDescent="0.3">
      <c r="A1843" t="s">
        <v>13140</v>
      </c>
      <c r="B1843" t="s">
        <v>13141</v>
      </c>
      <c r="C1843" t="s">
        <v>13142</v>
      </c>
      <c r="D1843" t="s">
        <v>7835</v>
      </c>
      <c r="E1843" t="s">
        <v>13143</v>
      </c>
      <c r="F1843" t="s">
        <v>137</v>
      </c>
      <c r="G1843">
        <v>202</v>
      </c>
      <c r="H1843">
        <v>500</v>
      </c>
      <c r="I1843" s="5" t="s">
        <v>13144</v>
      </c>
      <c r="J1843" s="5" t="s">
        <v>13145</v>
      </c>
      <c r="K1843" s="5" t="str">
        <f t="shared" si="56"/>
        <v>https://www.google.com/maps?q=-12.088481, -41.649380</v>
      </c>
      <c r="L1843" s="5" t="str">
        <f t="shared" si="57"/>
        <v>Abrir no Maps</v>
      </c>
      <c r="M1843" t="s">
        <v>13146</v>
      </c>
      <c r="N1843" s="5"/>
      <c r="O1843" t="str">
        <f>VLOOKUP(G1843,'[1]CONFIG.'!$B:$C,2,0)</f>
        <v>ARISTON</v>
      </c>
      <c r="P1843" t="str">
        <f>VLOOKUP(O1843,'[1]CONFIG.'!$C:$D,2,0)</f>
        <v>74 99384078</v>
      </c>
    </row>
    <row r="1844" spans="1:16" x14ac:dyDescent="0.3">
      <c r="A1844" t="s">
        <v>13147</v>
      </c>
      <c r="B1844" t="s">
        <v>13148</v>
      </c>
      <c r="C1844" t="s">
        <v>13149</v>
      </c>
      <c r="D1844" t="s">
        <v>7835</v>
      </c>
      <c r="E1844" t="s">
        <v>13150</v>
      </c>
      <c r="F1844" t="s">
        <v>13031</v>
      </c>
      <c r="G1844">
        <v>202</v>
      </c>
      <c r="H1844">
        <v>500</v>
      </c>
      <c r="I1844" s="5" t="s">
        <v>13151</v>
      </c>
      <c r="J1844" s="5" t="s">
        <v>13152</v>
      </c>
      <c r="K1844" s="5" t="str">
        <f t="shared" si="56"/>
        <v>https://www.google.com/maps?q=-12.016328, -41.669247</v>
      </c>
      <c r="L1844" s="5" t="str">
        <f t="shared" si="57"/>
        <v>Abrir no Maps</v>
      </c>
      <c r="M1844" t="s">
        <v>13153</v>
      </c>
      <c r="N1844" s="5"/>
      <c r="O1844" t="str">
        <f>VLOOKUP(G1844,'[1]CONFIG.'!$B:$C,2,0)</f>
        <v>ARISTON</v>
      </c>
      <c r="P1844" t="str">
        <f>VLOOKUP(O1844,'[1]CONFIG.'!$C:$D,2,0)</f>
        <v>74 99384078</v>
      </c>
    </row>
    <row r="1845" spans="1:16" x14ac:dyDescent="0.3">
      <c r="A1845" t="s">
        <v>13154</v>
      </c>
      <c r="B1845" t="s">
        <v>13155</v>
      </c>
      <c r="C1845" t="s">
        <v>13156</v>
      </c>
      <c r="D1845" t="s">
        <v>7835</v>
      </c>
      <c r="E1845" t="s">
        <v>13157</v>
      </c>
      <c r="F1845" t="s">
        <v>137</v>
      </c>
      <c r="G1845">
        <v>202</v>
      </c>
      <c r="H1845">
        <v>500</v>
      </c>
      <c r="I1845" s="5" t="s">
        <v>13158</v>
      </c>
      <c r="J1845" s="5" t="s">
        <v>13159</v>
      </c>
      <c r="K1845" s="5" t="str">
        <f t="shared" si="56"/>
        <v>https://www.google.com/maps?q=-12.089167, -41.648613</v>
      </c>
      <c r="L1845" s="5" t="str">
        <f t="shared" si="57"/>
        <v>Abrir no Maps</v>
      </c>
      <c r="M1845" t="s">
        <v>13160</v>
      </c>
      <c r="N1845" s="5"/>
      <c r="O1845" t="str">
        <f>VLOOKUP(G1845,'[1]CONFIG.'!$B:$C,2,0)</f>
        <v>ARISTON</v>
      </c>
      <c r="P1845" t="str">
        <f>VLOOKUP(O1845,'[1]CONFIG.'!$C:$D,2,0)</f>
        <v>74 99384078</v>
      </c>
    </row>
    <row r="1846" spans="1:16" x14ac:dyDescent="0.3">
      <c r="A1846" t="s">
        <v>13161</v>
      </c>
      <c r="B1846" t="s">
        <v>13162</v>
      </c>
      <c r="C1846" t="s">
        <v>13163</v>
      </c>
      <c r="D1846" t="s">
        <v>7835</v>
      </c>
      <c r="E1846" t="s">
        <v>13164</v>
      </c>
      <c r="F1846" t="s">
        <v>13165</v>
      </c>
      <c r="G1846">
        <v>210</v>
      </c>
      <c r="H1846">
        <v>500</v>
      </c>
      <c r="I1846" s="5" t="s">
        <v>13166</v>
      </c>
      <c r="J1846" s="5" t="s">
        <v>13167</v>
      </c>
      <c r="K1846" s="5" t="str">
        <f t="shared" si="56"/>
        <v>https://www.google.com/maps?q=-11.928780, -41.856327</v>
      </c>
      <c r="L1846" s="5" t="str">
        <f t="shared" si="57"/>
        <v>Abrir no Maps</v>
      </c>
      <c r="M1846" t="s">
        <v>13168</v>
      </c>
      <c r="N1846" s="5"/>
      <c r="O1846" t="str">
        <f>VLOOKUP(G1846,'[1]CONFIG.'!$B:$C,2,0)</f>
        <v>SILAS</v>
      </c>
      <c r="P1846" t="str">
        <f>VLOOKUP(O1846,'[1]CONFIG.'!$C:$D,2,0)</f>
        <v>74 98041875</v>
      </c>
    </row>
    <row r="1847" spans="1:16" x14ac:dyDescent="0.3">
      <c r="A1847" t="s">
        <v>13169</v>
      </c>
      <c r="B1847" t="s">
        <v>13170</v>
      </c>
      <c r="C1847" t="s">
        <v>13171</v>
      </c>
      <c r="D1847" t="s">
        <v>7835</v>
      </c>
      <c r="E1847" t="s">
        <v>13172</v>
      </c>
      <c r="F1847" t="s">
        <v>13165</v>
      </c>
      <c r="G1847">
        <v>210</v>
      </c>
      <c r="H1847">
        <v>500</v>
      </c>
      <c r="I1847" s="5" t="s">
        <v>13173</v>
      </c>
      <c r="J1847" s="5" t="s">
        <v>13174</v>
      </c>
      <c r="K1847" s="5" t="str">
        <f t="shared" si="56"/>
        <v>https://www.google.com/maps?q=-11.928489, -41.855446</v>
      </c>
      <c r="L1847" s="5" t="str">
        <f t="shared" si="57"/>
        <v>Abrir no Maps</v>
      </c>
      <c r="M1847" t="s">
        <v>13175</v>
      </c>
      <c r="N1847" s="5"/>
      <c r="O1847" t="str">
        <f>VLOOKUP(G1847,'[1]CONFIG.'!$B:$C,2,0)</f>
        <v>SILAS</v>
      </c>
      <c r="P1847" t="str">
        <f>VLOOKUP(O1847,'[1]CONFIG.'!$C:$D,2,0)</f>
        <v>74 98041875</v>
      </c>
    </row>
    <row r="1848" spans="1:16" x14ac:dyDescent="0.3">
      <c r="A1848" t="s">
        <v>13176</v>
      </c>
      <c r="B1848" t="s">
        <v>13177</v>
      </c>
      <c r="C1848" t="s">
        <v>13178</v>
      </c>
      <c r="D1848" t="s">
        <v>7835</v>
      </c>
      <c r="E1848" t="s">
        <v>13179</v>
      </c>
      <c r="F1848" t="s">
        <v>137</v>
      </c>
      <c r="G1848">
        <v>202</v>
      </c>
      <c r="H1848">
        <v>500</v>
      </c>
      <c r="I1848" s="5" t="s">
        <v>13180</v>
      </c>
      <c r="J1848" s="5" t="s">
        <v>13181</v>
      </c>
      <c r="K1848" s="5" t="str">
        <f t="shared" si="56"/>
        <v>https://www.google.com/maps?q=-12.094167, -41.651943</v>
      </c>
      <c r="L1848" s="5" t="str">
        <f t="shared" si="57"/>
        <v>Abrir no Maps</v>
      </c>
      <c r="M1848" t="s">
        <v>13182</v>
      </c>
      <c r="N1848" s="5"/>
      <c r="O1848" t="str">
        <f>VLOOKUP(G1848,'[1]CONFIG.'!$B:$C,2,0)</f>
        <v>ARISTON</v>
      </c>
      <c r="P1848" t="str">
        <f>VLOOKUP(O1848,'[1]CONFIG.'!$C:$D,2,0)</f>
        <v>74 99384078</v>
      </c>
    </row>
    <row r="1849" spans="1:16" x14ac:dyDescent="0.3">
      <c r="A1849" t="s">
        <v>13183</v>
      </c>
      <c r="B1849" t="s">
        <v>13184</v>
      </c>
      <c r="C1849" t="s">
        <v>13185</v>
      </c>
      <c r="D1849" t="s">
        <v>7835</v>
      </c>
      <c r="E1849" t="s">
        <v>13186</v>
      </c>
      <c r="F1849" t="s">
        <v>137</v>
      </c>
      <c r="G1849">
        <v>202</v>
      </c>
      <c r="H1849">
        <v>500</v>
      </c>
      <c r="I1849" s="5" t="s">
        <v>13187</v>
      </c>
      <c r="J1849" s="5" t="s">
        <v>13188</v>
      </c>
      <c r="K1849" s="5" t="str">
        <f t="shared" si="56"/>
        <v>https://www.google.com/maps?q=-12.091463, -41.649258</v>
      </c>
      <c r="L1849" s="5" t="str">
        <f t="shared" si="57"/>
        <v>Abrir no Maps</v>
      </c>
      <c r="M1849" t="s">
        <v>13189</v>
      </c>
      <c r="N1849" s="5"/>
      <c r="O1849" t="str">
        <f>VLOOKUP(G1849,'[1]CONFIG.'!$B:$C,2,0)</f>
        <v>ARISTON</v>
      </c>
      <c r="P1849" t="str">
        <f>VLOOKUP(O1849,'[1]CONFIG.'!$C:$D,2,0)</f>
        <v>74 99384078</v>
      </c>
    </row>
    <row r="1850" spans="1:16" x14ac:dyDescent="0.3">
      <c r="A1850" t="s">
        <v>13190</v>
      </c>
      <c r="B1850" t="s">
        <v>13191</v>
      </c>
      <c r="C1850" t="s">
        <v>13192</v>
      </c>
      <c r="D1850" t="s">
        <v>7835</v>
      </c>
      <c r="E1850" t="s">
        <v>13193</v>
      </c>
      <c r="F1850" t="s">
        <v>13165</v>
      </c>
      <c r="G1850">
        <v>210</v>
      </c>
      <c r="H1850">
        <v>500</v>
      </c>
      <c r="I1850" s="5" t="s">
        <v>13194</v>
      </c>
      <c r="J1850" s="5" t="s">
        <v>13195</v>
      </c>
      <c r="K1850" s="5" t="str">
        <f t="shared" si="56"/>
        <v>https://www.google.com/maps?q=-11.928883, -41.856430</v>
      </c>
      <c r="L1850" s="5" t="str">
        <f t="shared" si="57"/>
        <v>Abrir no Maps</v>
      </c>
      <c r="M1850" t="s">
        <v>13196</v>
      </c>
      <c r="N1850" s="5"/>
      <c r="O1850" t="str">
        <f>VLOOKUP(G1850,'[1]CONFIG.'!$B:$C,2,0)</f>
        <v>SILAS</v>
      </c>
      <c r="P1850" t="str">
        <f>VLOOKUP(O1850,'[1]CONFIG.'!$C:$D,2,0)</f>
        <v>74 98041875</v>
      </c>
    </row>
    <row r="1851" spans="1:16" x14ac:dyDescent="0.3">
      <c r="A1851" t="s">
        <v>13197</v>
      </c>
      <c r="B1851" t="s">
        <v>13198</v>
      </c>
      <c r="C1851" t="s">
        <v>13199</v>
      </c>
      <c r="D1851" t="s">
        <v>7835</v>
      </c>
      <c r="E1851" t="s">
        <v>13200</v>
      </c>
      <c r="F1851" t="s">
        <v>137</v>
      </c>
      <c r="G1851">
        <v>202</v>
      </c>
      <c r="H1851">
        <v>500</v>
      </c>
      <c r="I1851" s="5" t="s">
        <v>13201</v>
      </c>
      <c r="J1851" s="5" t="s">
        <v>13202</v>
      </c>
      <c r="K1851" s="5" t="str">
        <f t="shared" si="56"/>
        <v>https://www.google.com/maps?q=-12.087247, -41.648660</v>
      </c>
      <c r="L1851" s="5" t="str">
        <f t="shared" si="57"/>
        <v>Abrir no Maps</v>
      </c>
      <c r="M1851" t="s">
        <v>13203</v>
      </c>
      <c r="N1851" s="5"/>
      <c r="O1851" t="str">
        <f>VLOOKUP(G1851,'[1]CONFIG.'!$B:$C,2,0)</f>
        <v>ARISTON</v>
      </c>
      <c r="P1851" t="str">
        <f>VLOOKUP(O1851,'[1]CONFIG.'!$C:$D,2,0)</f>
        <v>74 99384078</v>
      </c>
    </row>
    <row r="1852" spans="1:16" x14ac:dyDescent="0.3">
      <c r="A1852" t="s">
        <v>13204</v>
      </c>
      <c r="B1852" t="s">
        <v>13205</v>
      </c>
      <c r="C1852" t="s">
        <v>13206</v>
      </c>
      <c r="D1852" t="s">
        <v>7835</v>
      </c>
      <c r="E1852" t="s">
        <v>13207</v>
      </c>
      <c r="F1852" t="s">
        <v>137</v>
      </c>
      <c r="G1852">
        <v>202</v>
      </c>
      <c r="H1852">
        <v>500</v>
      </c>
      <c r="I1852" s="5" t="s">
        <v>13208</v>
      </c>
      <c r="J1852" s="5" t="s">
        <v>13209</v>
      </c>
      <c r="K1852" s="5" t="str">
        <f t="shared" si="56"/>
        <v>https://www.google.com/maps?q=-12.087482, -41.648937</v>
      </c>
      <c r="L1852" s="5" t="str">
        <f t="shared" si="57"/>
        <v>Abrir no Maps</v>
      </c>
      <c r="M1852" t="s">
        <v>13210</v>
      </c>
      <c r="N1852" s="5"/>
      <c r="O1852" t="str">
        <f>VLOOKUP(G1852,'[1]CONFIG.'!$B:$C,2,0)</f>
        <v>ARISTON</v>
      </c>
      <c r="P1852" t="str">
        <f>VLOOKUP(O1852,'[1]CONFIG.'!$C:$D,2,0)</f>
        <v>74 99384078</v>
      </c>
    </row>
    <row r="1853" spans="1:16" x14ac:dyDescent="0.3">
      <c r="A1853" t="s">
        <v>13211</v>
      </c>
      <c r="B1853" t="s">
        <v>13212</v>
      </c>
      <c r="C1853" t="s">
        <v>13213</v>
      </c>
      <c r="D1853" t="s">
        <v>7835</v>
      </c>
      <c r="E1853" t="s">
        <v>13214</v>
      </c>
      <c r="F1853" t="s">
        <v>137</v>
      </c>
      <c r="G1853">
        <v>202</v>
      </c>
      <c r="H1853">
        <v>500</v>
      </c>
      <c r="I1853" s="5" t="s">
        <v>13215</v>
      </c>
      <c r="J1853" s="5" t="s">
        <v>13216</v>
      </c>
      <c r="K1853" s="5" t="str">
        <f t="shared" si="56"/>
        <v>https://www.google.com/maps?q=-12.092096, -41.650800</v>
      </c>
      <c r="L1853" s="5" t="str">
        <f t="shared" si="57"/>
        <v>Abrir no Maps</v>
      </c>
      <c r="M1853" t="s">
        <v>13217</v>
      </c>
      <c r="N1853" s="5"/>
      <c r="O1853" t="str">
        <f>VLOOKUP(G1853,'[1]CONFIG.'!$B:$C,2,0)</f>
        <v>ARISTON</v>
      </c>
      <c r="P1853" t="str">
        <f>VLOOKUP(O1853,'[1]CONFIG.'!$C:$D,2,0)</f>
        <v>74 99384078</v>
      </c>
    </row>
    <row r="1854" spans="1:16" x14ac:dyDescent="0.3">
      <c r="A1854" t="s">
        <v>13218</v>
      </c>
      <c r="B1854" t="s">
        <v>13219</v>
      </c>
      <c r="C1854" t="s">
        <v>13220</v>
      </c>
      <c r="D1854" t="s">
        <v>7835</v>
      </c>
      <c r="E1854" t="s">
        <v>13221</v>
      </c>
      <c r="F1854" t="s">
        <v>13039</v>
      </c>
      <c r="G1854">
        <v>202</v>
      </c>
      <c r="H1854">
        <v>500</v>
      </c>
      <c r="I1854" s="5" t="s">
        <v>13222</v>
      </c>
      <c r="J1854" s="5" t="s">
        <v>13223</v>
      </c>
      <c r="K1854" s="5" t="str">
        <f t="shared" si="56"/>
        <v>https://www.google.com/maps?q=-12.086396, -41.608612</v>
      </c>
      <c r="L1854" s="5" t="str">
        <f t="shared" si="57"/>
        <v>Abrir no Maps</v>
      </c>
      <c r="M1854" t="s">
        <v>13224</v>
      </c>
      <c r="N1854" s="5"/>
      <c r="O1854" t="str">
        <f>VLOOKUP(G1854,'[1]CONFIG.'!$B:$C,2,0)</f>
        <v>ARISTON</v>
      </c>
      <c r="P1854" t="str">
        <f>VLOOKUP(O1854,'[1]CONFIG.'!$C:$D,2,0)</f>
        <v>74 99384078</v>
      </c>
    </row>
    <row r="1855" spans="1:16" x14ac:dyDescent="0.3">
      <c r="A1855" t="s">
        <v>13225</v>
      </c>
      <c r="B1855" t="s">
        <v>13226</v>
      </c>
      <c r="C1855" t="s">
        <v>13227</v>
      </c>
      <c r="D1855" t="s">
        <v>7835</v>
      </c>
      <c r="E1855" t="s">
        <v>13228</v>
      </c>
      <c r="F1855" t="s">
        <v>137</v>
      </c>
      <c r="G1855">
        <v>202</v>
      </c>
      <c r="H1855">
        <v>500</v>
      </c>
      <c r="I1855" s="5" t="s">
        <v>13229</v>
      </c>
      <c r="J1855" s="5" t="s">
        <v>13230</v>
      </c>
      <c r="K1855" s="5" t="str">
        <f t="shared" si="56"/>
        <v>https://www.google.com/maps?q=-12.091468, -41.649220</v>
      </c>
      <c r="L1855" s="5" t="str">
        <f t="shared" si="57"/>
        <v>Abrir no Maps</v>
      </c>
      <c r="M1855" t="s">
        <v>13189</v>
      </c>
      <c r="N1855" s="5"/>
      <c r="O1855" t="str">
        <f>VLOOKUP(G1855,'[1]CONFIG.'!$B:$C,2,0)</f>
        <v>ARISTON</v>
      </c>
      <c r="P1855" t="str">
        <f>VLOOKUP(O1855,'[1]CONFIG.'!$C:$D,2,0)</f>
        <v>74 99384078</v>
      </c>
    </row>
    <row r="1856" spans="1:16" x14ac:dyDescent="0.3">
      <c r="A1856" t="s">
        <v>13231</v>
      </c>
      <c r="B1856" t="s">
        <v>13232</v>
      </c>
      <c r="C1856" t="s">
        <v>13233</v>
      </c>
      <c r="D1856" t="s">
        <v>7835</v>
      </c>
      <c r="E1856" t="s">
        <v>13234</v>
      </c>
      <c r="F1856" t="s">
        <v>137</v>
      </c>
      <c r="G1856">
        <v>202</v>
      </c>
      <c r="H1856">
        <v>500</v>
      </c>
      <c r="I1856" s="5" t="s">
        <v>13235</v>
      </c>
      <c r="J1856" s="5" t="s">
        <v>13236</v>
      </c>
      <c r="K1856" s="5" t="str">
        <f t="shared" si="56"/>
        <v>https://www.google.com/maps?q=-12.090390, -41.650223</v>
      </c>
      <c r="L1856" s="5" t="str">
        <f t="shared" si="57"/>
        <v>Abrir no Maps</v>
      </c>
      <c r="M1856" t="s">
        <v>13237</v>
      </c>
      <c r="N1856" s="5"/>
      <c r="O1856" t="str">
        <f>VLOOKUP(G1856,'[1]CONFIG.'!$B:$C,2,0)</f>
        <v>ARISTON</v>
      </c>
      <c r="P1856" t="str">
        <f>VLOOKUP(O1856,'[1]CONFIG.'!$C:$D,2,0)</f>
        <v>74 99384078</v>
      </c>
    </row>
    <row r="1857" spans="1:16" x14ac:dyDescent="0.3">
      <c r="A1857" t="s">
        <v>13238</v>
      </c>
      <c r="B1857" t="s">
        <v>13239</v>
      </c>
      <c r="C1857" t="s">
        <v>13240</v>
      </c>
      <c r="D1857" t="s">
        <v>7835</v>
      </c>
      <c r="E1857" t="s">
        <v>13241</v>
      </c>
      <c r="F1857" t="s">
        <v>137</v>
      </c>
      <c r="G1857">
        <v>202</v>
      </c>
      <c r="H1857">
        <v>500</v>
      </c>
      <c r="I1857" s="5" t="s">
        <v>13242</v>
      </c>
      <c r="J1857" s="5" t="s">
        <v>13243</v>
      </c>
      <c r="K1857" s="5" t="str">
        <f t="shared" si="56"/>
        <v>https://www.google.com/maps?q=-12.091723, -41.648678</v>
      </c>
      <c r="L1857" s="5" t="str">
        <f t="shared" si="57"/>
        <v>Abrir no Maps</v>
      </c>
      <c r="M1857" t="s">
        <v>13244</v>
      </c>
      <c r="N1857" s="5"/>
      <c r="O1857" t="str">
        <f>VLOOKUP(G1857,'[1]CONFIG.'!$B:$C,2,0)</f>
        <v>ARISTON</v>
      </c>
      <c r="P1857" t="str">
        <f>VLOOKUP(O1857,'[1]CONFIG.'!$C:$D,2,0)</f>
        <v>74 99384078</v>
      </c>
    </row>
    <row r="1858" spans="1:16" x14ac:dyDescent="0.3">
      <c r="A1858" t="s">
        <v>13245</v>
      </c>
      <c r="B1858" t="s">
        <v>13246</v>
      </c>
      <c r="C1858" t="s">
        <v>13247</v>
      </c>
      <c r="D1858" t="s">
        <v>7835</v>
      </c>
      <c r="E1858" t="s">
        <v>13248</v>
      </c>
      <c r="F1858" t="s">
        <v>12992</v>
      </c>
      <c r="G1858">
        <v>202</v>
      </c>
      <c r="H1858">
        <v>500</v>
      </c>
      <c r="I1858" s="5" t="s">
        <v>13249</v>
      </c>
      <c r="J1858" s="5" t="s">
        <v>13250</v>
      </c>
      <c r="K1858" s="5" t="str">
        <f t="shared" si="56"/>
        <v>https://www.google.com/maps?q=-12.015113, -41.669678</v>
      </c>
      <c r="L1858" s="5" t="str">
        <f t="shared" si="57"/>
        <v>Abrir no Maps</v>
      </c>
      <c r="M1858" t="s">
        <v>13251</v>
      </c>
      <c r="N1858" s="5"/>
      <c r="O1858" t="str">
        <f>VLOOKUP(G1858,'[1]CONFIG.'!$B:$C,2,0)</f>
        <v>ARISTON</v>
      </c>
      <c r="P1858" t="str">
        <f>VLOOKUP(O1858,'[1]CONFIG.'!$C:$D,2,0)</f>
        <v>74 99384078</v>
      </c>
    </row>
    <row r="1859" spans="1:16" x14ac:dyDescent="0.3">
      <c r="A1859" t="s">
        <v>13252</v>
      </c>
      <c r="B1859" t="s">
        <v>13253</v>
      </c>
      <c r="C1859" t="s">
        <v>13254</v>
      </c>
      <c r="D1859" t="s">
        <v>7835</v>
      </c>
      <c r="E1859" t="s">
        <v>13255</v>
      </c>
      <c r="F1859" t="s">
        <v>13256</v>
      </c>
      <c r="G1859">
        <v>210</v>
      </c>
      <c r="H1859">
        <v>500</v>
      </c>
      <c r="I1859" s="5" t="s">
        <v>13257</v>
      </c>
      <c r="J1859" s="5" t="s">
        <v>13258</v>
      </c>
      <c r="K1859" s="5" t="str">
        <f t="shared" si="56"/>
        <v>https://www.google.com/maps?q=-11.929580, -41.852436</v>
      </c>
      <c r="L1859" s="5" t="str">
        <f t="shared" si="57"/>
        <v>Abrir no Maps</v>
      </c>
      <c r="M1859" t="s">
        <v>13259</v>
      </c>
      <c r="N1859" s="5"/>
      <c r="O1859" t="str">
        <f>VLOOKUP(G1859,'[1]CONFIG.'!$B:$C,2,0)</f>
        <v>SILAS</v>
      </c>
      <c r="P1859" t="str">
        <f>VLOOKUP(O1859,'[1]CONFIG.'!$C:$D,2,0)</f>
        <v>74 98041875</v>
      </c>
    </row>
    <row r="1860" spans="1:16" x14ac:dyDescent="0.3">
      <c r="A1860" t="s">
        <v>13260</v>
      </c>
      <c r="B1860" t="s">
        <v>13261</v>
      </c>
      <c r="C1860" t="s">
        <v>13262</v>
      </c>
      <c r="D1860" t="s">
        <v>4621</v>
      </c>
      <c r="E1860" t="s">
        <v>13263</v>
      </c>
      <c r="F1860" t="s">
        <v>13264</v>
      </c>
      <c r="G1860">
        <v>210</v>
      </c>
      <c r="H1860">
        <v>500</v>
      </c>
      <c r="I1860" s="5" t="s">
        <v>13265</v>
      </c>
      <c r="J1860" s="5" t="s">
        <v>13266</v>
      </c>
      <c r="K1860" s="5" t="str">
        <f t="shared" ref="K1860:K1923" si="58">"https://www.google.com/maps?q="&amp;""&amp;LEFT(I1860,3)&amp;"."&amp;RIGHT(I1860,6)&amp;", "&amp;LEFT(J1860,3)&amp;"."&amp;RIGHT(J1860,6)</f>
        <v>https://www.google.com/maps?q=-11.911297, -41.745449</v>
      </c>
      <c r="L1860" s="5" t="str">
        <f t="shared" ref="L1860:L1923" si="59">HYPERLINK(K1860,"Abrir no Maps")</f>
        <v>Abrir no Maps</v>
      </c>
      <c r="M1860" t="s">
        <v>13267</v>
      </c>
      <c r="N1860" s="5"/>
      <c r="O1860" t="str">
        <f>VLOOKUP(G1860,'[1]CONFIG.'!$B:$C,2,0)</f>
        <v>SILAS</v>
      </c>
      <c r="P1860" t="str">
        <f>VLOOKUP(O1860,'[1]CONFIG.'!$C:$D,2,0)</f>
        <v>74 98041875</v>
      </c>
    </row>
    <row r="1861" spans="1:16" x14ac:dyDescent="0.3">
      <c r="A1861" t="s">
        <v>13268</v>
      </c>
      <c r="B1861" t="s">
        <v>13269</v>
      </c>
      <c r="C1861" t="s">
        <v>13270</v>
      </c>
      <c r="D1861" t="s">
        <v>7835</v>
      </c>
      <c r="E1861" t="s">
        <v>13271</v>
      </c>
      <c r="F1861" t="s">
        <v>13039</v>
      </c>
      <c r="G1861">
        <v>202</v>
      </c>
      <c r="H1861">
        <v>500</v>
      </c>
      <c r="I1861" s="5" t="s">
        <v>13272</v>
      </c>
      <c r="J1861" s="5" t="s">
        <v>13273</v>
      </c>
      <c r="K1861" s="5" t="str">
        <f t="shared" si="58"/>
        <v>https://www.google.com/maps?q=-12.086273, -41.608560</v>
      </c>
      <c r="L1861" s="5" t="str">
        <f t="shared" si="59"/>
        <v>Abrir no Maps</v>
      </c>
      <c r="M1861" t="s">
        <v>13274</v>
      </c>
      <c r="N1861" s="5"/>
      <c r="O1861" t="str">
        <f>VLOOKUP(G1861,'[1]CONFIG.'!$B:$C,2,0)</f>
        <v>ARISTON</v>
      </c>
      <c r="P1861" t="str">
        <f>VLOOKUP(O1861,'[1]CONFIG.'!$C:$D,2,0)</f>
        <v>74 99384078</v>
      </c>
    </row>
    <row r="1862" spans="1:16" x14ac:dyDescent="0.3">
      <c r="A1862" t="s">
        <v>13275</v>
      </c>
      <c r="B1862" t="s">
        <v>13276</v>
      </c>
      <c r="C1862" t="s">
        <v>13277</v>
      </c>
      <c r="D1862" t="s">
        <v>7835</v>
      </c>
      <c r="E1862" t="s">
        <v>13278</v>
      </c>
      <c r="F1862" t="s">
        <v>137</v>
      </c>
      <c r="G1862">
        <v>202</v>
      </c>
      <c r="H1862">
        <v>500</v>
      </c>
      <c r="I1862" s="5" t="s">
        <v>13279</v>
      </c>
      <c r="J1862" s="5" t="s">
        <v>13280</v>
      </c>
      <c r="K1862" s="5" t="str">
        <f t="shared" si="58"/>
        <v>https://www.google.com/maps?q=-12.087913, -41.648556</v>
      </c>
      <c r="L1862" s="5" t="str">
        <f t="shared" si="59"/>
        <v>Abrir no Maps</v>
      </c>
      <c r="M1862" t="s">
        <v>13281</v>
      </c>
      <c r="N1862" s="5"/>
      <c r="O1862" t="str">
        <f>VLOOKUP(G1862,'[1]CONFIG.'!$B:$C,2,0)</f>
        <v>ARISTON</v>
      </c>
      <c r="P1862" t="str">
        <f>VLOOKUP(O1862,'[1]CONFIG.'!$C:$D,2,0)</f>
        <v>74 99384078</v>
      </c>
    </row>
    <row r="1863" spans="1:16" x14ac:dyDescent="0.3">
      <c r="A1863" t="s">
        <v>13282</v>
      </c>
      <c r="B1863" t="s">
        <v>13283</v>
      </c>
      <c r="C1863" t="s">
        <v>13284</v>
      </c>
      <c r="D1863" t="s">
        <v>7835</v>
      </c>
      <c r="E1863" t="s">
        <v>13285</v>
      </c>
      <c r="F1863" t="s">
        <v>137</v>
      </c>
      <c r="G1863">
        <v>202</v>
      </c>
      <c r="H1863">
        <v>500</v>
      </c>
      <c r="I1863" s="5" t="s">
        <v>7837</v>
      </c>
      <c r="J1863" s="5" t="s">
        <v>13286</v>
      </c>
      <c r="K1863" s="5" t="str">
        <f t="shared" si="58"/>
        <v>https://www.google.com/maps?q=-12.089884, -41.649742</v>
      </c>
      <c r="L1863" s="5" t="str">
        <f t="shared" si="59"/>
        <v>Abrir no Maps</v>
      </c>
      <c r="M1863" t="s">
        <v>13287</v>
      </c>
      <c r="N1863" s="5"/>
      <c r="O1863" t="str">
        <f>VLOOKUP(G1863,'[1]CONFIG.'!$B:$C,2,0)</f>
        <v>ARISTON</v>
      </c>
      <c r="P1863" t="str">
        <f>VLOOKUP(O1863,'[1]CONFIG.'!$C:$D,2,0)</f>
        <v>74 99384078</v>
      </c>
    </row>
    <row r="1864" spans="1:16" x14ac:dyDescent="0.3">
      <c r="A1864" t="s">
        <v>13288</v>
      </c>
      <c r="B1864" t="s">
        <v>13289</v>
      </c>
      <c r="C1864" t="s">
        <v>13290</v>
      </c>
      <c r="D1864" t="s">
        <v>7835</v>
      </c>
      <c r="E1864" t="s">
        <v>13291</v>
      </c>
      <c r="F1864" t="s">
        <v>13292</v>
      </c>
      <c r="G1864">
        <v>210</v>
      </c>
      <c r="H1864">
        <v>500</v>
      </c>
      <c r="I1864" s="5" t="s">
        <v>13293</v>
      </c>
      <c r="J1864" s="5" t="s">
        <v>13294</v>
      </c>
      <c r="K1864" s="5" t="str">
        <f t="shared" si="58"/>
        <v>https://www.google.com/maps?q=-11.928730, -41.856130</v>
      </c>
      <c r="L1864" s="5" t="str">
        <f t="shared" si="59"/>
        <v>Abrir no Maps</v>
      </c>
      <c r="M1864" t="s">
        <v>13168</v>
      </c>
      <c r="N1864" s="5"/>
      <c r="O1864" t="str">
        <f>VLOOKUP(G1864,'[1]CONFIG.'!$B:$C,2,0)</f>
        <v>SILAS</v>
      </c>
      <c r="P1864" t="str">
        <f>VLOOKUP(O1864,'[1]CONFIG.'!$C:$D,2,0)</f>
        <v>74 98041875</v>
      </c>
    </row>
    <row r="1865" spans="1:16" x14ac:dyDescent="0.3">
      <c r="A1865" t="s">
        <v>13295</v>
      </c>
      <c r="B1865" t="s">
        <v>13296</v>
      </c>
      <c r="C1865" t="s">
        <v>13297</v>
      </c>
      <c r="D1865" t="s">
        <v>7835</v>
      </c>
      <c r="E1865" t="s">
        <v>13298</v>
      </c>
      <c r="F1865" t="s">
        <v>13292</v>
      </c>
      <c r="G1865">
        <v>210</v>
      </c>
      <c r="H1865">
        <v>500</v>
      </c>
      <c r="I1865" s="5" t="s">
        <v>13299</v>
      </c>
      <c r="J1865" s="5" t="s">
        <v>13300</v>
      </c>
      <c r="K1865" s="5" t="str">
        <f t="shared" si="58"/>
        <v>https://www.google.com/maps?q=-11.929605, -41.852352</v>
      </c>
      <c r="L1865" s="5" t="str">
        <f t="shared" si="59"/>
        <v>Abrir no Maps</v>
      </c>
      <c r="M1865" t="s">
        <v>13301</v>
      </c>
      <c r="N1865" s="5"/>
      <c r="O1865" t="str">
        <f>VLOOKUP(G1865,'[1]CONFIG.'!$B:$C,2,0)</f>
        <v>SILAS</v>
      </c>
      <c r="P1865" t="str">
        <f>VLOOKUP(O1865,'[1]CONFIG.'!$C:$D,2,0)</f>
        <v>74 98041875</v>
      </c>
    </row>
    <row r="1866" spans="1:16" x14ac:dyDescent="0.3">
      <c r="A1866" t="s">
        <v>13302</v>
      </c>
      <c r="B1866" t="s">
        <v>13303</v>
      </c>
      <c r="C1866" t="s">
        <v>13304</v>
      </c>
      <c r="D1866" t="s">
        <v>7835</v>
      </c>
      <c r="E1866" t="s">
        <v>13305</v>
      </c>
      <c r="F1866" t="s">
        <v>137</v>
      </c>
      <c r="G1866">
        <v>202</v>
      </c>
      <c r="H1866">
        <v>500</v>
      </c>
      <c r="I1866" s="5" t="s">
        <v>13306</v>
      </c>
      <c r="J1866" s="5" t="s">
        <v>13307</v>
      </c>
      <c r="K1866" s="5" t="str">
        <f t="shared" si="58"/>
        <v>https://www.google.com/maps?q=-12.087392, -41.648820</v>
      </c>
      <c r="L1866" s="5" t="str">
        <f t="shared" si="59"/>
        <v>Abrir no Maps</v>
      </c>
      <c r="M1866" t="s">
        <v>13308</v>
      </c>
      <c r="N1866" s="5"/>
      <c r="O1866" t="str">
        <f>VLOOKUP(G1866,'[1]CONFIG.'!$B:$C,2,0)</f>
        <v>ARISTON</v>
      </c>
      <c r="P1866" t="str">
        <f>VLOOKUP(O1866,'[1]CONFIG.'!$C:$D,2,0)</f>
        <v>74 99384078</v>
      </c>
    </row>
    <row r="1867" spans="1:16" x14ac:dyDescent="0.3">
      <c r="A1867" t="s">
        <v>13309</v>
      </c>
      <c r="B1867" t="s">
        <v>13310</v>
      </c>
      <c r="C1867" t="s">
        <v>13311</v>
      </c>
      <c r="D1867" t="s">
        <v>7835</v>
      </c>
      <c r="E1867" t="s">
        <v>13312</v>
      </c>
      <c r="F1867" t="s">
        <v>13256</v>
      </c>
      <c r="G1867">
        <v>210</v>
      </c>
      <c r="H1867">
        <v>500</v>
      </c>
      <c r="I1867" s="5" t="s">
        <v>13313</v>
      </c>
      <c r="J1867" s="5" t="s">
        <v>13314</v>
      </c>
      <c r="K1867" s="5" t="str">
        <f t="shared" si="58"/>
        <v>https://www.google.com/maps?q=-11.912373, -41.864564</v>
      </c>
      <c r="L1867" s="5" t="str">
        <f t="shared" si="59"/>
        <v>Abrir no Maps</v>
      </c>
      <c r="M1867" t="s">
        <v>13315</v>
      </c>
      <c r="N1867" s="5"/>
      <c r="O1867" t="str">
        <f>VLOOKUP(G1867,'[1]CONFIG.'!$B:$C,2,0)</f>
        <v>SILAS</v>
      </c>
      <c r="P1867" t="str">
        <f>VLOOKUP(O1867,'[1]CONFIG.'!$C:$D,2,0)</f>
        <v>74 98041875</v>
      </c>
    </row>
    <row r="1868" spans="1:16" x14ac:dyDescent="0.3">
      <c r="A1868" t="s">
        <v>13316</v>
      </c>
      <c r="B1868" t="s">
        <v>13317</v>
      </c>
      <c r="C1868" t="s">
        <v>13318</v>
      </c>
      <c r="D1868" t="s">
        <v>7835</v>
      </c>
      <c r="E1868" t="s">
        <v>13319</v>
      </c>
      <c r="F1868" t="s">
        <v>137</v>
      </c>
      <c r="G1868">
        <v>202</v>
      </c>
      <c r="H1868">
        <v>500</v>
      </c>
      <c r="I1868" s="5" t="s">
        <v>13320</v>
      </c>
      <c r="J1868" s="5" t="s">
        <v>13321</v>
      </c>
      <c r="K1868" s="5" t="str">
        <f t="shared" si="58"/>
        <v>https://www.google.com/maps?q=-12.089463, -41.647412</v>
      </c>
      <c r="L1868" s="5" t="str">
        <f t="shared" si="59"/>
        <v>Abrir no Maps</v>
      </c>
      <c r="M1868" t="s">
        <v>13322</v>
      </c>
      <c r="N1868" s="5"/>
      <c r="O1868" t="str">
        <f>VLOOKUP(G1868,'[1]CONFIG.'!$B:$C,2,0)</f>
        <v>ARISTON</v>
      </c>
      <c r="P1868" t="str">
        <f>VLOOKUP(O1868,'[1]CONFIG.'!$C:$D,2,0)</f>
        <v>74 99384078</v>
      </c>
    </row>
    <row r="1869" spans="1:16" x14ac:dyDescent="0.3">
      <c r="A1869" t="s">
        <v>13323</v>
      </c>
      <c r="B1869" t="s">
        <v>13324</v>
      </c>
      <c r="C1869" t="s">
        <v>13325</v>
      </c>
      <c r="D1869" t="s">
        <v>7835</v>
      </c>
      <c r="E1869" t="s">
        <v>13326</v>
      </c>
      <c r="F1869" t="s">
        <v>13292</v>
      </c>
      <c r="G1869">
        <v>210</v>
      </c>
      <c r="H1869">
        <v>500</v>
      </c>
      <c r="I1869" s="5" t="s">
        <v>13327</v>
      </c>
      <c r="J1869" s="5" t="s">
        <v>13328</v>
      </c>
      <c r="K1869" s="5" t="str">
        <f t="shared" si="58"/>
        <v>https://www.google.com/maps?q=-11.929587, -41.852428</v>
      </c>
      <c r="L1869" s="5" t="str">
        <f t="shared" si="59"/>
        <v>Abrir no Maps</v>
      </c>
      <c r="M1869" t="s">
        <v>13329</v>
      </c>
      <c r="N1869" s="5"/>
      <c r="O1869" t="str">
        <f>VLOOKUP(G1869,'[1]CONFIG.'!$B:$C,2,0)</f>
        <v>SILAS</v>
      </c>
      <c r="P1869" t="str">
        <f>VLOOKUP(O1869,'[1]CONFIG.'!$C:$D,2,0)</f>
        <v>74 98041875</v>
      </c>
    </row>
    <row r="1870" spans="1:16" x14ac:dyDescent="0.3">
      <c r="A1870" t="s">
        <v>13330</v>
      </c>
      <c r="B1870" t="s">
        <v>13331</v>
      </c>
      <c r="C1870" t="s">
        <v>13332</v>
      </c>
      <c r="D1870" t="s">
        <v>7835</v>
      </c>
      <c r="E1870" t="s">
        <v>13333</v>
      </c>
      <c r="F1870" t="s">
        <v>12992</v>
      </c>
      <c r="G1870">
        <v>202</v>
      </c>
      <c r="H1870">
        <v>500</v>
      </c>
      <c r="I1870" s="5" t="s">
        <v>13334</v>
      </c>
      <c r="J1870" s="5" t="s">
        <v>13335</v>
      </c>
      <c r="K1870" s="5" t="str">
        <f t="shared" si="58"/>
        <v>https://www.google.com/maps?q=-12.015357, -41.668196</v>
      </c>
      <c r="L1870" s="5" t="str">
        <f t="shared" si="59"/>
        <v>Abrir no Maps</v>
      </c>
      <c r="M1870" t="s">
        <v>13336</v>
      </c>
      <c r="N1870" s="5"/>
      <c r="O1870" t="str">
        <f>VLOOKUP(G1870,'[1]CONFIG.'!$B:$C,2,0)</f>
        <v>ARISTON</v>
      </c>
      <c r="P1870" t="str">
        <f>VLOOKUP(O1870,'[1]CONFIG.'!$C:$D,2,0)</f>
        <v>74 99384078</v>
      </c>
    </row>
    <row r="1871" spans="1:16" x14ac:dyDescent="0.3">
      <c r="A1871" t="s">
        <v>13337</v>
      </c>
      <c r="B1871" t="s">
        <v>13338</v>
      </c>
      <c r="C1871" t="s">
        <v>13339</v>
      </c>
      <c r="D1871" t="s">
        <v>7835</v>
      </c>
      <c r="E1871" t="s">
        <v>13340</v>
      </c>
      <c r="F1871" t="s">
        <v>13341</v>
      </c>
      <c r="G1871">
        <v>202</v>
      </c>
      <c r="H1871">
        <v>500</v>
      </c>
      <c r="I1871" s="5" t="s">
        <v>13342</v>
      </c>
      <c r="J1871" s="5" t="s">
        <v>13343</v>
      </c>
      <c r="K1871" s="5" t="str">
        <f t="shared" si="58"/>
        <v>https://www.google.com/maps?q=-12.015952, -41.669098</v>
      </c>
      <c r="L1871" s="5" t="str">
        <f t="shared" si="59"/>
        <v>Abrir no Maps</v>
      </c>
      <c r="M1871" t="s">
        <v>13344</v>
      </c>
      <c r="N1871" s="5"/>
      <c r="O1871" t="str">
        <f>VLOOKUP(G1871,'[1]CONFIG.'!$B:$C,2,0)</f>
        <v>ARISTON</v>
      </c>
      <c r="P1871" t="str">
        <f>VLOOKUP(O1871,'[1]CONFIG.'!$C:$D,2,0)</f>
        <v>74 99384078</v>
      </c>
    </row>
    <row r="1872" spans="1:16" x14ac:dyDescent="0.3">
      <c r="A1872" t="s">
        <v>13345</v>
      </c>
      <c r="B1872" t="s">
        <v>13346</v>
      </c>
      <c r="C1872" t="s">
        <v>13347</v>
      </c>
      <c r="D1872" t="s">
        <v>13348</v>
      </c>
      <c r="E1872" t="s">
        <v>13349</v>
      </c>
      <c r="F1872" t="s">
        <v>13350</v>
      </c>
      <c r="G1872">
        <v>205</v>
      </c>
      <c r="H1872">
        <v>300</v>
      </c>
      <c r="I1872" s="5" t="s">
        <v>13351</v>
      </c>
      <c r="J1872" s="5" t="s">
        <v>13352</v>
      </c>
      <c r="K1872" s="5" t="str">
        <f t="shared" si="58"/>
        <v>https://www.google.com/maps?q=-11.755872, -40.713570</v>
      </c>
      <c r="L1872" s="5" t="str">
        <f t="shared" si="59"/>
        <v>Abrir no Maps</v>
      </c>
      <c r="M1872" t="s">
        <v>13353</v>
      </c>
      <c r="N1872" s="5"/>
      <c r="O1872" t="str">
        <f>VLOOKUP(G1872,'[1]CONFIG.'!$B:$C,2,0)</f>
        <v>EMETIO</v>
      </c>
      <c r="P1872" t="str">
        <f>VLOOKUP(O1872,'[1]CONFIG.'!$C:$D,2,0)</f>
        <v>74 98039589</v>
      </c>
    </row>
    <row r="1873" spans="1:16" x14ac:dyDescent="0.3">
      <c r="A1873" t="s">
        <v>13354</v>
      </c>
      <c r="B1873" t="s">
        <v>13355</v>
      </c>
      <c r="C1873" t="s">
        <v>13356</v>
      </c>
      <c r="D1873" t="s">
        <v>13348</v>
      </c>
      <c r="E1873" t="s">
        <v>13357</v>
      </c>
      <c r="F1873" t="s">
        <v>137</v>
      </c>
      <c r="G1873">
        <v>205</v>
      </c>
      <c r="H1873">
        <v>300</v>
      </c>
      <c r="I1873" s="5" t="s">
        <v>13358</v>
      </c>
      <c r="J1873" s="5" t="s">
        <v>13359</v>
      </c>
      <c r="K1873" s="5" t="str">
        <f t="shared" si="58"/>
        <v>https://www.google.com/maps?q=-11.849263, -40.791180</v>
      </c>
      <c r="L1873" s="5" t="str">
        <f t="shared" si="59"/>
        <v>Abrir no Maps</v>
      </c>
      <c r="M1873" t="s">
        <v>13360</v>
      </c>
      <c r="N1873" s="5"/>
      <c r="O1873" t="str">
        <f>VLOOKUP(G1873,'[1]CONFIG.'!$B:$C,2,0)</f>
        <v>EMETIO</v>
      </c>
      <c r="P1873" t="str">
        <f>VLOOKUP(O1873,'[1]CONFIG.'!$C:$D,2,0)</f>
        <v>74 98039589</v>
      </c>
    </row>
    <row r="1874" spans="1:16" x14ac:dyDescent="0.3">
      <c r="A1874" t="s">
        <v>13361</v>
      </c>
      <c r="B1874" t="s">
        <v>13362</v>
      </c>
      <c r="C1874" t="s">
        <v>13363</v>
      </c>
      <c r="D1874" t="s">
        <v>13348</v>
      </c>
      <c r="E1874" t="s">
        <v>13364</v>
      </c>
      <c r="F1874" t="s">
        <v>137</v>
      </c>
      <c r="G1874">
        <v>205</v>
      </c>
      <c r="H1874">
        <v>300</v>
      </c>
      <c r="I1874" s="5" t="s">
        <v>13365</v>
      </c>
      <c r="J1874" s="5" t="s">
        <v>13366</v>
      </c>
      <c r="K1874" s="5" t="str">
        <f t="shared" si="58"/>
        <v>https://www.google.com/maps?q=-11.848080, -40.790047</v>
      </c>
      <c r="L1874" s="5" t="str">
        <f t="shared" si="59"/>
        <v>Abrir no Maps</v>
      </c>
      <c r="M1874" t="s">
        <v>13367</v>
      </c>
      <c r="N1874" s="5"/>
      <c r="O1874" t="str">
        <f>VLOOKUP(G1874,'[1]CONFIG.'!$B:$C,2,0)</f>
        <v>EMETIO</v>
      </c>
      <c r="P1874" t="str">
        <f>VLOOKUP(O1874,'[1]CONFIG.'!$C:$D,2,0)</f>
        <v>74 98039589</v>
      </c>
    </row>
    <row r="1875" spans="1:16" x14ac:dyDescent="0.3">
      <c r="A1875" t="s">
        <v>13368</v>
      </c>
      <c r="B1875" t="s">
        <v>13369</v>
      </c>
      <c r="C1875" t="s">
        <v>13370</v>
      </c>
      <c r="D1875" t="s">
        <v>13348</v>
      </c>
      <c r="E1875" t="s">
        <v>13371</v>
      </c>
      <c r="F1875" t="s">
        <v>137</v>
      </c>
      <c r="G1875">
        <v>205</v>
      </c>
      <c r="H1875">
        <v>300</v>
      </c>
      <c r="I1875" s="5" t="s">
        <v>13372</v>
      </c>
      <c r="J1875" s="5" t="s">
        <v>13373</v>
      </c>
      <c r="K1875" s="5" t="str">
        <f t="shared" si="58"/>
        <v>https://www.google.com/maps?q=-11.848098, -40.790016</v>
      </c>
      <c r="L1875" s="5" t="str">
        <f t="shared" si="59"/>
        <v>Abrir no Maps</v>
      </c>
      <c r="M1875" t="s">
        <v>13374</v>
      </c>
      <c r="N1875" s="5"/>
      <c r="O1875" t="str">
        <f>VLOOKUP(G1875,'[1]CONFIG.'!$B:$C,2,0)</f>
        <v>EMETIO</v>
      </c>
      <c r="P1875" t="str">
        <f>VLOOKUP(O1875,'[1]CONFIG.'!$C:$D,2,0)</f>
        <v>74 98039589</v>
      </c>
    </row>
    <row r="1876" spans="1:16" x14ac:dyDescent="0.3">
      <c r="A1876" t="s">
        <v>13375</v>
      </c>
      <c r="B1876" t="s">
        <v>13376</v>
      </c>
      <c r="C1876" t="s">
        <v>13377</v>
      </c>
      <c r="D1876" t="s">
        <v>13348</v>
      </c>
      <c r="E1876" t="s">
        <v>13378</v>
      </c>
      <c r="F1876" t="s">
        <v>13350</v>
      </c>
      <c r="G1876">
        <v>205</v>
      </c>
      <c r="H1876">
        <v>300</v>
      </c>
      <c r="I1876" s="5" t="s">
        <v>13379</v>
      </c>
      <c r="J1876" s="5" t="s">
        <v>13380</v>
      </c>
      <c r="K1876" s="5" t="str">
        <f t="shared" si="58"/>
        <v>https://www.google.com/maps?q=-11.757095, -40.712437</v>
      </c>
      <c r="L1876" s="5" t="str">
        <f t="shared" si="59"/>
        <v>Abrir no Maps</v>
      </c>
      <c r="M1876" t="s">
        <v>13381</v>
      </c>
      <c r="N1876" s="5"/>
      <c r="O1876" t="str">
        <f>VLOOKUP(G1876,'[1]CONFIG.'!$B:$C,2,0)</f>
        <v>EMETIO</v>
      </c>
      <c r="P1876" t="str">
        <f>VLOOKUP(O1876,'[1]CONFIG.'!$C:$D,2,0)</f>
        <v>74 98039589</v>
      </c>
    </row>
    <row r="1877" spans="1:16" x14ac:dyDescent="0.3">
      <c r="A1877" t="s">
        <v>13382</v>
      </c>
      <c r="B1877" t="s">
        <v>13383</v>
      </c>
      <c r="C1877" t="s">
        <v>13384</v>
      </c>
      <c r="D1877" t="s">
        <v>13348</v>
      </c>
      <c r="E1877" t="s">
        <v>13385</v>
      </c>
      <c r="F1877" t="s">
        <v>137</v>
      </c>
      <c r="G1877">
        <v>205</v>
      </c>
      <c r="H1877">
        <v>300</v>
      </c>
      <c r="I1877" s="5" t="s">
        <v>13386</v>
      </c>
      <c r="J1877" s="5" t="s">
        <v>13387</v>
      </c>
      <c r="K1877" s="5" t="str">
        <f t="shared" si="58"/>
        <v>https://www.google.com/maps?q=-11.843220, -40.798317</v>
      </c>
      <c r="L1877" s="5" t="str">
        <f t="shared" si="59"/>
        <v>Abrir no Maps</v>
      </c>
      <c r="M1877" t="s">
        <v>13388</v>
      </c>
      <c r="N1877" s="5"/>
      <c r="O1877" t="str">
        <f>VLOOKUP(G1877,'[1]CONFIG.'!$B:$C,2,0)</f>
        <v>EMETIO</v>
      </c>
      <c r="P1877" t="str">
        <f>VLOOKUP(O1877,'[1]CONFIG.'!$C:$D,2,0)</f>
        <v>74 98039589</v>
      </c>
    </row>
    <row r="1878" spans="1:16" x14ac:dyDescent="0.3">
      <c r="A1878" t="s">
        <v>13389</v>
      </c>
      <c r="B1878" t="s">
        <v>13390</v>
      </c>
      <c r="C1878" t="s">
        <v>13391</v>
      </c>
      <c r="D1878" t="s">
        <v>13348</v>
      </c>
      <c r="E1878" t="s">
        <v>13392</v>
      </c>
      <c r="F1878" t="s">
        <v>137</v>
      </c>
      <c r="G1878">
        <v>205</v>
      </c>
      <c r="H1878">
        <v>300</v>
      </c>
      <c r="I1878" s="5" t="s">
        <v>13393</v>
      </c>
      <c r="J1878" s="5" t="s">
        <v>13394</v>
      </c>
      <c r="K1878" s="5" t="str">
        <f t="shared" si="58"/>
        <v>https://www.google.com/maps?q=-11.848744, -40.793023</v>
      </c>
      <c r="L1878" s="5" t="str">
        <f t="shared" si="59"/>
        <v>Abrir no Maps</v>
      </c>
      <c r="M1878" t="s">
        <v>13395</v>
      </c>
      <c r="N1878" s="5"/>
      <c r="O1878" t="str">
        <f>VLOOKUP(G1878,'[1]CONFIG.'!$B:$C,2,0)</f>
        <v>EMETIO</v>
      </c>
      <c r="P1878" t="str">
        <f>VLOOKUP(O1878,'[1]CONFIG.'!$C:$D,2,0)</f>
        <v>74 98039589</v>
      </c>
    </row>
    <row r="1879" spans="1:16" x14ac:dyDescent="0.3">
      <c r="A1879" t="s">
        <v>13396</v>
      </c>
      <c r="B1879" t="s">
        <v>13397</v>
      </c>
      <c r="C1879" t="s">
        <v>13398</v>
      </c>
      <c r="D1879" t="s">
        <v>13348</v>
      </c>
      <c r="E1879" t="s">
        <v>13399</v>
      </c>
      <c r="F1879" t="s">
        <v>137</v>
      </c>
      <c r="G1879">
        <v>205</v>
      </c>
      <c r="H1879">
        <v>300</v>
      </c>
      <c r="I1879" s="5" t="s">
        <v>13400</v>
      </c>
      <c r="J1879" s="5" t="s">
        <v>13401</v>
      </c>
      <c r="K1879" s="5" t="str">
        <f t="shared" si="58"/>
        <v>https://www.google.com/maps?q=-11.851358, -40.785910</v>
      </c>
      <c r="L1879" s="5" t="str">
        <f t="shared" si="59"/>
        <v>Abrir no Maps</v>
      </c>
      <c r="M1879" t="s">
        <v>13402</v>
      </c>
      <c r="N1879" s="5"/>
      <c r="O1879" t="str">
        <f>VLOOKUP(G1879,'[1]CONFIG.'!$B:$C,2,0)</f>
        <v>EMETIO</v>
      </c>
      <c r="P1879" t="str">
        <f>VLOOKUP(O1879,'[1]CONFIG.'!$C:$D,2,0)</f>
        <v>74 98039589</v>
      </c>
    </row>
    <row r="1880" spans="1:16" x14ac:dyDescent="0.3">
      <c r="A1880" t="s">
        <v>13403</v>
      </c>
      <c r="B1880" t="s">
        <v>13404</v>
      </c>
      <c r="C1880" t="s">
        <v>13405</v>
      </c>
      <c r="D1880" t="s">
        <v>13348</v>
      </c>
      <c r="E1880" t="s">
        <v>13406</v>
      </c>
      <c r="F1880" t="s">
        <v>137</v>
      </c>
      <c r="G1880">
        <v>205</v>
      </c>
      <c r="H1880">
        <v>300</v>
      </c>
      <c r="I1880" s="5" t="s">
        <v>13407</v>
      </c>
      <c r="J1880" s="5" t="s">
        <v>13408</v>
      </c>
      <c r="K1880" s="5" t="str">
        <f t="shared" si="58"/>
        <v>https://www.google.com/maps?q=-11.846111, -40.797500</v>
      </c>
      <c r="L1880" s="5" t="str">
        <f t="shared" si="59"/>
        <v>Abrir no Maps</v>
      </c>
      <c r="M1880" t="s">
        <v>13409</v>
      </c>
      <c r="N1880" s="5"/>
      <c r="O1880" t="str">
        <f>VLOOKUP(G1880,'[1]CONFIG.'!$B:$C,2,0)</f>
        <v>EMETIO</v>
      </c>
      <c r="P1880" t="str">
        <f>VLOOKUP(O1880,'[1]CONFIG.'!$C:$D,2,0)</f>
        <v>74 98039589</v>
      </c>
    </row>
    <row r="1881" spans="1:16" x14ac:dyDescent="0.3">
      <c r="A1881" t="s">
        <v>13410</v>
      </c>
      <c r="B1881" t="s">
        <v>13411</v>
      </c>
      <c r="C1881" t="s">
        <v>13412</v>
      </c>
      <c r="D1881" t="s">
        <v>13348</v>
      </c>
      <c r="E1881" t="s">
        <v>13413</v>
      </c>
      <c r="F1881" t="s">
        <v>13414</v>
      </c>
      <c r="G1881">
        <v>205</v>
      </c>
      <c r="H1881">
        <v>300</v>
      </c>
      <c r="I1881" s="5" t="s">
        <v>13415</v>
      </c>
      <c r="J1881" s="5" t="s">
        <v>13416</v>
      </c>
      <c r="K1881" s="5" t="str">
        <f t="shared" si="58"/>
        <v>https://www.google.com/maps?q=-11.681389, -40.849724</v>
      </c>
      <c r="L1881" s="5" t="str">
        <f t="shared" si="59"/>
        <v>Abrir no Maps</v>
      </c>
      <c r="M1881" t="s">
        <v>13417</v>
      </c>
      <c r="N1881" s="5"/>
      <c r="O1881" t="str">
        <f>VLOOKUP(G1881,'[1]CONFIG.'!$B:$C,2,0)</f>
        <v>EMETIO</v>
      </c>
      <c r="P1881" t="str">
        <f>VLOOKUP(O1881,'[1]CONFIG.'!$C:$D,2,0)</f>
        <v>74 98039589</v>
      </c>
    </row>
    <row r="1882" spans="1:16" x14ac:dyDescent="0.3">
      <c r="A1882" t="s">
        <v>13418</v>
      </c>
      <c r="B1882" t="s">
        <v>13419</v>
      </c>
      <c r="C1882" t="s">
        <v>13420</v>
      </c>
      <c r="D1882" t="s">
        <v>13348</v>
      </c>
      <c r="E1882" t="s">
        <v>13421</v>
      </c>
      <c r="F1882" t="s">
        <v>137</v>
      </c>
      <c r="G1882">
        <v>205</v>
      </c>
      <c r="H1882">
        <v>300</v>
      </c>
      <c r="I1882" s="5" t="s">
        <v>13422</v>
      </c>
      <c r="J1882" s="5" t="s">
        <v>13423</v>
      </c>
      <c r="K1882" s="5" t="str">
        <f t="shared" si="58"/>
        <v>https://www.google.com/maps?q=-11.853333, -40.788334</v>
      </c>
      <c r="L1882" s="5" t="str">
        <f t="shared" si="59"/>
        <v>Abrir no Maps</v>
      </c>
      <c r="M1882" t="s">
        <v>13424</v>
      </c>
      <c r="N1882" s="5"/>
      <c r="O1882" t="str">
        <f>VLOOKUP(G1882,'[1]CONFIG.'!$B:$C,2,0)</f>
        <v>EMETIO</v>
      </c>
      <c r="P1882" t="str">
        <f>VLOOKUP(O1882,'[1]CONFIG.'!$C:$D,2,0)</f>
        <v>74 98039589</v>
      </c>
    </row>
    <row r="1883" spans="1:16" x14ac:dyDescent="0.3">
      <c r="A1883" t="s">
        <v>13425</v>
      </c>
      <c r="B1883" t="s">
        <v>13426</v>
      </c>
      <c r="C1883" t="s">
        <v>13427</v>
      </c>
      <c r="D1883" t="s">
        <v>13348</v>
      </c>
      <c r="E1883" t="s">
        <v>13428</v>
      </c>
      <c r="F1883" t="s">
        <v>137</v>
      </c>
      <c r="G1883">
        <v>205</v>
      </c>
      <c r="H1883">
        <v>300</v>
      </c>
      <c r="I1883" s="5" t="s">
        <v>13429</v>
      </c>
      <c r="J1883" s="5" t="s">
        <v>13430</v>
      </c>
      <c r="K1883" s="5" t="str">
        <f t="shared" si="58"/>
        <v>https://www.google.com/maps?q=-11.844280, -40.795467</v>
      </c>
      <c r="L1883" s="5" t="str">
        <f t="shared" si="59"/>
        <v>Abrir no Maps</v>
      </c>
      <c r="M1883" t="s">
        <v>13431</v>
      </c>
      <c r="N1883" s="5"/>
      <c r="O1883" t="str">
        <f>VLOOKUP(G1883,'[1]CONFIG.'!$B:$C,2,0)</f>
        <v>EMETIO</v>
      </c>
      <c r="P1883" t="str">
        <f>VLOOKUP(O1883,'[1]CONFIG.'!$C:$D,2,0)</f>
        <v>74 98039589</v>
      </c>
    </row>
    <row r="1884" spans="1:16" x14ac:dyDescent="0.3">
      <c r="A1884" t="s">
        <v>13432</v>
      </c>
      <c r="B1884" t="s">
        <v>13433</v>
      </c>
      <c r="C1884" t="s">
        <v>13434</v>
      </c>
      <c r="D1884" t="s">
        <v>13348</v>
      </c>
      <c r="E1884" t="s">
        <v>13435</v>
      </c>
      <c r="F1884" t="s">
        <v>137</v>
      </c>
      <c r="G1884">
        <v>205</v>
      </c>
      <c r="H1884">
        <v>300</v>
      </c>
      <c r="I1884" s="5" t="s">
        <v>13436</v>
      </c>
      <c r="J1884" s="5" t="s">
        <v>13437</v>
      </c>
      <c r="K1884" s="5" t="str">
        <f t="shared" si="58"/>
        <v>https://www.google.com/maps?q=-11.845924, -40.798330</v>
      </c>
      <c r="L1884" s="5" t="str">
        <f t="shared" si="59"/>
        <v>Abrir no Maps</v>
      </c>
      <c r="M1884" t="s">
        <v>13438</v>
      </c>
      <c r="N1884" s="5"/>
      <c r="O1884" t="str">
        <f>VLOOKUP(G1884,'[1]CONFIG.'!$B:$C,2,0)</f>
        <v>EMETIO</v>
      </c>
      <c r="P1884" t="str">
        <f>VLOOKUP(O1884,'[1]CONFIG.'!$C:$D,2,0)</f>
        <v>74 98039589</v>
      </c>
    </row>
    <row r="1885" spans="1:16" x14ac:dyDescent="0.3">
      <c r="A1885" t="s">
        <v>13439</v>
      </c>
      <c r="B1885" t="s">
        <v>13440</v>
      </c>
      <c r="C1885" t="s">
        <v>13441</v>
      </c>
      <c r="D1885" t="s">
        <v>13348</v>
      </c>
      <c r="E1885" t="s">
        <v>13442</v>
      </c>
      <c r="F1885" t="s">
        <v>137</v>
      </c>
      <c r="G1885">
        <v>205</v>
      </c>
      <c r="H1885">
        <v>300</v>
      </c>
      <c r="I1885" s="5" t="s">
        <v>13443</v>
      </c>
      <c r="J1885" s="5" t="s">
        <v>13444</v>
      </c>
      <c r="K1885" s="5" t="str">
        <f t="shared" si="58"/>
        <v>https://www.google.com/maps?q=-11.847332, -40.790120</v>
      </c>
      <c r="L1885" s="5" t="str">
        <f t="shared" si="59"/>
        <v>Abrir no Maps</v>
      </c>
      <c r="M1885" t="s">
        <v>13445</v>
      </c>
      <c r="N1885" s="5"/>
      <c r="O1885" t="str">
        <f>VLOOKUP(G1885,'[1]CONFIG.'!$B:$C,2,0)</f>
        <v>EMETIO</v>
      </c>
      <c r="P1885" t="str">
        <f>VLOOKUP(O1885,'[1]CONFIG.'!$C:$D,2,0)</f>
        <v>74 98039589</v>
      </c>
    </row>
    <row r="1886" spans="1:16" x14ac:dyDescent="0.3">
      <c r="A1886" t="s">
        <v>13446</v>
      </c>
      <c r="B1886" t="s">
        <v>13447</v>
      </c>
      <c r="C1886" t="s">
        <v>13448</v>
      </c>
      <c r="D1886" t="s">
        <v>13348</v>
      </c>
      <c r="E1886" t="s">
        <v>13449</v>
      </c>
      <c r="F1886" t="s">
        <v>137</v>
      </c>
      <c r="G1886">
        <v>205</v>
      </c>
      <c r="H1886">
        <v>300</v>
      </c>
      <c r="I1886" s="5" t="s">
        <v>13450</v>
      </c>
      <c r="J1886" s="5" t="s">
        <v>13451</v>
      </c>
      <c r="K1886" s="5" t="str">
        <f t="shared" si="58"/>
        <v>https://www.google.com/maps?q=-11.754974, -40.712460</v>
      </c>
      <c r="L1886" s="5" t="str">
        <f t="shared" si="59"/>
        <v>Abrir no Maps</v>
      </c>
      <c r="M1886" t="s">
        <v>13452</v>
      </c>
      <c r="N1886" s="5"/>
      <c r="O1886" t="str">
        <f>VLOOKUP(G1886,'[1]CONFIG.'!$B:$C,2,0)</f>
        <v>EMETIO</v>
      </c>
      <c r="P1886" t="str">
        <f>VLOOKUP(O1886,'[1]CONFIG.'!$C:$D,2,0)</f>
        <v>74 98039589</v>
      </c>
    </row>
    <row r="1887" spans="1:16" x14ac:dyDescent="0.3">
      <c r="A1887" t="s">
        <v>13453</v>
      </c>
      <c r="B1887" t="s">
        <v>13454</v>
      </c>
      <c r="C1887" t="s">
        <v>13455</v>
      </c>
      <c r="D1887" t="s">
        <v>13348</v>
      </c>
      <c r="E1887" t="s">
        <v>13456</v>
      </c>
      <c r="F1887" t="s">
        <v>137</v>
      </c>
      <c r="G1887">
        <v>205</v>
      </c>
      <c r="H1887">
        <v>300</v>
      </c>
      <c r="I1887" s="5" t="s">
        <v>13457</v>
      </c>
      <c r="J1887" s="5" t="s">
        <v>13458</v>
      </c>
      <c r="K1887" s="5" t="str">
        <f t="shared" si="58"/>
        <v>https://www.google.com/maps?q=-11.847500, -40.791668</v>
      </c>
      <c r="L1887" s="5" t="str">
        <f t="shared" si="59"/>
        <v>Abrir no Maps</v>
      </c>
      <c r="M1887" t="s">
        <v>13459</v>
      </c>
      <c r="N1887" s="5"/>
      <c r="O1887" t="str">
        <f>VLOOKUP(G1887,'[1]CONFIG.'!$B:$C,2,0)</f>
        <v>EMETIO</v>
      </c>
      <c r="P1887" t="str">
        <f>VLOOKUP(O1887,'[1]CONFIG.'!$C:$D,2,0)</f>
        <v>74 98039589</v>
      </c>
    </row>
    <row r="1888" spans="1:16" x14ac:dyDescent="0.3">
      <c r="A1888" t="s">
        <v>13460</v>
      </c>
      <c r="B1888" t="s">
        <v>13461</v>
      </c>
      <c r="C1888" t="s">
        <v>13462</v>
      </c>
      <c r="D1888" t="s">
        <v>13348</v>
      </c>
      <c r="E1888" t="s">
        <v>13463</v>
      </c>
      <c r="F1888" t="s">
        <v>137</v>
      </c>
      <c r="G1888">
        <v>205</v>
      </c>
      <c r="H1888">
        <v>300</v>
      </c>
      <c r="I1888" s="5" t="s">
        <v>13464</v>
      </c>
      <c r="J1888" s="5" t="s">
        <v>13465</v>
      </c>
      <c r="K1888" s="5" t="str">
        <f t="shared" si="58"/>
        <v>https://www.google.com/maps?q=-11.850433, -40.789467</v>
      </c>
      <c r="L1888" s="5" t="str">
        <f t="shared" si="59"/>
        <v>Abrir no Maps</v>
      </c>
      <c r="M1888" t="s">
        <v>13466</v>
      </c>
      <c r="N1888" s="5"/>
      <c r="O1888" t="str">
        <f>VLOOKUP(G1888,'[1]CONFIG.'!$B:$C,2,0)</f>
        <v>EMETIO</v>
      </c>
      <c r="P1888" t="str">
        <f>VLOOKUP(O1888,'[1]CONFIG.'!$C:$D,2,0)</f>
        <v>74 98039589</v>
      </c>
    </row>
    <row r="1889" spans="1:16" x14ac:dyDescent="0.3">
      <c r="A1889" t="s">
        <v>13467</v>
      </c>
      <c r="B1889" t="s">
        <v>13468</v>
      </c>
      <c r="C1889" t="s">
        <v>13469</v>
      </c>
      <c r="D1889" t="s">
        <v>13348</v>
      </c>
      <c r="E1889" t="s">
        <v>13470</v>
      </c>
      <c r="F1889" t="s">
        <v>137</v>
      </c>
      <c r="G1889">
        <v>205</v>
      </c>
      <c r="H1889">
        <v>300</v>
      </c>
      <c r="I1889" s="5" t="s">
        <v>13407</v>
      </c>
      <c r="J1889" s="5" t="s">
        <v>13471</v>
      </c>
      <c r="K1889" s="5" t="str">
        <f t="shared" si="58"/>
        <v>https://www.google.com/maps?q=-11.846111, -40.795277</v>
      </c>
      <c r="L1889" s="5" t="str">
        <f t="shared" si="59"/>
        <v>Abrir no Maps</v>
      </c>
      <c r="M1889" t="s">
        <v>13472</v>
      </c>
      <c r="N1889" s="5"/>
      <c r="O1889" t="str">
        <f>VLOOKUP(G1889,'[1]CONFIG.'!$B:$C,2,0)</f>
        <v>EMETIO</v>
      </c>
      <c r="P1889" t="str">
        <f>VLOOKUP(O1889,'[1]CONFIG.'!$C:$D,2,0)</f>
        <v>74 98039589</v>
      </c>
    </row>
    <row r="1890" spans="1:16" x14ac:dyDescent="0.3">
      <c r="A1890" t="s">
        <v>13473</v>
      </c>
      <c r="B1890" t="s">
        <v>13474</v>
      </c>
      <c r="C1890" t="s">
        <v>13475</v>
      </c>
      <c r="D1890" t="s">
        <v>13348</v>
      </c>
      <c r="E1890" t="s">
        <v>13476</v>
      </c>
      <c r="F1890" t="s">
        <v>13476</v>
      </c>
      <c r="G1890">
        <v>205</v>
      </c>
      <c r="H1890">
        <v>300</v>
      </c>
      <c r="I1890" s="5" t="s">
        <v>13477</v>
      </c>
      <c r="J1890" s="5" t="s">
        <v>13478</v>
      </c>
      <c r="K1890" s="5" t="str">
        <f t="shared" si="58"/>
        <v>https://www.google.com/maps?q=-11.893717, -40.881100</v>
      </c>
      <c r="L1890" s="5" t="str">
        <f t="shared" si="59"/>
        <v>Abrir no Maps</v>
      </c>
      <c r="M1890" t="s">
        <v>13479</v>
      </c>
      <c r="N1890" s="5"/>
      <c r="O1890" t="str">
        <f>VLOOKUP(G1890,'[1]CONFIG.'!$B:$C,2,0)</f>
        <v>EMETIO</v>
      </c>
      <c r="P1890" t="str">
        <f>VLOOKUP(O1890,'[1]CONFIG.'!$C:$D,2,0)</f>
        <v>74 98039589</v>
      </c>
    </row>
    <row r="1891" spans="1:16" x14ac:dyDescent="0.3">
      <c r="A1891" t="s">
        <v>13480</v>
      </c>
      <c r="B1891" t="s">
        <v>13481</v>
      </c>
      <c r="C1891" t="s">
        <v>13482</v>
      </c>
      <c r="D1891" t="s">
        <v>13348</v>
      </c>
      <c r="E1891" t="s">
        <v>13483</v>
      </c>
      <c r="F1891" t="s">
        <v>13484</v>
      </c>
      <c r="G1891">
        <v>205</v>
      </c>
      <c r="H1891">
        <v>300</v>
      </c>
      <c r="I1891" s="5" t="s">
        <v>13485</v>
      </c>
      <c r="J1891" s="5" t="s">
        <v>13486</v>
      </c>
      <c r="K1891" s="5" t="str">
        <f t="shared" si="58"/>
        <v>https://www.google.com/maps?q=-11.892647, -40.882040</v>
      </c>
      <c r="L1891" s="5" t="str">
        <f t="shared" si="59"/>
        <v>Abrir no Maps</v>
      </c>
      <c r="M1891" t="s">
        <v>13487</v>
      </c>
      <c r="N1891" s="5"/>
      <c r="O1891" t="str">
        <f>VLOOKUP(G1891,'[1]CONFIG.'!$B:$C,2,0)</f>
        <v>EMETIO</v>
      </c>
      <c r="P1891" t="str">
        <f>VLOOKUP(O1891,'[1]CONFIG.'!$C:$D,2,0)</f>
        <v>74 98039589</v>
      </c>
    </row>
    <row r="1892" spans="1:16" x14ac:dyDescent="0.3">
      <c r="A1892" t="s">
        <v>13488</v>
      </c>
      <c r="B1892" t="s">
        <v>13489</v>
      </c>
      <c r="C1892" t="s">
        <v>13490</v>
      </c>
      <c r="D1892" t="s">
        <v>13348</v>
      </c>
      <c r="E1892" t="s">
        <v>13491</v>
      </c>
      <c r="F1892" t="s">
        <v>137</v>
      </c>
      <c r="G1892">
        <v>205</v>
      </c>
      <c r="H1892">
        <v>300</v>
      </c>
      <c r="I1892" s="5" t="s">
        <v>13492</v>
      </c>
      <c r="J1892" s="5" t="s">
        <v>13493</v>
      </c>
      <c r="K1892" s="5" t="str">
        <f t="shared" si="58"/>
        <v>https://www.google.com/maps?q=-11.849902, -40.788532</v>
      </c>
      <c r="L1892" s="5" t="str">
        <f t="shared" si="59"/>
        <v>Abrir no Maps</v>
      </c>
      <c r="M1892" t="s">
        <v>13494</v>
      </c>
      <c r="N1892" s="5"/>
      <c r="O1892" t="str">
        <f>VLOOKUP(G1892,'[1]CONFIG.'!$B:$C,2,0)</f>
        <v>EMETIO</v>
      </c>
      <c r="P1892" t="str">
        <f>VLOOKUP(O1892,'[1]CONFIG.'!$C:$D,2,0)</f>
        <v>74 98039589</v>
      </c>
    </row>
    <row r="1893" spans="1:16" x14ac:dyDescent="0.3">
      <c r="A1893" t="s">
        <v>13495</v>
      </c>
      <c r="B1893" t="s">
        <v>13496</v>
      </c>
      <c r="C1893" t="s">
        <v>13497</v>
      </c>
      <c r="D1893" t="s">
        <v>13348</v>
      </c>
      <c r="E1893" t="s">
        <v>13498</v>
      </c>
      <c r="F1893" t="s">
        <v>13499</v>
      </c>
      <c r="G1893">
        <v>205</v>
      </c>
      <c r="H1893">
        <v>300</v>
      </c>
      <c r="I1893" s="5" t="s">
        <v>13500</v>
      </c>
      <c r="J1893" s="5" t="s">
        <v>13501</v>
      </c>
      <c r="K1893" s="5" t="str">
        <f t="shared" si="58"/>
        <v>https://www.google.com/maps?q=-11.848763, -40.785866</v>
      </c>
      <c r="L1893" s="5" t="str">
        <f t="shared" si="59"/>
        <v>Abrir no Maps</v>
      </c>
      <c r="M1893" t="s">
        <v>13502</v>
      </c>
      <c r="N1893" s="5"/>
      <c r="O1893" t="str">
        <f>VLOOKUP(G1893,'[1]CONFIG.'!$B:$C,2,0)</f>
        <v>EMETIO</v>
      </c>
      <c r="P1893" t="str">
        <f>VLOOKUP(O1893,'[1]CONFIG.'!$C:$D,2,0)</f>
        <v>74 98039589</v>
      </c>
    </row>
    <row r="1894" spans="1:16" x14ac:dyDescent="0.3">
      <c r="A1894" t="s">
        <v>13503</v>
      </c>
      <c r="B1894" t="s">
        <v>13504</v>
      </c>
      <c r="C1894" t="s">
        <v>13505</v>
      </c>
      <c r="D1894" t="s">
        <v>13348</v>
      </c>
      <c r="E1894" t="s">
        <v>13506</v>
      </c>
      <c r="F1894" t="s">
        <v>13350</v>
      </c>
      <c r="G1894">
        <v>205</v>
      </c>
      <c r="H1894">
        <v>300</v>
      </c>
      <c r="I1894" s="5" t="s">
        <v>13507</v>
      </c>
      <c r="J1894" s="5" t="s">
        <v>13508</v>
      </c>
      <c r="K1894" s="5" t="str">
        <f t="shared" si="58"/>
        <v>https://www.google.com/maps?q=-11.758462, -40.708138</v>
      </c>
      <c r="L1894" s="5" t="str">
        <f t="shared" si="59"/>
        <v>Abrir no Maps</v>
      </c>
      <c r="M1894" t="s">
        <v>13509</v>
      </c>
      <c r="N1894" s="5"/>
      <c r="O1894" t="str">
        <f>VLOOKUP(G1894,'[1]CONFIG.'!$B:$C,2,0)</f>
        <v>EMETIO</v>
      </c>
      <c r="P1894" t="str">
        <f>VLOOKUP(O1894,'[1]CONFIG.'!$C:$D,2,0)</f>
        <v>74 98039589</v>
      </c>
    </row>
    <row r="1895" spans="1:16" x14ac:dyDescent="0.3">
      <c r="A1895" t="s">
        <v>13510</v>
      </c>
      <c r="B1895" t="s">
        <v>13511</v>
      </c>
      <c r="C1895" t="s">
        <v>13512</v>
      </c>
      <c r="D1895" t="s">
        <v>13348</v>
      </c>
      <c r="E1895" t="s">
        <v>13513</v>
      </c>
      <c r="F1895" t="s">
        <v>13350</v>
      </c>
      <c r="G1895">
        <v>205</v>
      </c>
      <c r="H1895">
        <v>300</v>
      </c>
      <c r="I1895" s="5" t="s">
        <v>13514</v>
      </c>
      <c r="J1895" s="5" t="s">
        <v>13515</v>
      </c>
      <c r="K1895" s="5" t="str">
        <f t="shared" si="58"/>
        <v>https://www.google.com/maps?q=-11.756111, -40.713610</v>
      </c>
      <c r="L1895" s="5" t="str">
        <f t="shared" si="59"/>
        <v>Abrir no Maps</v>
      </c>
      <c r="M1895" t="s">
        <v>13516</v>
      </c>
      <c r="N1895" s="5"/>
      <c r="O1895" t="str">
        <f>VLOOKUP(G1895,'[1]CONFIG.'!$B:$C,2,0)</f>
        <v>EMETIO</v>
      </c>
      <c r="P1895" t="str">
        <f>VLOOKUP(O1895,'[1]CONFIG.'!$C:$D,2,0)</f>
        <v>74 98039589</v>
      </c>
    </row>
    <row r="1896" spans="1:16" x14ac:dyDescent="0.3">
      <c r="A1896" t="s">
        <v>13517</v>
      </c>
      <c r="B1896" t="s">
        <v>13518</v>
      </c>
      <c r="C1896" t="s">
        <v>13519</v>
      </c>
      <c r="D1896" t="s">
        <v>13348</v>
      </c>
      <c r="E1896" t="s">
        <v>13520</v>
      </c>
      <c r="F1896" t="s">
        <v>137</v>
      </c>
      <c r="G1896">
        <v>205</v>
      </c>
      <c r="H1896">
        <v>300</v>
      </c>
      <c r="I1896" s="5" t="s">
        <v>13521</v>
      </c>
      <c r="J1896" s="5" t="s">
        <v>13522</v>
      </c>
      <c r="K1896" s="5" t="str">
        <f t="shared" si="58"/>
        <v>https://www.google.com/maps?q=-11.853108, -40.787740</v>
      </c>
      <c r="L1896" s="5" t="str">
        <f t="shared" si="59"/>
        <v>Abrir no Maps</v>
      </c>
      <c r="M1896" t="s">
        <v>13523</v>
      </c>
      <c r="N1896" s="5"/>
      <c r="O1896" t="str">
        <f>VLOOKUP(G1896,'[1]CONFIG.'!$B:$C,2,0)</f>
        <v>EMETIO</v>
      </c>
      <c r="P1896" t="str">
        <f>VLOOKUP(O1896,'[1]CONFIG.'!$C:$D,2,0)</f>
        <v>74 98039589</v>
      </c>
    </row>
    <row r="1897" spans="1:16" x14ac:dyDescent="0.3">
      <c r="A1897" t="s">
        <v>13524</v>
      </c>
      <c r="B1897" t="s">
        <v>13525</v>
      </c>
      <c r="C1897" t="s">
        <v>13526</v>
      </c>
      <c r="D1897" t="s">
        <v>13348</v>
      </c>
      <c r="E1897" t="s">
        <v>13527</v>
      </c>
      <c r="F1897" t="s">
        <v>137</v>
      </c>
      <c r="G1897">
        <v>205</v>
      </c>
      <c r="H1897">
        <v>300</v>
      </c>
      <c r="I1897" s="5" t="s">
        <v>13528</v>
      </c>
      <c r="J1897" s="5" t="s">
        <v>13529</v>
      </c>
      <c r="K1897" s="5" t="str">
        <f t="shared" si="58"/>
        <v>https://www.google.com/maps?q=-11.846642, -40.799970</v>
      </c>
      <c r="L1897" s="5" t="str">
        <f t="shared" si="59"/>
        <v>Abrir no Maps</v>
      </c>
      <c r="M1897" t="s">
        <v>13530</v>
      </c>
      <c r="N1897" s="5"/>
      <c r="O1897" t="str">
        <f>VLOOKUP(G1897,'[1]CONFIG.'!$B:$C,2,0)</f>
        <v>EMETIO</v>
      </c>
      <c r="P1897" t="str">
        <f>VLOOKUP(O1897,'[1]CONFIG.'!$C:$D,2,0)</f>
        <v>74 98039589</v>
      </c>
    </row>
    <row r="1898" spans="1:16" x14ac:dyDescent="0.3">
      <c r="A1898" t="s">
        <v>13531</v>
      </c>
      <c r="B1898" t="s">
        <v>13532</v>
      </c>
      <c r="C1898" t="s">
        <v>13533</v>
      </c>
      <c r="D1898" t="s">
        <v>13348</v>
      </c>
      <c r="E1898" t="s">
        <v>13534</v>
      </c>
      <c r="F1898" t="s">
        <v>13350</v>
      </c>
      <c r="G1898">
        <v>205</v>
      </c>
      <c r="H1898">
        <v>300</v>
      </c>
      <c r="I1898" s="5" t="s">
        <v>13535</v>
      </c>
      <c r="J1898" s="5" t="s">
        <v>13536</v>
      </c>
      <c r="K1898" s="5" t="str">
        <f t="shared" si="58"/>
        <v>https://www.google.com/maps?q=-11.756068, -40.710472</v>
      </c>
      <c r="L1898" s="5" t="str">
        <f t="shared" si="59"/>
        <v>Abrir no Maps</v>
      </c>
      <c r="M1898" t="s">
        <v>13537</v>
      </c>
      <c r="N1898" s="5"/>
      <c r="O1898" t="str">
        <f>VLOOKUP(G1898,'[1]CONFIG.'!$B:$C,2,0)</f>
        <v>EMETIO</v>
      </c>
      <c r="P1898" t="str">
        <f>VLOOKUP(O1898,'[1]CONFIG.'!$C:$D,2,0)</f>
        <v>74 98039589</v>
      </c>
    </row>
    <row r="1899" spans="1:16" x14ac:dyDescent="0.3">
      <c r="A1899" t="s">
        <v>13538</v>
      </c>
      <c r="B1899" t="s">
        <v>13539</v>
      </c>
      <c r="C1899" t="s">
        <v>13540</v>
      </c>
      <c r="D1899" t="s">
        <v>13348</v>
      </c>
      <c r="E1899" t="s">
        <v>13541</v>
      </c>
      <c r="F1899" t="s">
        <v>13350</v>
      </c>
      <c r="G1899">
        <v>205</v>
      </c>
      <c r="H1899">
        <v>300</v>
      </c>
      <c r="I1899" s="5" t="s">
        <v>13542</v>
      </c>
      <c r="J1899" s="5" t="s">
        <v>13543</v>
      </c>
      <c r="K1899" s="5" t="str">
        <f t="shared" si="58"/>
        <v>https://www.google.com/maps?q=-11.755990, -40.714115</v>
      </c>
      <c r="L1899" s="5" t="str">
        <f t="shared" si="59"/>
        <v>Abrir no Maps</v>
      </c>
      <c r="M1899" t="s">
        <v>13544</v>
      </c>
      <c r="N1899" s="5"/>
      <c r="O1899" t="str">
        <f>VLOOKUP(G1899,'[1]CONFIG.'!$B:$C,2,0)</f>
        <v>EMETIO</v>
      </c>
      <c r="P1899" t="str">
        <f>VLOOKUP(O1899,'[1]CONFIG.'!$C:$D,2,0)</f>
        <v>74 98039589</v>
      </c>
    </row>
    <row r="1900" spans="1:16" x14ac:dyDescent="0.3">
      <c r="A1900" t="s">
        <v>13545</v>
      </c>
      <c r="B1900" t="s">
        <v>13546</v>
      </c>
      <c r="C1900" t="s">
        <v>13547</v>
      </c>
      <c r="D1900" t="s">
        <v>13348</v>
      </c>
      <c r="E1900" t="s">
        <v>13548</v>
      </c>
      <c r="F1900" t="s">
        <v>13350</v>
      </c>
      <c r="G1900">
        <v>205</v>
      </c>
      <c r="H1900">
        <v>300</v>
      </c>
      <c r="I1900" s="5" t="s">
        <v>13549</v>
      </c>
      <c r="J1900" s="5" t="s">
        <v>13550</v>
      </c>
      <c r="K1900" s="5" t="str">
        <f t="shared" si="58"/>
        <v>https://www.google.com/maps?q=-11.756893, -40.714264</v>
      </c>
      <c r="L1900" s="5" t="str">
        <f t="shared" si="59"/>
        <v>Abrir no Maps</v>
      </c>
      <c r="M1900" t="s">
        <v>13551</v>
      </c>
      <c r="N1900" s="5"/>
      <c r="O1900" t="str">
        <f>VLOOKUP(G1900,'[1]CONFIG.'!$B:$C,2,0)</f>
        <v>EMETIO</v>
      </c>
      <c r="P1900" t="str">
        <f>VLOOKUP(O1900,'[1]CONFIG.'!$C:$D,2,0)</f>
        <v>74 98039589</v>
      </c>
    </row>
    <row r="1901" spans="1:16" x14ac:dyDescent="0.3">
      <c r="A1901" t="s">
        <v>13552</v>
      </c>
      <c r="B1901" t="s">
        <v>13553</v>
      </c>
      <c r="C1901" t="s">
        <v>13554</v>
      </c>
      <c r="D1901" t="s">
        <v>13348</v>
      </c>
      <c r="E1901" t="s">
        <v>13555</v>
      </c>
      <c r="F1901" t="s">
        <v>137</v>
      </c>
      <c r="G1901">
        <v>205</v>
      </c>
      <c r="H1901">
        <v>300</v>
      </c>
      <c r="I1901" s="5" t="s">
        <v>13556</v>
      </c>
      <c r="J1901" s="5" t="s">
        <v>13557</v>
      </c>
      <c r="K1901" s="5" t="str">
        <f t="shared" si="58"/>
        <v>https://www.google.com/maps?q=-11.844722, -40.793888</v>
      </c>
      <c r="L1901" s="5" t="str">
        <f t="shared" si="59"/>
        <v>Abrir no Maps</v>
      </c>
      <c r="M1901" t="s">
        <v>13558</v>
      </c>
      <c r="N1901" s="5"/>
      <c r="O1901" t="str">
        <f>VLOOKUP(G1901,'[1]CONFIG.'!$B:$C,2,0)</f>
        <v>EMETIO</v>
      </c>
      <c r="P1901" t="str">
        <f>VLOOKUP(O1901,'[1]CONFIG.'!$C:$D,2,0)</f>
        <v>74 98039589</v>
      </c>
    </row>
    <row r="1902" spans="1:16" x14ac:dyDescent="0.3">
      <c r="A1902" t="s">
        <v>13559</v>
      </c>
      <c r="B1902" t="s">
        <v>13560</v>
      </c>
      <c r="C1902" t="s">
        <v>13561</v>
      </c>
      <c r="D1902" t="s">
        <v>13348</v>
      </c>
      <c r="E1902" t="s">
        <v>13562</v>
      </c>
      <c r="F1902" t="s">
        <v>137</v>
      </c>
      <c r="G1902">
        <v>205</v>
      </c>
      <c r="H1902">
        <v>300</v>
      </c>
      <c r="I1902" s="5" t="s">
        <v>13563</v>
      </c>
      <c r="J1902" s="5" t="s">
        <v>13408</v>
      </c>
      <c r="K1902" s="5" t="str">
        <f t="shared" si="58"/>
        <v>https://www.google.com/maps?q=-11.847222, -40.797500</v>
      </c>
      <c r="L1902" s="5" t="str">
        <f t="shared" si="59"/>
        <v>Abrir no Maps</v>
      </c>
      <c r="M1902" t="s">
        <v>13564</v>
      </c>
      <c r="N1902" s="5"/>
      <c r="O1902" t="str">
        <f>VLOOKUP(G1902,'[1]CONFIG.'!$B:$C,2,0)</f>
        <v>EMETIO</v>
      </c>
      <c r="P1902" t="str">
        <f>VLOOKUP(O1902,'[1]CONFIG.'!$C:$D,2,0)</f>
        <v>74 98039589</v>
      </c>
    </row>
    <row r="1903" spans="1:16" x14ac:dyDescent="0.3">
      <c r="A1903" t="s">
        <v>13565</v>
      </c>
      <c r="B1903" t="s">
        <v>13566</v>
      </c>
      <c r="C1903" t="s">
        <v>13567</v>
      </c>
      <c r="D1903" t="s">
        <v>13348</v>
      </c>
      <c r="E1903" t="s">
        <v>13568</v>
      </c>
      <c r="F1903" t="s">
        <v>137</v>
      </c>
      <c r="G1903">
        <v>205</v>
      </c>
      <c r="H1903">
        <v>300</v>
      </c>
      <c r="I1903" s="5" t="s">
        <v>13569</v>
      </c>
      <c r="J1903" s="5" t="s">
        <v>13570</v>
      </c>
      <c r="K1903" s="5" t="str">
        <f t="shared" si="58"/>
        <v>https://www.google.com/maps?q=-11.848759, -40.791412</v>
      </c>
      <c r="L1903" s="5" t="str">
        <f t="shared" si="59"/>
        <v>Abrir no Maps</v>
      </c>
      <c r="M1903" t="s">
        <v>13571</v>
      </c>
      <c r="N1903" s="5"/>
      <c r="O1903" t="str">
        <f>VLOOKUP(G1903,'[1]CONFIG.'!$B:$C,2,0)</f>
        <v>EMETIO</v>
      </c>
      <c r="P1903" t="str">
        <f>VLOOKUP(O1903,'[1]CONFIG.'!$C:$D,2,0)</f>
        <v>74 98039589</v>
      </c>
    </row>
    <row r="1904" spans="1:16" x14ac:dyDescent="0.3">
      <c r="A1904" t="s">
        <v>13572</v>
      </c>
      <c r="B1904" t="s">
        <v>13573</v>
      </c>
      <c r="C1904" t="s">
        <v>13574</v>
      </c>
      <c r="D1904" t="s">
        <v>13348</v>
      </c>
      <c r="E1904" t="s">
        <v>13575</v>
      </c>
      <c r="F1904" t="s">
        <v>137</v>
      </c>
      <c r="G1904">
        <v>205</v>
      </c>
      <c r="H1904">
        <v>300</v>
      </c>
      <c r="I1904" s="5" t="s">
        <v>13576</v>
      </c>
      <c r="J1904" s="5" t="s">
        <v>13577</v>
      </c>
      <c r="K1904" s="5" t="str">
        <f t="shared" si="58"/>
        <v>https://www.google.com/maps?q=-11.849661, -40.792072</v>
      </c>
      <c r="L1904" s="5" t="str">
        <f t="shared" si="59"/>
        <v>Abrir no Maps</v>
      </c>
      <c r="M1904" t="s">
        <v>13578</v>
      </c>
      <c r="N1904" s="5"/>
      <c r="O1904" t="str">
        <f>VLOOKUP(G1904,'[1]CONFIG.'!$B:$C,2,0)</f>
        <v>EMETIO</v>
      </c>
      <c r="P1904" t="str">
        <f>VLOOKUP(O1904,'[1]CONFIG.'!$C:$D,2,0)</f>
        <v>74 98039589</v>
      </c>
    </row>
    <row r="1905" spans="1:16" x14ac:dyDescent="0.3">
      <c r="A1905" t="s">
        <v>13579</v>
      </c>
      <c r="B1905" t="s">
        <v>13580</v>
      </c>
      <c r="C1905" t="s">
        <v>13581</v>
      </c>
      <c r="D1905" t="s">
        <v>13348</v>
      </c>
      <c r="E1905" t="s">
        <v>13582</v>
      </c>
      <c r="F1905" t="s">
        <v>137</v>
      </c>
      <c r="G1905">
        <v>205</v>
      </c>
      <c r="H1905">
        <v>300</v>
      </c>
      <c r="I1905" s="5" t="s">
        <v>13583</v>
      </c>
      <c r="J1905" s="5" t="s">
        <v>13584</v>
      </c>
      <c r="K1905" s="5" t="str">
        <f t="shared" si="58"/>
        <v>https://www.google.com/maps?q=-11.846901, -40.794075</v>
      </c>
      <c r="L1905" s="5" t="str">
        <f t="shared" si="59"/>
        <v>Abrir no Maps</v>
      </c>
      <c r="M1905" t="s">
        <v>13585</v>
      </c>
      <c r="N1905" s="5"/>
      <c r="O1905" t="str">
        <f>VLOOKUP(G1905,'[1]CONFIG.'!$B:$C,2,0)</f>
        <v>EMETIO</v>
      </c>
      <c r="P1905" t="str">
        <f>VLOOKUP(O1905,'[1]CONFIG.'!$C:$D,2,0)</f>
        <v>74 98039589</v>
      </c>
    </row>
    <row r="1906" spans="1:16" x14ac:dyDescent="0.3">
      <c r="A1906" t="s">
        <v>13586</v>
      </c>
      <c r="B1906" t="s">
        <v>13587</v>
      </c>
      <c r="C1906" t="s">
        <v>13588</v>
      </c>
      <c r="D1906" t="s">
        <v>13348</v>
      </c>
      <c r="E1906" t="s">
        <v>13589</v>
      </c>
      <c r="F1906" t="s">
        <v>137</v>
      </c>
      <c r="G1906">
        <v>205</v>
      </c>
      <c r="H1906">
        <v>300</v>
      </c>
      <c r="I1906" s="5" t="s">
        <v>13590</v>
      </c>
      <c r="J1906" s="5" t="s">
        <v>13591</v>
      </c>
      <c r="K1906" s="5" t="str">
        <f t="shared" si="58"/>
        <v>https://www.google.com/maps?q=-11.842739, -40.796806</v>
      </c>
      <c r="L1906" s="5" t="str">
        <f t="shared" si="59"/>
        <v>Abrir no Maps</v>
      </c>
      <c r="M1906" t="s">
        <v>13592</v>
      </c>
      <c r="N1906" s="5"/>
      <c r="O1906" t="str">
        <f>VLOOKUP(G1906,'[1]CONFIG.'!$B:$C,2,0)</f>
        <v>EMETIO</v>
      </c>
      <c r="P1906" t="str">
        <f>VLOOKUP(O1906,'[1]CONFIG.'!$C:$D,2,0)</f>
        <v>74 98039589</v>
      </c>
    </row>
    <row r="1907" spans="1:16" x14ac:dyDescent="0.3">
      <c r="A1907" t="s">
        <v>13593</v>
      </c>
      <c r="B1907" t="s">
        <v>13594</v>
      </c>
      <c r="C1907" t="s">
        <v>13595</v>
      </c>
      <c r="D1907" t="s">
        <v>13348</v>
      </c>
      <c r="E1907" t="s">
        <v>13596</v>
      </c>
      <c r="F1907" t="s">
        <v>137</v>
      </c>
      <c r="G1907">
        <v>205</v>
      </c>
      <c r="H1907">
        <v>300</v>
      </c>
      <c r="I1907" s="5" t="s">
        <v>13597</v>
      </c>
      <c r="J1907" s="5" t="s">
        <v>13598</v>
      </c>
      <c r="K1907" s="5" t="str">
        <f t="shared" si="58"/>
        <v>https://www.google.com/maps?q=-11.845180, -40.793895</v>
      </c>
      <c r="L1907" s="5" t="str">
        <f t="shared" si="59"/>
        <v>Abrir no Maps</v>
      </c>
      <c r="M1907" t="s">
        <v>13599</v>
      </c>
      <c r="N1907" s="5"/>
      <c r="O1907" t="str">
        <f>VLOOKUP(G1907,'[1]CONFIG.'!$B:$C,2,0)</f>
        <v>EMETIO</v>
      </c>
      <c r="P1907" t="str">
        <f>VLOOKUP(O1907,'[1]CONFIG.'!$C:$D,2,0)</f>
        <v>74 98039589</v>
      </c>
    </row>
    <row r="1908" spans="1:16" x14ac:dyDescent="0.3">
      <c r="A1908" t="s">
        <v>13600</v>
      </c>
      <c r="B1908" t="s">
        <v>13601</v>
      </c>
      <c r="C1908" t="s">
        <v>13602</v>
      </c>
      <c r="D1908" t="s">
        <v>13348</v>
      </c>
      <c r="E1908" t="s">
        <v>13603</v>
      </c>
      <c r="F1908" t="s">
        <v>137</v>
      </c>
      <c r="G1908">
        <v>205</v>
      </c>
      <c r="H1908">
        <v>300</v>
      </c>
      <c r="I1908" s="5" t="s">
        <v>13604</v>
      </c>
      <c r="J1908" s="5" t="s">
        <v>13605</v>
      </c>
      <c r="K1908" s="5" t="str">
        <f t="shared" si="58"/>
        <v>https://www.google.com/maps?q=-11.842724, -40.797897</v>
      </c>
      <c r="L1908" s="5" t="str">
        <f t="shared" si="59"/>
        <v>Abrir no Maps</v>
      </c>
      <c r="M1908" t="s">
        <v>13606</v>
      </c>
      <c r="N1908" s="5"/>
      <c r="O1908" t="str">
        <f>VLOOKUP(G1908,'[1]CONFIG.'!$B:$C,2,0)</f>
        <v>EMETIO</v>
      </c>
      <c r="P1908" t="str">
        <f>VLOOKUP(O1908,'[1]CONFIG.'!$C:$D,2,0)</f>
        <v>74 98039589</v>
      </c>
    </row>
    <row r="1909" spans="1:16" x14ac:dyDescent="0.3">
      <c r="A1909" t="s">
        <v>13607</v>
      </c>
      <c r="B1909" t="s">
        <v>13608</v>
      </c>
      <c r="C1909" t="s">
        <v>13609</v>
      </c>
      <c r="D1909" t="s">
        <v>13348</v>
      </c>
      <c r="E1909" t="s">
        <v>13610</v>
      </c>
      <c r="F1909" t="s">
        <v>137</v>
      </c>
      <c r="G1909">
        <v>205</v>
      </c>
      <c r="H1909">
        <v>300</v>
      </c>
      <c r="I1909" s="5" t="s">
        <v>13611</v>
      </c>
      <c r="J1909" s="5" t="s">
        <v>13612</v>
      </c>
      <c r="K1909" s="5" t="str">
        <f t="shared" si="58"/>
        <v>https://www.google.com/maps?q=-11.846388, -40.791046</v>
      </c>
      <c r="L1909" s="5" t="str">
        <f t="shared" si="59"/>
        <v>Abrir no Maps</v>
      </c>
      <c r="M1909" t="s">
        <v>13613</v>
      </c>
      <c r="N1909" s="5"/>
      <c r="O1909" t="str">
        <f>VLOOKUP(G1909,'[1]CONFIG.'!$B:$C,2,0)</f>
        <v>EMETIO</v>
      </c>
      <c r="P1909" t="str">
        <f>VLOOKUP(O1909,'[1]CONFIG.'!$C:$D,2,0)</f>
        <v>74 98039589</v>
      </c>
    </row>
    <row r="1910" spans="1:16" x14ac:dyDescent="0.3">
      <c r="A1910" t="s">
        <v>13614</v>
      </c>
      <c r="B1910" t="s">
        <v>13615</v>
      </c>
      <c r="C1910" t="s">
        <v>13616</v>
      </c>
      <c r="D1910" t="s">
        <v>13348</v>
      </c>
      <c r="E1910" t="s">
        <v>13617</v>
      </c>
      <c r="F1910" t="s">
        <v>137</v>
      </c>
      <c r="G1910">
        <v>205</v>
      </c>
      <c r="H1910">
        <v>300</v>
      </c>
      <c r="I1910" s="5" t="s">
        <v>13618</v>
      </c>
      <c r="J1910" s="5" t="s">
        <v>13619</v>
      </c>
      <c r="K1910" s="5" t="str">
        <f t="shared" si="58"/>
        <v>https://www.google.com/maps?q=-11.849178, -40.792520</v>
      </c>
      <c r="L1910" s="5" t="str">
        <f t="shared" si="59"/>
        <v>Abrir no Maps</v>
      </c>
      <c r="M1910" t="s">
        <v>13578</v>
      </c>
      <c r="N1910" s="5"/>
      <c r="O1910" t="str">
        <f>VLOOKUP(G1910,'[1]CONFIG.'!$B:$C,2,0)</f>
        <v>EMETIO</v>
      </c>
      <c r="P1910" t="str">
        <f>VLOOKUP(O1910,'[1]CONFIG.'!$C:$D,2,0)</f>
        <v>74 98039589</v>
      </c>
    </row>
    <row r="1911" spans="1:16" x14ac:dyDescent="0.3">
      <c r="A1911" t="s">
        <v>13620</v>
      </c>
      <c r="B1911" t="s">
        <v>13621</v>
      </c>
      <c r="C1911" t="s">
        <v>13622</v>
      </c>
      <c r="D1911" t="s">
        <v>13348</v>
      </c>
      <c r="E1911" t="s">
        <v>13623</v>
      </c>
      <c r="F1911" t="s">
        <v>137</v>
      </c>
      <c r="G1911">
        <v>205</v>
      </c>
      <c r="H1911">
        <v>300</v>
      </c>
      <c r="I1911" s="5" t="s">
        <v>13624</v>
      </c>
      <c r="J1911" s="5" t="s">
        <v>13625</v>
      </c>
      <c r="K1911" s="5" t="str">
        <f t="shared" si="58"/>
        <v>https://www.google.com/maps?q=-11.846397, -40.799377</v>
      </c>
      <c r="L1911" s="5" t="str">
        <f t="shared" si="59"/>
        <v>Abrir no Maps</v>
      </c>
      <c r="M1911" t="s">
        <v>13626</v>
      </c>
      <c r="N1911" s="5"/>
      <c r="O1911" t="str">
        <f>VLOOKUP(G1911,'[1]CONFIG.'!$B:$C,2,0)</f>
        <v>EMETIO</v>
      </c>
      <c r="P1911" t="str">
        <f>VLOOKUP(O1911,'[1]CONFIG.'!$C:$D,2,0)</f>
        <v>74 98039589</v>
      </c>
    </row>
    <row r="1912" spans="1:16" x14ac:dyDescent="0.3">
      <c r="A1912" t="s">
        <v>13627</v>
      </c>
      <c r="B1912" t="s">
        <v>13628</v>
      </c>
      <c r="C1912" t="s">
        <v>13629</v>
      </c>
      <c r="D1912" t="s">
        <v>13348</v>
      </c>
      <c r="E1912" t="s">
        <v>13630</v>
      </c>
      <c r="F1912" t="s">
        <v>137</v>
      </c>
      <c r="G1912">
        <v>205</v>
      </c>
      <c r="H1912">
        <v>300</v>
      </c>
      <c r="I1912" s="5" t="s">
        <v>13631</v>
      </c>
      <c r="J1912" s="5" t="s">
        <v>13632</v>
      </c>
      <c r="K1912" s="5" t="str">
        <f t="shared" si="58"/>
        <v>https://www.google.com/maps?q=-11.851867, -40.788277</v>
      </c>
      <c r="L1912" s="5" t="str">
        <f t="shared" si="59"/>
        <v>Abrir no Maps</v>
      </c>
      <c r="M1912" t="s">
        <v>13633</v>
      </c>
      <c r="N1912" s="5"/>
      <c r="O1912" t="str">
        <f>VLOOKUP(G1912,'[1]CONFIG.'!$B:$C,2,0)</f>
        <v>EMETIO</v>
      </c>
      <c r="P1912" t="str">
        <f>VLOOKUP(O1912,'[1]CONFIG.'!$C:$D,2,0)</f>
        <v>74 98039589</v>
      </c>
    </row>
    <row r="1913" spans="1:16" x14ac:dyDescent="0.3">
      <c r="A1913" t="s">
        <v>13634</v>
      </c>
      <c r="B1913" t="s">
        <v>13635</v>
      </c>
      <c r="C1913" t="s">
        <v>13636</v>
      </c>
      <c r="D1913" t="s">
        <v>13348</v>
      </c>
      <c r="E1913" t="s">
        <v>13637</v>
      </c>
      <c r="F1913" t="s">
        <v>137</v>
      </c>
      <c r="G1913">
        <v>205</v>
      </c>
      <c r="H1913">
        <v>300</v>
      </c>
      <c r="I1913" s="5" t="s">
        <v>13638</v>
      </c>
      <c r="J1913" s="5" t="s">
        <v>13639</v>
      </c>
      <c r="K1913" s="5" t="str">
        <f t="shared" si="58"/>
        <v>https://www.google.com/maps?q=-11.850848, -40.788180</v>
      </c>
      <c r="L1913" s="5" t="str">
        <f t="shared" si="59"/>
        <v>Abrir no Maps</v>
      </c>
      <c r="M1913" t="s">
        <v>13640</v>
      </c>
      <c r="N1913" s="5"/>
      <c r="O1913" t="str">
        <f>VLOOKUP(G1913,'[1]CONFIG.'!$B:$C,2,0)</f>
        <v>EMETIO</v>
      </c>
      <c r="P1913" t="str">
        <f>VLOOKUP(O1913,'[1]CONFIG.'!$C:$D,2,0)</f>
        <v>74 98039589</v>
      </c>
    </row>
    <row r="1914" spans="1:16" x14ac:dyDescent="0.3">
      <c r="A1914" t="s">
        <v>13641</v>
      </c>
      <c r="B1914" t="s">
        <v>13642</v>
      </c>
      <c r="C1914" t="s">
        <v>13643</v>
      </c>
      <c r="D1914" t="s">
        <v>13348</v>
      </c>
      <c r="E1914" t="s">
        <v>13644</v>
      </c>
      <c r="F1914" t="s">
        <v>137</v>
      </c>
      <c r="G1914">
        <v>205</v>
      </c>
      <c r="H1914">
        <v>300</v>
      </c>
      <c r="I1914" s="5" t="s">
        <v>13645</v>
      </c>
      <c r="J1914" s="5" t="s">
        <v>13646</v>
      </c>
      <c r="K1914" s="5" t="str">
        <f t="shared" si="58"/>
        <v>https://www.google.com/maps?q=-11.848186, -40.791910</v>
      </c>
      <c r="L1914" s="5" t="str">
        <f t="shared" si="59"/>
        <v>Abrir no Maps</v>
      </c>
      <c r="M1914" t="s">
        <v>13647</v>
      </c>
      <c r="N1914" s="5"/>
      <c r="O1914" t="str">
        <f>VLOOKUP(G1914,'[1]CONFIG.'!$B:$C,2,0)</f>
        <v>EMETIO</v>
      </c>
      <c r="P1914" t="str">
        <f>VLOOKUP(O1914,'[1]CONFIG.'!$C:$D,2,0)</f>
        <v>74 98039589</v>
      </c>
    </row>
    <row r="1915" spans="1:16" x14ac:dyDescent="0.3">
      <c r="A1915" t="s">
        <v>13648</v>
      </c>
      <c r="B1915" t="s">
        <v>13649</v>
      </c>
      <c r="C1915" t="s">
        <v>13650</v>
      </c>
      <c r="D1915" t="s">
        <v>13348</v>
      </c>
      <c r="E1915" t="s">
        <v>13651</v>
      </c>
      <c r="F1915" t="s">
        <v>137</v>
      </c>
      <c r="G1915">
        <v>205</v>
      </c>
      <c r="H1915">
        <v>300</v>
      </c>
      <c r="I1915" s="5" t="s">
        <v>13652</v>
      </c>
      <c r="J1915" s="5" t="s">
        <v>13653</v>
      </c>
      <c r="K1915" s="5" t="str">
        <f t="shared" si="58"/>
        <v>https://www.google.com/maps?q=-11.844951, -40.797806</v>
      </c>
      <c r="L1915" s="5" t="str">
        <f t="shared" si="59"/>
        <v>Abrir no Maps</v>
      </c>
      <c r="M1915" t="s">
        <v>13654</v>
      </c>
      <c r="N1915" s="5"/>
      <c r="O1915" t="str">
        <f>VLOOKUP(G1915,'[1]CONFIG.'!$B:$C,2,0)</f>
        <v>EMETIO</v>
      </c>
      <c r="P1915" t="str">
        <f>VLOOKUP(O1915,'[1]CONFIG.'!$C:$D,2,0)</f>
        <v>74 98039589</v>
      </c>
    </row>
    <row r="1916" spans="1:16" x14ac:dyDescent="0.3">
      <c r="A1916" t="s">
        <v>13655</v>
      </c>
      <c r="B1916" t="s">
        <v>13656</v>
      </c>
      <c r="C1916" t="s">
        <v>13657</v>
      </c>
      <c r="D1916" t="s">
        <v>13348</v>
      </c>
      <c r="E1916" t="s">
        <v>13658</v>
      </c>
      <c r="F1916" t="s">
        <v>137</v>
      </c>
      <c r="G1916">
        <v>205</v>
      </c>
      <c r="H1916">
        <v>300</v>
      </c>
      <c r="I1916" s="5" t="s">
        <v>13659</v>
      </c>
      <c r="J1916" s="5" t="s">
        <v>13660</v>
      </c>
      <c r="K1916" s="5" t="str">
        <f t="shared" si="58"/>
        <v>https://www.google.com/maps?q=-11.848260, -40.791496</v>
      </c>
      <c r="L1916" s="5" t="str">
        <f t="shared" si="59"/>
        <v>Abrir no Maps</v>
      </c>
      <c r="M1916" t="s">
        <v>13661</v>
      </c>
      <c r="N1916" s="5"/>
      <c r="O1916" t="str">
        <f>VLOOKUP(G1916,'[1]CONFIG.'!$B:$C,2,0)</f>
        <v>EMETIO</v>
      </c>
      <c r="P1916" t="str">
        <f>VLOOKUP(O1916,'[1]CONFIG.'!$C:$D,2,0)</f>
        <v>74 98039589</v>
      </c>
    </row>
    <row r="1917" spans="1:16" x14ac:dyDescent="0.3">
      <c r="A1917" t="s">
        <v>13662</v>
      </c>
      <c r="B1917" t="s">
        <v>13663</v>
      </c>
      <c r="C1917" t="s">
        <v>13664</v>
      </c>
      <c r="D1917" t="s">
        <v>13348</v>
      </c>
      <c r="E1917" t="s">
        <v>13665</v>
      </c>
      <c r="F1917" t="s">
        <v>137</v>
      </c>
      <c r="G1917">
        <v>205</v>
      </c>
      <c r="H1917">
        <v>300</v>
      </c>
      <c r="I1917" s="5" t="s">
        <v>13666</v>
      </c>
      <c r="J1917" s="5" t="s">
        <v>13667</v>
      </c>
      <c r="K1917" s="5" t="str">
        <f t="shared" si="58"/>
        <v>https://www.google.com/maps?q=-11.846457, -40.792460</v>
      </c>
      <c r="L1917" s="5" t="str">
        <f t="shared" si="59"/>
        <v>Abrir no Maps</v>
      </c>
      <c r="M1917" t="s">
        <v>13668</v>
      </c>
      <c r="N1917" s="5"/>
      <c r="O1917" t="str">
        <f>VLOOKUP(G1917,'[1]CONFIG.'!$B:$C,2,0)</f>
        <v>EMETIO</v>
      </c>
      <c r="P1917" t="str">
        <f>VLOOKUP(O1917,'[1]CONFIG.'!$C:$D,2,0)</f>
        <v>74 98039589</v>
      </c>
    </row>
    <row r="1918" spans="1:16" x14ac:dyDescent="0.3">
      <c r="A1918" t="s">
        <v>13669</v>
      </c>
      <c r="B1918" t="s">
        <v>13670</v>
      </c>
      <c r="C1918" t="s">
        <v>13671</v>
      </c>
      <c r="D1918" t="s">
        <v>13348</v>
      </c>
      <c r="E1918" t="s">
        <v>13672</v>
      </c>
      <c r="F1918" t="s">
        <v>13673</v>
      </c>
      <c r="G1918">
        <v>205</v>
      </c>
      <c r="H1918">
        <v>300</v>
      </c>
      <c r="I1918" s="5" t="s">
        <v>13674</v>
      </c>
      <c r="J1918" s="5" t="s">
        <v>13675</v>
      </c>
      <c r="K1918" s="5" t="str">
        <f t="shared" si="58"/>
        <v>https://www.google.com/maps?q=-11.896862, -40.884556</v>
      </c>
      <c r="L1918" s="5" t="str">
        <f t="shared" si="59"/>
        <v>Abrir no Maps</v>
      </c>
      <c r="M1918" t="s">
        <v>13676</v>
      </c>
      <c r="N1918" s="5"/>
      <c r="O1918" t="str">
        <f>VLOOKUP(G1918,'[1]CONFIG.'!$B:$C,2,0)</f>
        <v>EMETIO</v>
      </c>
      <c r="P1918" t="str">
        <f>VLOOKUP(O1918,'[1]CONFIG.'!$C:$D,2,0)</f>
        <v>74 98039589</v>
      </c>
    </row>
    <row r="1919" spans="1:16" x14ac:dyDescent="0.3">
      <c r="A1919" t="s">
        <v>13677</v>
      </c>
      <c r="B1919" t="s">
        <v>13678</v>
      </c>
      <c r="C1919" t="s">
        <v>13679</v>
      </c>
      <c r="D1919" t="s">
        <v>13348</v>
      </c>
      <c r="E1919" t="s">
        <v>13680</v>
      </c>
      <c r="F1919" t="s">
        <v>137</v>
      </c>
      <c r="G1919">
        <v>205</v>
      </c>
      <c r="H1919">
        <v>300</v>
      </c>
      <c r="I1919" s="5" t="s">
        <v>13681</v>
      </c>
      <c r="J1919" s="5" t="s">
        <v>13682</v>
      </c>
      <c r="K1919" s="5" t="str">
        <f t="shared" si="58"/>
        <v>https://www.google.com/maps?q=-11.848200, -40.791893</v>
      </c>
      <c r="L1919" s="5" t="str">
        <f t="shared" si="59"/>
        <v>Abrir no Maps</v>
      </c>
      <c r="M1919" t="s">
        <v>13683</v>
      </c>
      <c r="N1919" s="5"/>
      <c r="O1919" t="str">
        <f>VLOOKUP(G1919,'[1]CONFIG.'!$B:$C,2,0)</f>
        <v>EMETIO</v>
      </c>
      <c r="P1919" t="str">
        <f>VLOOKUP(O1919,'[1]CONFIG.'!$C:$D,2,0)</f>
        <v>74 98039589</v>
      </c>
    </row>
    <row r="1920" spans="1:16" x14ac:dyDescent="0.3">
      <c r="A1920" t="s">
        <v>13684</v>
      </c>
      <c r="B1920" t="s">
        <v>13685</v>
      </c>
      <c r="C1920" t="s">
        <v>13686</v>
      </c>
      <c r="D1920" t="s">
        <v>13348</v>
      </c>
      <c r="E1920" t="s">
        <v>13687</v>
      </c>
      <c r="F1920" t="s">
        <v>137</v>
      </c>
      <c r="G1920">
        <v>205</v>
      </c>
      <c r="H1920">
        <v>300</v>
      </c>
      <c r="I1920" s="5" t="s">
        <v>13688</v>
      </c>
      <c r="J1920" s="5" t="s">
        <v>13689</v>
      </c>
      <c r="K1920" s="5" t="str">
        <f t="shared" si="58"/>
        <v>https://www.google.com/maps?q=-11.849026, -40.791473</v>
      </c>
      <c r="L1920" s="5" t="str">
        <f t="shared" si="59"/>
        <v>Abrir no Maps</v>
      </c>
      <c r="M1920" t="s">
        <v>13690</v>
      </c>
      <c r="N1920" s="5"/>
      <c r="O1920" t="str">
        <f>VLOOKUP(G1920,'[1]CONFIG.'!$B:$C,2,0)</f>
        <v>EMETIO</v>
      </c>
      <c r="P1920" t="str">
        <f>VLOOKUP(O1920,'[1]CONFIG.'!$C:$D,2,0)</f>
        <v>74 98039589</v>
      </c>
    </row>
    <row r="1921" spans="1:16" x14ac:dyDescent="0.3">
      <c r="A1921" t="s">
        <v>13691</v>
      </c>
      <c r="B1921" t="s">
        <v>13692</v>
      </c>
      <c r="C1921" t="s">
        <v>13693</v>
      </c>
      <c r="D1921" t="s">
        <v>13348</v>
      </c>
      <c r="E1921" t="s">
        <v>13694</v>
      </c>
      <c r="F1921" t="s">
        <v>13350</v>
      </c>
      <c r="G1921">
        <v>205</v>
      </c>
      <c r="H1921">
        <v>300</v>
      </c>
      <c r="I1921" s="5" t="s">
        <v>13695</v>
      </c>
      <c r="J1921" s="5" t="s">
        <v>13696</v>
      </c>
      <c r="K1921" s="5" t="str">
        <f t="shared" si="58"/>
        <v>https://www.google.com/maps?q=-11.755653, -40.713267</v>
      </c>
      <c r="L1921" s="5" t="str">
        <f t="shared" si="59"/>
        <v>Abrir no Maps</v>
      </c>
      <c r="M1921" t="s">
        <v>13697</v>
      </c>
      <c r="N1921" s="5"/>
      <c r="O1921" t="str">
        <f>VLOOKUP(G1921,'[1]CONFIG.'!$B:$C,2,0)</f>
        <v>EMETIO</v>
      </c>
      <c r="P1921" t="str">
        <f>VLOOKUP(O1921,'[1]CONFIG.'!$C:$D,2,0)</f>
        <v>74 98039589</v>
      </c>
    </row>
    <row r="1922" spans="1:16" x14ac:dyDescent="0.3">
      <c r="A1922" t="s">
        <v>13698</v>
      </c>
      <c r="B1922" t="s">
        <v>13699</v>
      </c>
      <c r="C1922" t="s">
        <v>13700</v>
      </c>
      <c r="D1922" t="s">
        <v>13348</v>
      </c>
      <c r="E1922" t="s">
        <v>13701</v>
      </c>
      <c r="F1922" t="s">
        <v>137</v>
      </c>
      <c r="G1922">
        <v>205</v>
      </c>
      <c r="H1922">
        <v>300</v>
      </c>
      <c r="I1922" s="5" t="s">
        <v>13702</v>
      </c>
      <c r="J1922" s="5" t="s">
        <v>13703</v>
      </c>
      <c r="K1922" s="5" t="str">
        <f t="shared" si="58"/>
        <v>https://www.google.com/maps?q=-11.848947, -40.791219</v>
      </c>
      <c r="L1922" s="5" t="str">
        <f t="shared" si="59"/>
        <v>Abrir no Maps</v>
      </c>
      <c r="M1922" t="s">
        <v>13704</v>
      </c>
      <c r="N1922" s="5"/>
      <c r="O1922" t="str">
        <f>VLOOKUP(G1922,'[1]CONFIG.'!$B:$C,2,0)</f>
        <v>EMETIO</v>
      </c>
      <c r="P1922" t="str">
        <f>VLOOKUP(O1922,'[1]CONFIG.'!$C:$D,2,0)</f>
        <v>74 98039589</v>
      </c>
    </row>
    <row r="1923" spans="1:16" x14ac:dyDescent="0.3">
      <c r="A1923" t="s">
        <v>13705</v>
      </c>
      <c r="B1923" t="s">
        <v>13706</v>
      </c>
      <c r="C1923" t="s">
        <v>13707</v>
      </c>
      <c r="D1923" t="s">
        <v>13348</v>
      </c>
      <c r="E1923" t="s">
        <v>13708</v>
      </c>
      <c r="F1923" t="s">
        <v>137</v>
      </c>
      <c r="G1923">
        <v>205</v>
      </c>
      <c r="H1923">
        <v>300</v>
      </c>
      <c r="I1923" s="5" t="s">
        <v>13709</v>
      </c>
      <c r="J1923" s="5" t="s">
        <v>13710</v>
      </c>
      <c r="K1923" s="5" t="str">
        <f t="shared" si="58"/>
        <v>https://www.google.com/maps?q=-11.848430, -40.792647</v>
      </c>
      <c r="L1923" s="5" t="str">
        <f t="shared" si="59"/>
        <v>Abrir no Maps</v>
      </c>
      <c r="M1923" t="s">
        <v>13711</v>
      </c>
      <c r="N1923" s="5"/>
      <c r="O1923" t="str">
        <f>VLOOKUP(G1923,'[1]CONFIG.'!$B:$C,2,0)</f>
        <v>EMETIO</v>
      </c>
      <c r="P1923" t="str">
        <f>VLOOKUP(O1923,'[1]CONFIG.'!$C:$D,2,0)</f>
        <v>74 98039589</v>
      </c>
    </row>
    <row r="1924" spans="1:16" x14ac:dyDescent="0.3">
      <c r="A1924" t="s">
        <v>13712</v>
      </c>
      <c r="B1924" t="s">
        <v>13713</v>
      </c>
      <c r="C1924" t="s">
        <v>13714</v>
      </c>
      <c r="D1924" t="s">
        <v>13348</v>
      </c>
      <c r="E1924" t="s">
        <v>13715</v>
      </c>
      <c r="F1924" t="s">
        <v>13716</v>
      </c>
      <c r="G1924">
        <v>205</v>
      </c>
      <c r="H1924">
        <v>300</v>
      </c>
      <c r="I1924" s="5" t="s">
        <v>13717</v>
      </c>
      <c r="J1924" s="5" t="s">
        <v>13718</v>
      </c>
      <c r="K1924" s="5" t="str">
        <f t="shared" ref="K1924:K1987" si="60">"https://www.google.com/maps?q="&amp;""&amp;LEFT(I1924,3)&amp;"."&amp;RIGHT(I1924,6)&amp;", "&amp;LEFT(J1924,3)&amp;"."&amp;RIGHT(J1924,6)</f>
        <v>https://www.google.com/maps?q=-11.848448, -40.785872</v>
      </c>
      <c r="L1924" s="5" t="str">
        <f t="shared" ref="L1924:L1987" si="61">HYPERLINK(K1924,"Abrir no Maps")</f>
        <v>Abrir no Maps</v>
      </c>
      <c r="M1924" t="s">
        <v>13719</v>
      </c>
      <c r="N1924" s="5"/>
      <c r="O1924" t="str">
        <f>VLOOKUP(G1924,'[1]CONFIG.'!$B:$C,2,0)</f>
        <v>EMETIO</v>
      </c>
      <c r="P1924" t="str">
        <f>VLOOKUP(O1924,'[1]CONFIG.'!$C:$D,2,0)</f>
        <v>74 98039589</v>
      </c>
    </row>
    <row r="1925" spans="1:16" x14ac:dyDescent="0.3">
      <c r="A1925" t="s">
        <v>13720</v>
      </c>
      <c r="B1925" t="s">
        <v>13721</v>
      </c>
      <c r="C1925" t="s">
        <v>13722</v>
      </c>
      <c r="D1925" t="s">
        <v>12017</v>
      </c>
      <c r="E1925" t="s">
        <v>13723</v>
      </c>
      <c r="F1925" t="s">
        <v>137</v>
      </c>
      <c r="G1925">
        <v>211</v>
      </c>
      <c r="H1925">
        <v>500</v>
      </c>
      <c r="I1925" s="5" t="s">
        <v>13724</v>
      </c>
      <c r="J1925" s="5" t="s">
        <v>13725</v>
      </c>
      <c r="K1925" s="5" t="str">
        <f t="shared" si="60"/>
        <v>https://www.google.com/maps?q=-11.336213, -42.133590</v>
      </c>
      <c r="L1925" s="5" t="str">
        <f t="shared" si="61"/>
        <v>Abrir no Maps</v>
      </c>
      <c r="M1925" t="s">
        <v>13726</v>
      </c>
      <c r="N1925" s="5"/>
      <c r="O1925" t="str">
        <f>VLOOKUP(G1925,'[1]CONFIG.'!$B:$C,2,0)</f>
        <v>DAIANE</v>
      </c>
      <c r="P1925" t="str">
        <f>VLOOKUP(O1925,'[1]CONFIG.'!$C:$D,2,0)</f>
        <v>74 99298866</v>
      </c>
    </row>
    <row r="1926" spans="1:16" x14ac:dyDescent="0.3">
      <c r="A1926" t="s">
        <v>13727</v>
      </c>
      <c r="B1926" t="s">
        <v>13728</v>
      </c>
      <c r="C1926" t="s">
        <v>13729</v>
      </c>
      <c r="D1926" t="s">
        <v>12017</v>
      </c>
      <c r="E1926" t="s">
        <v>13730</v>
      </c>
      <c r="F1926" t="s">
        <v>137</v>
      </c>
      <c r="G1926">
        <v>211</v>
      </c>
      <c r="H1926">
        <v>500</v>
      </c>
      <c r="I1926" s="5" t="s">
        <v>13731</v>
      </c>
      <c r="J1926" s="5" t="s">
        <v>13732</v>
      </c>
      <c r="K1926" s="5" t="str">
        <f t="shared" si="60"/>
        <v>https://www.google.com/maps?q=-11.335203, -42.134426</v>
      </c>
      <c r="L1926" s="5" t="str">
        <f t="shared" si="61"/>
        <v>Abrir no Maps</v>
      </c>
      <c r="M1926" t="s">
        <v>13733</v>
      </c>
      <c r="N1926" s="5"/>
      <c r="O1926" t="str">
        <f>VLOOKUP(G1926,'[1]CONFIG.'!$B:$C,2,0)</f>
        <v>DAIANE</v>
      </c>
      <c r="P1926" t="str">
        <f>VLOOKUP(O1926,'[1]CONFIG.'!$C:$D,2,0)</f>
        <v>74 99298866</v>
      </c>
    </row>
    <row r="1927" spans="1:16" x14ac:dyDescent="0.3">
      <c r="A1927" t="s">
        <v>13734</v>
      </c>
      <c r="B1927" t="s">
        <v>13735</v>
      </c>
      <c r="C1927" t="s">
        <v>13736</v>
      </c>
      <c r="D1927" t="s">
        <v>12017</v>
      </c>
      <c r="E1927" t="s">
        <v>13737</v>
      </c>
      <c r="F1927" t="s">
        <v>137</v>
      </c>
      <c r="G1927">
        <v>211</v>
      </c>
      <c r="H1927">
        <v>500</v>
      </c>
      <c r="I1927" s="5" t="s">
        <v>13738</v>
      </c>
      <c r="J1927" s="5" t="s">
        <v>13739</v>
      </c>
      <c r="K1927" s="5" t="str">
        <f t="shared" si="60"/>
        <v>https://www.google.com/maps?q=-11.336108, -42.134380</v>
      </c>
      <c r="L1927" s="5" t="str">
        <f t="shared" si="61"/>
        <v>Abrir no Maps</v>
      </c>
      <c r="M1927" t="s">
        <v>13740</v>
      </c>
      <c r="N1927" s="5"/>
      <c r="O1927" t="str">
        <f>VLOOKUP(G1927,'[1]CONFIG.'!$B:$C,2,0)</f>
        <v>DAIANE</v>
      </c>
      <c r="P1927" t="str">
        <f>VLOOKUP(O1927,'[1]CONFIG.'!$C:$D,2,0)</f>
        <v>74 99298866</v>
      </c>
    </row>
    <row r="1928" spans="1:16" x14ac:dyDescent="0.3">
      <c r="A1928" t="s">
        <v>13741</v>
      </c>
      <c r="B1928" t="s">
        <v>13742</v>
      </c>
      <c r="C1928" t="s">
        <v>13743</v>
      </c>
      <c r="D1928" t="s">
        <v>12017</v>
      </c>
      <c r="E1928" t="s">
        <v>13744</v>
      </c>
      <c r="F1928" t="s">
        <v>137</v>
      </c>
      <c r="G1928">
        <v>211</v>
      </c>
      <c r="H1928">
        <v>500</v>
      </c>
      <c r="I1928" s="5" t="s">
        <v>13745</v>
      </c>
      <c r="J1928" s="5" t="s">
        <v>13746</v>
      </c>
      <c r="K1928" s="5" t="str">
        <f t="shared" si="60"/>
        <v>https://www.google.com/maps?q=-11.334288, -42.130564</v>
      </c>
      <c r="L1928" s="5" t="str">
        <f t="shared" si="61"/>
        <v>Abrir no Maps</v>
      </c>
      <c r="M1928" t="s">
        <v>13747</v>
      </c>
      <c r="N1928" s="5"/>
      <c r="O1928" t="str">
        <f>VLOOKUP(G1928,'[1]CONFIG.'!$B:$C,2,0)</f>
        <v>DAIANE</v>
      </c>
      <c r="P1928" t="str">
        <f>VLOOKUP(O1928,'[1]CONFIG.'!$C:$D,2,0)</f>
        <v>74 99298866</v>
      </c>
    </row>
    <row r="1929" spans="1:16" x14ac:dyDescent="0.3">
      <c r="A1929" t="s">
        <v>13748</v>
      </c>
      <c r="B1929" t="s">
        <v>13749</v>
      </c>
      <c r="C1929" t="s">
        <v>13750</v>
      </c>
      <c r="D1929" t="s">
        <v>12017</v>
      </c>
      <c r="E1929" t="s">
        <v>13751</v>
      </c>
      <c r="F1929" t="s">
        <v>137</v>
      </c>
      <c r="G1929">
        <v>211</v>
      </c>
      <c r="H1929">
        <v>500</v>
      </c>
      <c r="I1929" s="5" t="s">
        <v>13752</v>
      </c>
      <c r="J1929" s="5" t="s">
        <v>13753</v>
      </c>
      <c r="K1929" s="5" t="str">
        <f t="shared" si="60"/>
        <v>https://www.google.com/maps?q=-11.333809, -42.134052</v>
      </c>
      <c r="L1929" s="5" t="str">
        <f t="shared" si="61"/>
        <v>Abrir no Maps</v>
      </c>
      <c r="M1929" t="s">
        <v>13754</v>
      </c>
      <c r="N1929" s="5"/>
      <c r="O1929" t="str">
        <f>VLOOKUP(G1929,'[1]CONFIG.'!$B:$C,2,0)</f>
        <v>DAIANE</v>
      </c>
      <c r="P1929" t="str">
        <f>VLOOKUP(O1929,'[1]CONFIG.'!$C:$D,2,0)</f>
        <v>74 99298866</v>
      </c>
    </row>
    <row r="1930" spans="1:16" x14ac:dyDescent="0.3">
      <c r="A1930" t="s">
        <v>13755</v>
      </c>
      <c r="B1930" t="s">
        <v>13756</v>
      </c>
      <c r="C1930" t="s">
        <v>13757</v>
      </c>
      <c r="D1930" t="s">
        <v>12017</v>
      </c>
      <c r="E1930" t="s">
        <v>13758</v>
      </c>
      <c r="F1930" t="s">
        <v>137</v>
      </c>
      <c r="G1930">
        <v>211</v>
      </c>
      <c r="H1930">
        <v>500</v>
      </c>
      <c r="I1930" s="5" t="s">
        <v>13759</v>
      </c>
      <c r="J1930" s="5" t="s">
        <v>13760</v>
      </c>
      <c r="K1930" s="5" t="str">
        <f t="shared" si="60"/>
        <v>https://www.google.com/maps?q=-11.336331, -42.133747</v>
      </c>
      <c r="L1930" s="5" t="str">
        <f t="shared" si="61"/>
        <v>Abrir no Maps</v>
      </c>
      <c r="M1930" t="s">
        <v>13761</v>
      </c>
      <c r="N1930" s="5"/>
      <c r="O1930" t="str">
        <f>VLOOKUP(G1930,'[1]CONFIG.'!$B:$C,2,0)</f>
        <v>DAIANE</v>
      </c>
      <c r="P1930" t="str">
        <f>VLOOKUP(O1930,'[1]CONFIG.'!$C:$D,2,0)</f>
        <v>74 99298866</v>
      </c>
    </row>
    <row r="1931" spans="1:16" x14ac:dyDescent="0.3">
      <c r="A1931" t="s">
        <v>13762</v>
      </c>
      <c r="B1931" t="s">
        <v>13763</v>
      </c>
      <c r="C1931" t="s">
        <v>13764</v>
      </c>
      <c r="D1931" t="s">
        <v>12017</v>
      </c>
      <c r="E1931" t="s">
        <v>13765</v>
      </c>
      <c r="F1931" t="s">
        <v>137</v>
      </c>
      <c r="G1931">
        <v>211</v>
      </c>
      <c r="H1931">
        <v>500</v>
      </c>
      <c r="I1931" s="5" t="s">
        <v>13766</v>
      </c>
      <c r="J1931" s="5" t="s">
        <v>13767</v>
      </c>
      <c r="K1931" s="5" t="str">
        <f t="shared" si="60"/>
        <v>https://www.google.com/maps?q=-11.335274, -42.131763</v>
      </c>
      <c r="L1931" s="5" t="str">
        <f t="shared" si="61"/>
        <v>Abrir no Maps</v>
      </c>
      <c r="M1931" t="s">
        <v>13768</v>
      </c>
      <c r="N1931" s="5"/>
      <c r="O1931" t="str">
        <f>VLOOKUP(G1931,'[1]CONFIG.'!$B:$C,2,0)</f>
        <v>DAIANE</v>
      </c>
      <c r="P1931" t="str">
        <f>VLOOKUP(O1931,'[1]CONFIG.'!$C:$D,2,0)</f>
        <v>74 99298866</v>
      </c>
    </row>
    <row r="1932" spans="1:16" x14ac:dyDescent="0.3">
      <c r="A1932" t="s">
        <v>13769</v>
      </c>
      <c r="B1932" t="s">
        <v>13770</v>
      </c>
      <c r="C1932" t="s">
        <v>13771</v>
      </c>
      <c r="D1932" t="s">
        <v>12017</v>
      </c>
      <c r="E1932" t="s">
        <v>13772</v>
      </c>
      <c r="F1932" t="s">
        <v>137</v>
      </c>
      <c r="G1932">
        <v>211</v>
      </c>
      <c r="H1932">
        <v>500</v>
      </c>
      <c r="I1932" s="5" t="s">
        <v>13773</v>
      </c>
      <c r="J1932" s="5" t="s">
        <v>13774</v>
      </c>
      <c r="K1932" s="5" t="str">
        <f t="shared" si="60"/>
        <v>https://www.google.com/maps?q=-11.335673, -42.133972</v>
      </c>
      <c r="L1932" s="5" t="str">
        <f t="shared" si="61"/>
        <v>Abrir no Maps</v>
      </c>
      <c r="M1932" t="s">
        <v>13775</v>
      </c>
      <c r="N1932" s="5"/>
      <c r="O1932" t="str">
        <f>VLOOKUP(G1932,'[1]CONFIG.'!$B:$C,2,0)</f>
        <v>DAIANE</v>
      </c>
      <c r="P1932" t="str">
        <f>VLOOKUP(O1932,'[1]CONFIG.'!$C:$D,2,0)</f>
        <v>74 99298866</v>
      </c>
    </row>
    <row r="1933" spans="1:16" x14ac:dyDescent="0.3">
      <c r="A1933" t="s">
        <v>13776</v>
      </c>
      <c r="B1933" t="s">
        <v>13777</v>
      </c>
      <c r="C1933" t="s">
        <v>13778</v>
      </c>
      <c r="D1933" t="s">
        <v>12017</v>
      </c>
      <c r="E1933" t="s">
        <v>13779</v>
      </c>
      <c r="F1933" t="s">
        <v>13780</v>
      </c>
      <c r="G1933">
        <v>211</v>
      </c>
      <c r="H1933">
        <v>500</v>
      </c>
      <c r="I1933" s="5" t="s">
        <v>13781</v>
      </c>
      <c r="J1933" s="5" t="s">
        <v>13782</v>
      </c>
      <c r="K1933" s="5" t="str">
        <f t="shared" si="60"/>
        <v>https://www.google.com/maps?q=-11.336977, -42.135420</v>
      </c>
      <c r="L1933" s="5" t="str">
        <f t="shared" si="61"/>
        <v>Abrir no Maps</v>
      </c>
      <c r="M1933" t="s">
        <v>13783</v>
      </c>
      <c r="N1933" s="5"/>
      <c r="O1933" t="str">
        <f>VLOOKUP(G1933,'[1]CONFIG.'!$B:$C,2,0)</f>
        <v>DAIANE</v>
      </c>
      <c r="P1933" t="str">
        <f>VLOOKUP(O1933,'[1]CONFIG.'!$C:$D,2,0)</f>
        <v>74 99298866</v>
      </c>
    </row>
    <row r="1934" spans="1:16" x14ac:dyDescent="0.3">
      <c r="A1934" t="s">
        <v>13784</v>
      </c>
      <c r="B1934" t="s">
        <v>13785</v>
      </c>
      <c r="C1934" t="s">
        <v>13786</v>
      </c>
      <c r="D1934" t="s">
        <v>12017</v>
      </c>
      <c r="E1934" t="s">
        <v>13787</v>
      </c>
      <c r="F1934" t="s">
        <v>13780</v>
      </c>
      <c r="G1934">
        <v>211</v>
      </c>
      <c r="H1934">
        <v>500</v>
      </c>
      <c r="I1934" s="5" t="s">
        <v>13788</v>
      </c>
      <c r="J1934" s="5" t="s">
        <v>13789</v>
      </c>
      <c r="K1934" s="5" t="str">
        <f t="shared" si="60"/>
        <v>https://www.google.com/maps?q=-11.334275, -42.134583</v>
      </c>
      <c r="L1934" s="5" t="str">
        <f t="shared" si="61"/>
        <v>Abrir no Maps</v>
      </c>
      <c r="M1934" t="s">
        <v>13790</v>
      </c>
      <c r="N1934" s="5"/>
      <c r="O1934" t="str">
        <f>VLOOKUP(G1934,'[1]CONFIG.'!$B:$C,2,0)</f>
        <v>DAIANE</v>
      </c>
      <c r="P1934" t="str">
        <f>VLOOKUP(O1934,'[1]CONFIG.'!$C:$D,2,0)</f>
        <v>74 99298866</v>
      </c>
    </row>
    <row r="1935" spans="1:16" x14ac:dyDescent="0.3">
      <c r="A1935" t="s">
        <v>13791</v>
      </c>
      <c r="B1935" t="s">
        <v>13792</v>
      </c>
      <c r="C1935" t="s">
        <v>13793</v>
      </c>
      <c r="D1935" t="s">
        <v>12017</v>
      </c>
      <c r="E1935" t="s">
        <v>13794</v>
      </c>
      <c r="F1935" t="s">
        <v>12235</v>
      </c>
      <c r="G1935">
        <v>211</v>
      </c>
      <c r="H1935">
        <v>500</v>
      </c>
      <c r="I1935" s="5" t="s">
        <v>13795</v>
      </c>
      <c r="J1935" s="5" t="s">
        <v>13796</v>
      </c>
      <c r="K1935" s="5" t="str">
        <f t="shared" si="60"/>
        <v>https://www.google.com/maps?q=-11.303073, -42.046875</v>
      </c>
      <c r="L1935" s="5" t="str">
        <f t="shared" si="61"/>
        <v>Abrir no Maps</v>
      </c>
      <c r="M1935" t="s">
        <v>13797</v>
      </c>
      <c r="N1935" s="5"/>
      <c r="O1935" t="str">
        <f>VLOOKUP(G1935,'[1]CONFIG.'!$B:$C,2,0)</f>
        <v>DAIANE</v>
      </c>
      <c r="P1935" t="str">
        <f>VLOOKUP(O1935,'[1]CONFIG.'!$C:$D,2,0)</f>
        <v>74 99298866</v>
      </c>
    </row>
    <row r="1936" spans="1:16" x14ac:dyDescent="0.3">
      <c r="A1936" t="s">
        <v>13798</v>
      </c>
      <c r="B1936" t="s">
        <v>13799</v>
      </c>
      <c r="C1936" t="s">
        <v>13800</v>
      </c>
      <c r="D1936" t="s">
        <v>12017</v>
      </c>
      <c r="E1936" t="s">
        <v>13801</v>
      </c>
      <c r="F1936" t="s">
        <v>13802</v>
      </c>
      <c r="G1936">
        <v>209</v>
      </c>
      <c r="H1936">
        <v>500</v>
      </c>
      <c r="I1936" s="5" t="s">
        <v>13803</v>
      </c>
      <c r="J1936" s="5" t="s">
        <v>13804</v>
      </c>
      <c r="K1936" s="5" t="str">
        <f t="shared" si="60"/>
        <v>https://www.google.com/maps?q=-11.260352, -42.156513</v>
      </c>
      <c r="L1936" s="5" t="str">
        <f t="shared" si="61"/>
        <v>Abrir no Maps</v>
      </c>
      <c r="M1936">
        <v>0</v>
      </c>
      <c r="N1936" s="5"/>
      <c r="O1936" t="str">
        <f>VLOOKUP(G1936,'[1]CONFIG.'!$B:$C,2,0)</f>
        <v>IGOR</v>
      </c>
      <c r="P1936" t="str">
        <f>VLOOKUP(O1936,'[1]CONFIG.'!$C:$D,2,0)</f>
        <v>74 99590346</v>
      </c>
    </row>
    <row r="1937" spans="1:16" x14ac:dyDescent="0.3">
      <c r="A1937" t="s">
        <v>13805</v>
      </c>
      <c r="B1937" t="s">
        <v>13806</v>
      </c>
      <c r="C1937" t="s">
        <v>13807</v>
      </c>
      <c r="D1937" t="s">
        <v>12017</v>
      </c>
      <c r="E1937" t="s">
        <v>13808</v>
      </c>
      <c r="F1937" t="s">
        <v>137</v>
      </c>
      <c r="G1937">
        <v>211</v>
      </c>
      <c r="H1937">
        <v>500</v>
      </c>
      <c r="I1937" s="5" t="s">
        <v>13809</v>
      </c>
      <c r="J1937" s="5" t="s">
        <v>13810</v>
      </c>
      <c r="K1937" s="5" t="str">
        <f t="shared" si="60"/>
        <v>https://www.google.com/maps?q=-11.332247, -42.134580</v>
      </c>
      <c r="L1937" s="5" t="str">
        <f t="shared" si="61"/>
        <v>Abrir no Maps</v>
      </c>
      <c r="M1937" t="s">
        <v>13811</v>
      </c>
      <c r="N1937" s="5"/>
      <c r="O1937" t="str">
        <f>VLOOKUP(G1937,'[1]CONFIG.'!$B:$C,2,0)</f>
        <v>DAIANE</v>
      </c>
      <c r="P1937" t="str">
        <f>VLOOKUP(O1937,'[1]CONFIG.'!$C:$D,2,0)</f>
        <v>74 99298866</v>
      </c>
    </row>
    <row r="1938" spans="1:16" x14ac:dyDescent="0.3">
      <c r="A1938" t="s">
        <v>13812</v>
      </c>
      <c r="B1938" t="s">
        <v>13813</v>
      </c>
      <c r="C1938" t="s">
        <v>13814</v>
      </c>
      <c r="D1938" t="s">
        <v>12017</v>
      </c>
      <c r="E1938" t="s">
        <v>13815</v>
      </c>
      <c r="F1938" t="s">
        <v>137</v>
      </c>
      <c r="G1938">
        <v>211</v>
      </c>
      <c r="H1938">
        <v>500</v>
      </c>
      <c r="I1938" s="5" t="s">
        <v>13816</v>
      </c>
      <c r="J1938" s="5" t="s">
        <v>13817</v>
      </c>
      <c r="K1938" s="5" t="str">
        <f t="shared" si="60"/>
        <v>https://www.google.com/maps?q=-11.329918, -42.134537</v>
      </c>
      <c r="L1938" s="5" t="str">
        <f t="shared" si="61"/>
        <v>Abrir no Maps</v>
      </c>
      <c r="M1938" t="s">
        <v>13818</v>
      </c>
      <c r="N1938" s="5"/>
      <c r="O1938" t="str">
        <f>VLOOKUP(G1938,'[1]CONFIG.'!$B:$C,2,0)</f>
        <v>DAIANE</v>
      </c>
      <c r="P1938" t="str">
        <f>VLOOKUP(O1938,'[1]CONFIG.'!$C:$D,2,0)</f>
        <v>74 99298866</v>
      </c>
    </row>
    <row r="1939" spans="1:16" x14ac:dyDescent="0.3">
      <c r="A1939" t="s">
        <v>13819</v>
      </c>
      <c r="B1939" t="s">
        <v>13820</v>
      </c>
      <c r="C1939" t="s">
        <v>13821</v>
      </c>
      <c r="D1939" t="s">
        <v>12017</v>
      </c>
      <c r="E1939" t="s">
        <v>13822</v>
      </c>
      <c r="F1939" t="s">
        <v>137</v>
      </c>
      <c r="G1939">
        <v>211</v>
      </c>
      <c r="H1939">
        <v>500</v>
      </c>
      <c r="I1939" s="5" t="s">
        <v>13823</v>
      </c>
      <c r="J1939" s="5" t="s">
        <v>13824</v>
      </c>
      <c r="K1939" s="5" t="str">
        <f t="shared" si="60"/>
        <v>https://www.google.com/maps?q=-11.336142, -42.133650</v>
      </c>
      <c r="L1939" s="5" t="str">
        <f t="shared" si="61"/>
        <v>Abrir no Maps</v>
      </c>
      <c r="M1939" t="s">
        <v>13825</v>
      </c>
      <c r="N1939" s="5"/>
      <c r="O1939" t="str">
        <f>VLOOKUP(G1939,'[1]CONFIG.'!$B:$C,2,0)</f>
        <v>DAIANE</v>
      </c>
      <c r="P1939" t="str">
        <f>VLOOKUP(O1939,'[1]CONFIG.'!$C:$D,2,0)</f>
        <v>74 99298866</v>
      </c>
    </row>
    <row r="1940" spans="1:16" x14ac:dyDescent="0.3">
      <c r="A1940" t="s">
        <v>13826</v>
      </c>
      <c r="B1940" t="s">
        <v>13827</v>
      </c>
      <c r="C1940" t="s">
        <v>13828</v>
      </c>
      <c r="D1940" t="s">
        <v>12017</v>
      </c>
      <c r="E1940" t="s">
        <v>13829</v>
      </c>
      <c r="F1940" t="s">
        <v>137</v>
      </c>
      <c r="G1940">
        <v>211</v>
      </c>
      <c r="H1940">
        <v>500</v>
      </c>
      <c r="I1940" s="5" t="s">
        <v>13830</v>
      </c>
      <c r="J1940" s="5" t="s">
        <v>13831</v>
      </c>
      <c r="K1940" s="5" t="str">
        <f t="shared" si="60"/>
        <v>https://www.google.com/maps?q=-11.341443, -42.135610</v>
      </c>
      <c r="L1940" s="5" t="str">
        <f t="shared" si="61"/>
        <v>Abrir no Maps</v>
      </c>
      <c r="M1940" t="s">
        <v>13832</v>
      </c>
      <c r="N1940" s="5"/>
      <c r="O1940" t="str">
        <f>VLOOKUP(G1940,'[1]CONFIG.'!$B:$C,2,0)</f>
        <v>DAIANE</v>
      </c>
      <c r="P1940" t="str">
        <f>VLOOKUP(O1940,'[1]CONFIG.'!$C:$D,2,0)</f>
        <v>74 99298866</v>
      </c>
    </row>
    <row r="1941" spans="1:16" x14ac:dyDescent="0.3">
      <c r="A1941" t="s">
        <v>13833</v>
      </c>
      <c r="B1941" t="s">
        <v>13834</v>
      </c>
      <c r="C1941" t="s">
        <v>13835</v>
      </c>
      <c r="D1941" t="s">
        <v>12017</v>
      </c>
      <c r="E1941" t="s">
        <v>13836</v>
      </c>
      <c r="F1941" t="s">
        <v>13837</v>
      </c>
      <c r="G1941">
        <v>211</v>
      </c>
      <c r="H1941">
        <v>500</v>
      </c>
      <c r="I1941" s="5" t="s">
        <v>13838</v>
      </c>
      <c r="J1941" s="5" t="s">
        <v>13839</v>
      </c>
      <c r="K1941" s="5" t="str">
        <f t="shared" si="60"/>
        <v>https://www.google.com/maps?q=-11.408335, -42.084780</v>
      </c>
      <c r="L1941" s="5" t="str">
        <f t="shared" si="61"/>
        <v>Abrir no Maps</v>
      </c>
      <c r="M1941" t="s">
        <v>13840</v>
      </c>
      <c r="N1941" s="5"/>
      <c r="O1941" t="str">
        <f>VLOOKUP(G1941,'[1]CONFIG.'!$B:$C,2,0)</f>
        <v>DAIANE</v>
      </c>
      <c r="P1941" t="str">
        <f>VLOOKUP(O1941,'[1]CONFIG.'!$C:$D,2,0)</f>
        <v>74 99298866</v>
      </c>
    </row>
    <row r="1942" spans="1:16" x14ac:dyDescent="0.3">
      <c r="A1942" t="s">
        <v>13841</v>
      </c>
      <c r="B1942" t="s">
        <v>13842</v>
      </c>
      <c r="C1942" t="s">
        <v>13843</v>
      </c>
      <c r="D1942" t="s">
        <v>12017</v>
      </c>
      <c r="E1942" t="s">
        <v>13844</v>
      </c>
      <c r="F1942" t="s">
        <v>12017</v>
      </c>
      <c r="G1942">
        <v>211</v>
      </c>
      <c r="H1942">
        <v>500</v>
      </c>
      <c r="I1942" s="5" t="s">
        <v>13845</v>
      </c>
      <c r="J1942" s="5" t="s">
        <v>13846</v>
      </c>
      <c r="K1942" s="5" t="str">
        <f t="shared" si="60"/>
        <v>https://www.google.com/maps?q=-11.379175, -42.095882</v>
      </c>
      <c r="L1942" s="5" t="str">
        <f t="shared" si="61"/>
        <v>Abrir no Maps</v>
      </c>
      <c r="M1942" t="s">
        <v>13847</v>
      </c>
      <c r="N1942" s="5"/>
      <c r="O1942" t="str">
        <f>VLOOKUP(G1942,'[1]CONFIG.'!$B:$C,2,0)</f>
        <v>DAIANE</v>
      </c>
      <c r="P1942" t="str">
        <f>VLOOKUP(O1942,'[1]CONFIG.'!$C:$D,2,0)</f>
        <v>74 99298866</v>
      </c>
    </row>
    <row r="1943" spans="1:16" x14ac:dyDescent="0.3">
      <c r="A1943" t="s">
        <v>13848</v>
      </c>
      <c r="B1943" t="s">
        <v>13849</v>
      </c>
      <c r="C1943" t="s">
        <v>13850</v>
      </c>
      <c r="D1943" t="s">
        <v>12017</v>
      </c>
      <c r="E1943" t="s">
        <v>13851</v>
      </c>
      <c r="F1943" t="s">
        <v>137</v>
      </c>
      <c r="G1943">
        <v>211</v>
      </c>
      <c r="H1943">
        <v>500</v>
      </c>
      <c r="I1943" s="5" t="s">
        <v>13852</v>
      </c>
      <c r="J1943" s="5" t="s">
        <v>13853</v>
      </c>
      <c r="K1943" s="5" t="str">
        <f t="shared" si="60"/>
        <v>https://www.google.com/maps?q=-11.336050, -42.133810</v>
      </c>
      <c r="L1943" s="5" t="str">
        <f t="shared" si="61"/>
        <v>Abrir no Maps</v>
      </c>
      <c r="M1943" t="s">
        <v>13854</v>
      </c>
      <c r="N1943" s="5"/>
      <c r="O1943" t="str">
        <f>VLOOKUP(G1943,'[1]CONFIG.'!$B:$C,2,0)</f>
        <v>DAIANE</v>
      </c>
      <c r="P1943" t="str">
        <f>VLOOKUP(O1943,'[1]CONFIG.'!$C:$D,2,0)</f>
        <v>74 99298866</v>
      </c>
    </row>
    <row r="1944" spans="1:16" x14ac:dyDescent="0.3">
      <c r="A1944" t="s">
        <v>13855</v>
      </c>
      <c r="B1944" t="s">
        <v>13856</v>
      </c>
      <c r="C1944" t="s">
        <v>13857</v>
      </c>
      <c r="D1944" t="s">
        <v>12017</v>
      </c>
      <c r="E1944" t="s">
        <v>13858</v>
      </c>
      <c r="F1944" t="s">
        <v>137</v>
      </c>
      <c r="G1944">
        <v>211</v>
      </c>
      <c r="H1944">
        <v>500</v>
      </c>
      <c r="I1944" s="5" t="s">
        <v>13859</v>
      </c>
      <c r="J1944" s="5" t="s">
        <v>13860</v>
      </c>
      <c r="K1944" s="5" t="str">
        <f t="shared" si="60"/>
        <v>https://www.google.com/maps?q=-11.333933, -42.135370</v>
      </c>
      <c r="L1944" s="5" t="str">
        <f t="shared" si="61"/>
        <v>Abrir no Maps</v>
      </c>
      <c r="M1944" t="s">
        <v>13861</v>
      </c>
      <c r="N1944" s="5"/>
      <c r="O1944" t="str">
        <f>VLOOKUP(G1944,'[1]CONFIG.'!$B:$C,2,0)</f>
        <v>DAIANE</v>
      </c>
      <c r="P1944" t="str">
        <f>VLOOKUP(O1944,'[1]CONFIG.'!$C:$D,2,0)</f>
        <v>74 99298866</v>
      </c>
    </row>
    <row r="1945" spans="1:16" x14ac:dyDescent="0.3">
      <c r="A1945" t="s">
        <v>13862</v>
      </c>
      <c r="B1945" t="s">
        <v>13863</v>
      </c>
      <c r="C1945" t="s">
        <v>13864</v>
      </c>
      <c r="D1945" t="s">
        <v>12017</v>
      </c>
      <c r="E1945" t="s">
        <v>13865</v>
      </c>
      <c r="F1945" t="s">
        <v>137</v>
      </c>
      <c r="G1945">
        <v>211</v>
      </c>
      <c r="H1945">
        <v>500</v>
      </c>
      <c r="I1945" s="5" t="s">
        <v>13866</v>
      </c>
      <c r="J1945" s="5" t="s">
        <v>13867</v>
      </c>
      <c r="K1945" s="5" t="str">
        <f t="shared" si="60"/>
        <v>https://www.google.com/maps?q=-11.333243, -42.134266</v>
      </c>
      <c r="L1945" s="5" t="str">
        <f t="shared" si="61"/>
        <v>Abrir no Maps</v>
      </c>
      <c r="M1945" t="s">
        <v>13868</v>
      </c>
      <c r="N1945" s="5"/>
      <c r="O1945" t="str">
        <f>VLOOKUP(G1945,'[1]CONFIG.'!$B:$C,2,0)</f>
        <v>DAIANE</v>
      </c>
      <c r="P1945" t="str">
        <f>VLOOKUP(O1945,'[1]CONFIG.'!$C:$D,2,0)</f>
        <v>74 99298866</v>
      </c>
    </row>
    <row r="1946" spans="1:16" x14ac:dyDescent="0.3">
      <c r="A1946" t="s">
        <v>13869</v>
      </c>
      <c r="B1946" t="s">
        <v>13870</v>
      </c>
      <c r="C1946" t="s">
        <v>13871</v>
      </c>
      <c r="D1946" t="s">
        <v>36</v>
      </c>
      <c r="E1946" t="s">
        <v>13872</v>
      </c>
      <c r="F1946" t="s">
        <v>2996</v>
      </c>
      <c r="G1946">
        <v>212</v>
      </c>
      <c r="H1946">
        <v>200</v>
      </c>
      <c r="I1946" s="5" t="s">
        <v>13873</v>
      </c>
      <c r="J1946" s="5" t="s">
        <v>13874</v>
      </c>
      <c r="K1946" s="5" t="str">
        <f t="shared" si="60"/>
        <v>https://www.google.com/maps?q=-11.285195, -41.847183</v>
      </c>
      <c r="L1946" s="5" t="str">
        <f t="shared" si="61"/>
        <v>Abrir no Maps</v>
      </c>
      <c r="M1946" t="s">
        <v>13875</v>
      </c>
      <c r="N1946" s="5"/>
      <c r="O1946" t="str">
        <f>VLOOKUP(G1946,'[1]CONFIG.'!$B:$C,2,0)</f>
        <v>ANDRE</v>
      </c>
      <c r="P1946" t="str">
        <f>VLOOKUP(O1946,'[1]CONFIG.'!$C:$D,2,0)</f>
        <v>74 99916877</v>
      </c>
    </row>
    <row r="1947" spans="1:16" x14ac:dyDescent="0.3">
      <c r="A1947" t="s">
        <v>13876</v>
      </c>
      <c r="B1947" t="s">
        <v>13877</v>
      </c>
      <c r="C1947" t="s">
        <v>13878</v>
      </c>
      <c r="D1947" t="s">
        <v>12017</v>
      </c>
      <c r="E1947" t="s">
        <v>13879</v>
      </c>
      <c r="F1947" t="s">
        <v>137</v>
      </c>
      <c r="G1947">
        <v>211</v>
      </c>
      <c r="H1947">
        <v>500</v>
      </c>
      <c r="I1947" s="5" t="s">
        <v>13880</v>
      </c>
      <c r="J1947" s="5" t="s">
        <v>13881</v>
      </c>
      <c r="K1947" s="5" t="str">
        <f t="shared" si="60"/>
        <v>https://www.google.com/maps?q=-11.335608, -42.134857</v>
      </c>
      <c r="L1947" s="5" t="str">
        <f t="shared" si="61"/>
        <v>Abrir no Maps</v>
      </c>
      <c r="M1947" t="s">
        <v>13882</v>
      </c>
      <c r="N1947" s="5"/>
      <c r="O1947" t="str">
        <f>VLOOKUP(G1947,'[1]CONFIG.'!$B:$C,2,0)</f>
        <v>DAIANE</v>
      </c>
      <c r="P1947" t="str">
        <f>VLOOKUP(O1947,'[1]CONFIG.'!$C:$D,2,0)</f>
        <v>74 99298866</v>
      </c>
    </row>
    <row r="1948" spans="1:16" x14ac:dyDescent="0.3">
      <c r="A1948" t="s">
        <v>13883</v>
      </c>
      <c r="B1948" t="s">
        <v>13884</v>
      </c>
      <c r="C1948" t="s">
        <v>13885</v>
      </c>
      <c r="D1948" t="s">
        <v>12017</v>
      </c>
      <c r="E1948" t="s">
        <v>13886</v>
      </c>
      <c r="F1948" t="s">
        <v>13802</v>
      </c>
      <c r="G1948">
        <v>209</v>
      </c>
      <c r="H1948">
        <v>500</v>
      </c>
      <c r="I1948" s="5" t="s">
        <v>13887</v>
      </c>
      <c r="J1948" s="5" t="s">
        <v>13888</v>
      </c>
      <c r="K1948" s="5" t="str">
        <f t="shared" si="60"/>
        <v>https://www.google.com/maps?q=-11.259105, -42.157257</v>
      </c>
      <c r="L1948" s="5" t="str">
        <f t="shared" si="61"/>
        <v>Abrir no Maps</v>
      </c>
      <c r="M1948" t="s">
        <v>13889</v>
      </c>
      <c r="N1948" s="5"/>
      <c r="O1948" t="str">
        <f>VLOOKUP(G1948,'[1]CONFIG.'!$B:$C,2,0)</f>
        <v>IGOR</v>
      </c>
      <c r="P1948" t="str">
        <f>VLOOKUP(O1948,'[1]CONFIG.'!$C:$D,2,0)</f>
        <v>74 99590346</v>
      </c>
    </row>
    <row r="1949" spans="1:16" x14ac:dyDescent="0.3">
      <c r="A1949" t="s">
        <v>13890</v>
      </c>
      <c r="B1949" t="s">
        <v>13891</v>
      </c>
      <c r="C1949" t="s">
        <v>13892</v>
      </c>
      <c r="D1949" t="s">
        <v>12017</v>
      </c>
      <c r="E1949" t="s">
        <v>13893</v>
      </c>
      <c r="F1949" t="s">
        <v>137</v>
      </c>
      <c r="G1949">
        <v>211</v>
      </c>
      <c r="H1949">
        <v>500</v>
      </c>
      <c r="I1949" s="5" t="s">
        <v>13894</v>
      </c>
      <c r="J1949" s="5" t="s">
        <v>13895</v>
      </c>
      <c r="K1949" s="5" t="str">
        <f t="shared" si="60"/>
        <v>https://www.google.com/maps?q=-11.339025, -42.132008</v>
      </c>
      <c r="L1949" s="5" t="str">
        <f t="shared" si="61"/>
        <v>Abrir no Maps</v>
      </c>
      <c r="M1949" t="s">
        <v>13896</v>
      </c>
      <c r="N1949" s="5"/>
      <c r="O1949" t="str">
        <f>VLOOKUP(G1949,'[1]CONFIG.'!$B:$C,2,0)</f>
        <v>DAIANE</v>
      </c>
      <c r="P1949" t="str">
        <f>VLOOKUP(O1949,'[1]CONFIG.'!$C:$D,2,0)</f>
        <v>74 99298866</v>
      </c>
    </row>
    <row r="1950" spans="1:16" x14ac:dyDescent="0.3">
      <c r="A1950" t="s">
        <v>13897</v>
      </c>
      <c r="B1950" t="s">
        <v>13898</v>
      </c>
      <c r="C1950" t="s">
        <v>13899</v>
      </c>
      <c r="D1950" t="s">
        <v>12017</v>
      </c>
      <c r="E1950" t="s">
        <v>13900</v>
      </c>
      <c r="F1950" t="s">
        <v>137</v>
      </c>
      <c r="G1950">
        <v>211</v>
      </c>
      <c r="H1950">
        <v>500</v>
      </c>
      <c r="I1950" s="5" t="s">
        <v>13901</v>
      </c>
      <c r="J1950" s="5" t="s">
        <v>13902</v>
      </c>
      <c r="K1950" s="5" t="str">
        <f t="shared" si="60"/>
        <v>https://www.google.com/maps?q=-11.335140, -42.134335</v>
      </c>
      <c r="L1950" s="5" t="str">
        <f t="shared" si="61"/>
        <v>Abrir no Maps</v>
      </c>
      <c r="M1950" t="s">
        <v>13903</v>
      </c>
      <c r="N1950" s="5"/>
      <c r="O1950" t="str">
        <f>VLOOKUP(G1950,'[1]CONFIG.'!$B:$C,2,0)</f>
        <v>DAIANE</v>
      </c>
      <c r="P1950" t="str">
        <f>VLOOKUP(O1950,'[1]CONFIG.'!$C:$D,2,0)</f>
        <v>74 99298866</v>
      </c>
    </row>
    <row r="1951" spans="1:16" x14ac:dyDescent="0.3">
      <c r="A1951" t="s">
        <v>13904</v>
      </c>
      <c r="B1951" t="s">
        <v>13905</v>
      </c>
      <c r="C1951" t="s">
        <v>13906</v>
      </c>
      <c r="D1951" t="s">
        <v>12017</v>
      </c>
      <c r="E1951" t="s">
        <v>13907</v>
      </c>
      <c r="F1951" t="s">
        <v>137</v>
      </c>
      <c r="G1951">
        <v>211</v>
      </c>
      <c r="H1951">
        <v>500</v>
      </c>
      <c r="I1951" s="5" t="s">
        <v>13908</v>
      </c>
      <c r="J1951" s="5" t="s">
        <v>13909</v>
      </c>
      <c r="K1951" s="5" t="str">
        <f t="shared" si="60"/>
        <v>https://www.google.com/maps?q=-11.335259, -42.131634</v>
      </c>
      <c r="L1951" s="5" t="str">
        <f t="shared" si="61"/>
        <v>Abrir no Maps</v>
      </c>
      <c r="M1951" t="s">
        <v>13910</v>
      </c>
      <c r="N1951" s="5"/>
      <c r="O1951" t="str">
        <f>VLOOKUP(G1951,'[1]CONFIG.'!$B:$C,2,0)</f>
        <v>DAIANE</v>
      </c>
      <c r="P1951" t="str">
        <f>VLOOKUP(O1951,'[1]CONFIG.'!$C:$D,2,0)</f>
        <v>74 99298866</v>
      </c>
    </row>
    <row r="1952" spans="1:16" x14ac:dyDescent="0.3">
      <c r="A1952" t="s">
        <v>13911</v>
      </c>
      <c r="B1952" t="s">
        <v>13912</v>
      </c>
      <c r="C1952" t="s">
        <v>13913</v>
      </c>
      <c r="D1952" t="s">
        <v>12017</v>
      </c>
      <c r="E1952" t="s">
        <v>13914</v>
      </c>
      <c r="F1952" t="s">
        <v>13802</v>
      </c>
      <c r="G1952">
        <v>209</v>
      </c>
      <c r="H1952">
        <v>500</v>
      </c>
      <c r="I1952" s="5" t="s">
        <v>13915</v>
      </c>
      <c r="J1952" s="5" t="s">
        <v>13916</v>
      </c>
      <c r="K1952" s="5" t="str">
        <f t="shared" si="60"/>
        <v>https://www.google.com/maps?q=-11.260290, -42.156920</v>
      </c>
      <c r="L1952" s="5" t="str">
        <f t="shared" si="61"/>
        <v>Abrir no Maps</v>
      </c>
      <c r="M1952" t="s">
        <v>12899</v>
      </c>
      <c r="N1952" s="5"/>
      <c r="O1952" t="str">
        <f>VLOOKUP(G1952,'[1]CONFIG.'!$B:$C,2,0)</f>
        <v>IGOR</v>
      </c>
      <c r="P1952" t="str">
        <f>VLOOKUP(O1952,'[1]CONFIG.'!$C:$D,2,0)</f>
        <v>74 99590346</v>
      </c>
    </row>
    <row r="1953" spans="1:16" x14ac:dyDescent="0.3">
      <c r="A1953" t="s">
        <v>13917</v>
      </c>
      <c r="B1953" t="s">
        <v>13918</v>
      </c>
      <c r="C1953" t="s">
        <v>13919</v>
      </c>
      <c r="D1953" t="s">
        <v>12017</v>
      </c>
      <c r="E1953" t="s">
        <v>13920</v>
      </c>
      <c r="F1953" t="s">
        <v>137</v>
      </c>
      <c r="G1953">
        <v>211</v>
      </c>
      <c r="H1953">
        <v>500</v>
      </c>
      <c r="I1953" s="5" t="s">
        <v>13921</v>
      </c>
      <c r="J1953" s="5" t="s">
        <v>13922</v>
      </c>
      <c r="K1953" s="5" t="str">
        <f t="shared" si="60"/>
        <v>https://www.google.com/maps?q=-11.337103, -42.135365</v>
      </c>
      <c r="L1953" s="5" t="str">
        <f t="shared" si="61"/>
        <v>Abrir no Maps</v>
      </c>
      <c r="M1953" t="s">
        <v>13923</v>
      </c>
      <c r="N1953" s="5"/>
      <c r="O1953" t="str">
        <f>VLOOKUP(G1953,'[1]CONFIG.'!$B:$C,2,0)</f>
        <v>DAIANE</v>
      </c>
      <c r="P1953" t="str">
        <f>VLOOKUP(O1953,'[1]CONFIG.'!$C:$D,2,0)</f>
        <v>74 99298866</v>
      </c>
    </row>
    <row r="1954" spans="1:16" x14ac:dyDescent="0.3">
      <c r="A1954" t="s">
        <v>13924</v>
      </c>
      <c r="B1954" t="s">
        <v>13925</v>
      </c>
      <c r="C1954" t="s">
        <v>13926</v>
      </c>
      <c r="D1954" t="s">
        <v>12017</v>
      </c>
      <c r="E1954" t="s">
        <v>13927</v>
      </c>
      <c r="F1954" t="s">
        <v>137</v>
      </c>
      <c r="G1954">
        <v>211</v>
      </c>
      <c r="H1954">
        <v>500</v>
      </c>
      <c r="I1954" s="5" t="s">
        <v>13928</v>
      </c>
      <c r="J1954" s="5" t="s">
        <v>13929</v>
      </c>
      <c r="K1954" s="5" t="str">
        <f t="shared" si="60"/>
        <v>https://www.google.com/maps?q=-11.333906, -42.134094</v>
      </c>
      <c r="L1954" s="5" t="str">
        <f t="shared" si="61"/>
        <v>Abrir no Maps</v>
      </c>
      <c r="M1954" t="s">
        <v>13930</v>
      </c>
      <c r="N1954" s="5"/>
      <c r="O1954" t="str">
        <f>VLOOKUP(G1954,'[1]CONFIG.'!$B:$C,2,0)</f>
        <v>DAIANE</v>
      </c>
      <c r="P1954" t="str">
        <f>VLOOKUP(O1954,'[1]CONFIG.'!$C:$D,2,0)</f>
        <v>74 99298866</v>
      </c>
    </row>
    <row r="1955" spans="1:16" x14ac:dyDescent="0.3">
      <c r="A1955" t="s">
        <v>13931</v>
      </c>
      <c r="B1955" t="s">
        <v>13932</v>
      </c>
      <c r="C1955" t="s">
        <v>13933</v>
      </c>
      <c r="D1955" t="s">
        <v>12017</v>
      </c>
      <c r="E1955" t="s">
        <v>13934</v>
      </c>
      <c r="F1955" t="s">
        <v>137</v>
      </c>
      <c r="G1955">
        <v>211</v>
      </c>
      <c r="H1955">
        <v>500</v>
      </c>
      <c r="I1955" s="5" t="s">
        <v>13935</v>
      </c>
      <c r="J1955" s="5" t="s">
        <v>13936</v>
      </c>
      <c r="K1955" s="5" t="str">
        <f t="shared" si="60"/>
        <v>https://www.google.com/maps?q=-11.335478, -42.134876</v>
      </c>
      <c r="L1955" s="5" t="str">
        <f t="shared" si="61"/>
        <v>Abrir no Maps</v>
      </c>
      <c r="M1955" t="s">
        <v>13937</v>
      </c>
      <c r="N1955" s="5"/>
      <c r="O1955" t="str">
        <f>VLOOKUP(G1955,'[1]CONFIG.'!$B:$C,2,0)</f>
        <v>DAIANE</v>
      </c>
      <c r="P1955" t="str">
        <f>VLOOKUP(O1955,'[1]CONFIG.'!$C:$D,2,0)</f>
        <v>74 99298866</v>
      </c>
    </row>
    <row r="1956" spans="1:16" x14ac:dyDescent="0.3">
      <c r="A1956" t="s">
        <v>13938</v>
      </c>
      <c r="B1956" t="s">
        <v>13939</v>
      </c>
      <c r="C1956" t="s">
        <v>13940</v>
      </c>
      <c r="D1956" t="s">
        <v>12017</v>
      </c>
      <c r="E1956" t="s">
        <v>13941</v>
      </c>
      <c r="F1956" t="s">
        <v>13942</v>
      </c>
      <c r="G1956">
        <v>211</v>
      </c>
      <c r="H1956">
        <v>500</v>
      </c>
      <c r="I1956" s="5" t="s">
        <v>13943</v>
      </c>
      <c r="J1956" s="5" t="s">
        <v>13944</v>
      </c>
      <c r="K1956" s="5" t="str">
        <f t="shared" si="60"/>
        <v>https://www.google.com/maps?q=-11.384190, -42.104120</v>
      </c>
      <c r="L1956" s="5" t="str">
        <f t="shared" si="61"/>
        <v>Abrir no Maps</v>
      </c>
      <c r="M1956" t="s">
        <v>13945</v>
      </c>
      <c r="N1956" s="5"/>
      <c r="O1956" t="str">
        <f>VLOOKUP(G1956,'[1]CONFIG.'!$B:$C,2,0)</f>
        <v>DAIANE</v>
      </c>
      <c r="P1956" t="str">
        <f>VLOOKUP(O1956,'[1]CONFIG.'!$C:$D,2,0)</f>
        <v>74 99298866</v>
      </c>
    </row>
    <row r="1957" spans="1:16" x14ac:dyDescent="0.3">
      <c r="A1957" t="s">
        <v>13946</v>
      </c>
      <c r="B1957" t="s">
        <v>13947</v>
      </c>
      <c r="C1957" t="s">
        <v>13948</v>
      </c>
      <c r="D1957" t="s">
        <v>12017</v>
      </c>
      <c r="E1957" t="s">
        <v>13949</v>
      </c>
      <c r="F1957" t="s">
        <v>137</v>
      </c>
      <c r="G1957">
        <v>211</v>
      </c>
      <c r="H1957">
        <v>500</v>
      </c>
      <c r="I1957" s="5" t="s">
        <v>13950</v>
      </c>
      <c r="J1957" s="5" t="s">
        <v>13951</v>
      </c>
      <c r="K1957" s="5" t="str">
        <f t="shared" si="60"/>
        <v>https://www.google.com/maps?q=-11.335360, -42.131897</v>
      </c>
      <c r="L1957" s="5" t="str">
        <f t="shared" si="61"/>
        <v>Abrir no Maps</v>
      </c>
      <c r="M1957" t="s">
        <v>13952</v>
      </c>
      <c r="N1957" s="5"/>
      <c r="O1957" t="str">
        <f>VLOOKUP(G1957,'[1]CONFIG.'!$B:$C,2,0)</f>
        <v>DAIANE</v>
      </c>
      <c r="P1957" t="str">
        <f>VLOOKUP(O1957,'[1]CONFIG.'!$C:$D,2,0)</f>
        <v>74 99298866</v>
      </c>
    </row>
    <row r="1958" spans="1:16" x14ac:dyDescent="0.3">
      <c r="A1958" t="s">
        <v>13953</v>
      </c>
      <c r="B1958" t="s">
        <v>13954</v>
      </c>
      <c r="C1958" t="s">
        <v>13955</v>
      </c>
      <c r="D1958" t="s">
        <v>12017</v>
      </c>
      <c r="E1958" t="s">
        <v>13956</v>
      </c>
      <c r="F1958" t="s">
        <v>137</v>
      </c>
      <c r="G1958">
        <v>211</v>
      </c>
      <c r="H1958">
        <v>500</v>
      </c>
      <c r="I1958" s="5" t="s">
        <v>13957</v>
      </c>
      <c r="J1958" s="5" t="s">
        <v>13958</v>
      </c>
      <c r="K1958" s="5" t="str">
        <f t="shared" si="60"/>
        <v>https://www.google.com/maps?q=-11.332731, -42.127310</v>
      </c>
      <c r="L1958" s="5" t="str">
        <f t="shared" si="61"/>
        <v>Abrir no Maps</v>
      </c>
      <c r="M1958" t="s">
        <v>13959</v>
      </c>
      <c r="N1958" s="5"/>
      <c r="O1958" t="str">
        <f>VLOOKUP(G1958,'[1]CONFIG.'!$B:$C,2,0)</f>
        <v>DAIANE</v>
      </c>
      <c r="P1958" t="str">
        <f>VLOOKUP(O1958,'[1]CONFIG.'!$C:$D,2,0)</f>
        <v>74 99298866</v>
      </c>
    </row>
    <row r="1959" spans="1:16" x14ac:dyDescent="0.3">
      <c r="A1959" t="s">
        <v>13960</v>
      </c>
      <c r="B1959" t="s">
        <v>13961</v>
      </c>
      <c r="C1959" t="s">
        <v>13962</v>
      </c>
      <c r="D1959" t="s">
        <v>12017</v>
      </c>
      <c r="E1959" t="s">
        <v>13963</v>
      </c>
      <c r="F1959" t="s">
        <v>137</v>
      </c>
      <c r="G1959">
        <v>211</v>
      </c>
      <c r="H1959">
        <v>500</v>
      </c>
      <c r="I1959" s="5" t="s">
        <v>13964</v>
      </c>
      <c r="J1959" s="5" t="s">
        <v>13965</v>
      </c>
      <c r="K1959" s="5" t="str">
        <f t="shared" si="60"/>
        <v>https://www.google.com/maps?q=-11.337825, -42.135380</v>
      </c>
      <c r="L1959" s="5" t="str">
        <f t="shared" si="61"/>
        <v>Abrir no Maps</v>
      </c>
      <c r="M1959" t="s">
        <v>13966</v>
      </c>
      <c r="N1959" s="5"/>
      <c r="O1959" t="str">
        <f>VLOOKUP(G1959,'[1]CONFIG.'!$B:$C,2,0)</f>
        <v>DAIANE</v>
      </c>
      <c r="P1959" t="str">
        <f>VLOOKUP(O1959,'[1]CONFIG.'!$C:$D,2,0)</f>
        <v>74 99298866</v>
      </c>
    </row>
    <row r="1960" spans="1:16" x14ac:dyDescent="0.3">
      <c r="A1960" t="s">
        <v>13967</v>
      </c>
      <c r="B1960" t="s">
        <v>13968</v>
      </c>
      <c r="C1960" t="s">
        <v>13969</v>
      </c>
      <c r="D1960" t="s">
        <v>12017</v>
      </c>
      <c r="E1960" t="s">
        <v>13970</v>
      </c>
      <c r="F1960" t="s">
        <v>13971</v>
      </c>
      <c r="G1960">
        <v>211</v>
      </c>
      <c r="H1960">
        <v>500</v>
      </c>
      <c r="I1960" s="5" t="s">
        <v>13972</v>
      </c>
      <c r="J1960" s="5" t="s">
        <v>13973</v>
      </c>
      <c r="K1960" s="5" t="str">
        <f t="shared" si="60"/>
        <v>https://www.google.com/maps?q=-11.408027, -42.084927</v>
      </c>
      <c r="L1960" s="5" t="str">
        <f t="shared" si="61"/>
        <v>Abrir no Maps</v>
      </c>
      <c r="M1960" t="s">
        <v>13974</v>
      </c>
      <c r="N1960" s="5"/>
      <c r="O1960" t="str">
        <f>VLOOKUP(G1960,'[1]CONFIG.'!$B:$C,2,0)</f>
        <v>DAIANE</v>
      </c>
      <c r="P1960" t="str">
        <f>VLOOKUP(O1960,'[1]CONFIG.'!$C:$D,2,0)</f>
        <v>74 99298866</v>
      </c>
    </row>
    <row r="1961" spans="1:16" x14ac:dyDescent="0.3">
      <c r="A1961" t="s">
        <v>13975</v>
      </c>
      <c r="B1961" t="s">
        <v>13976</v>
      </c>
      <c r="C1961" t="s">
        <v>13977</v>
      </c>
      <c r="D1961" t="s">
        <v>12017</v>
      </c>
      <c r="E1961" t="s">
        <v>13978</v>
      </c>
      <c r="F1961" t="s">
        <v>137</v>
      </c>
      <c r="G1961">
        <v>211</v>
      </c>
      <c r="H1961">
        <v>500</v>
      </c>
      <c r="I1961" s="5" t="s">
        <v>13979</v>
      </c>
      <c r="J1961" s="5" t="s">
        <v>13980</v>
      </c>
      <c r="K1961" s="5" t="str">
        <f t="shared" si="60"/>
        <v>https://www.google.com/maps?q=-11.335152, -42.134354</v>
      </c>
      <c r="L1961" s="5" t="str">
        <f t="shared" si="61"/>
        <v>Abrir no Maps</v>
      </c>
      <c r="M1961" t="s">
        <v>13981</v>
      </c>
      <c r="N1961" s="5"/>
      <c r="O1961" t="str">
        <f>VLOOKUP(G1961,'[1]CONFIG.'!$B:$C,2,0)</f>
        <v>DAIANE</v>
      </c>
      <c r="P1961" t="str">
        <f>VLOOKUP(O1961,'[1]CONFIG.'!$C:$D,2,0)</f>
        <v>74 99298866</v>
      </c>
    </row>
    <row r="1962" spans="1:16" x14ac:dyDescent="0.3">
      <c r="A1962" t="s">
        <v>13982</v>
      </c>
      <c r="B1962" t="s">
        <v>13983</v>
      </c>
      <c r="C1962" t="s">
        <v>13984</v>
      </c>
      <c r="D1962" t="s">
        <v>12017</v>
      </c>
      <c r="E1962" t="s">
        <v>13985</v>
      </c>
      <c r="F1962" t="s">
        <v>13986</v>
      </c>
      <c r="G1962">
        <v>209</v>
      </c>
      <c r="H1962">
        <v>500</v>
      </c>
      <c r="I1962" s="5" t="s">
        <v>13987</v>
      </c>
      <c r="J1962" s="5" t="s">
        <v>13988</v>
      </c>
      <c r="K1962" s="5" t="str">
        <f t="shared" si="60"/>
        <v>https://www.google.com/maps?q=-11.260278, -42.156467</v>
      </c>
      <c r="L1962" s="5" t="str">
        <f t="shared" si="61"/>
        <v>Abrir no Maps</v>
      </c>
      <c r="M1962" t="s">
        <v>12022</v>
      </c>
      <c r="N1962" s="5"/>
      <c r="O1962" t="str">
        <f>VLOOKUP(G1962,'[1]CONFIG.'!$B:$C,2,0)</f>
        <v>IGOR</v>
      </c>
      <c r="P1962" t="str">
        <f>VLOOKUP(O1962,'[1]CONFIG.'!$C:$D,2,0)</f>
        <v>74 99590346</v>
      </c>
    </row>
    <row r="1963" spans="1:16" x14ac:dyDescent="0.3">
      <c r="A1963" t="s">
        <v>13989</v>
      </c>
      <c r="B1963" t="s">
        <v>13990</v>
      </c>
      <c r="C1963" t="s">
        <v>13991</v>
      </c>
      <c r="D1963" t="s">
        <v>12017</v>
      </c>
      <c r="E1963" t="s">
        <v>13992</v>
      </c>
      <c r="F1963" t="s">
        <v>137</v>
      </c>
      <c r="G1963">
        <v>211</v>
      </c>
      <c r="H1963">
        <v>500</v>
      </c>
      <c r="I1963" s="5" t="s">
        <v>13993</v>
      </c>
      <c r="J1963" s="5" t="s">
        <v>13994</v>
      </c>
      <c r="K1963" s="5" t="str">
        <f t="shared" si="60"/>
        <v>https://www.google.com/maps?q=-11.337098, -42.133236</v>
      </c>
      <c r="L1963" s="5" t="str">
        <f t="shared" si="61"/>
        <v>Abrir no Maps</v>
      </c>
      <c r="M1963" t="s">
        <v>13995</v>
      </c>
      <c r="N1963" s="5"/>
      <c r="O1963" t="str">
        <f>VLOOKUP(G1963,'[1]CONFIG.'!$B:$C,2,0)</f>
        <v>DAIANE</v>
      </c>
      <c r="P1963" t="str">
        <f>VLOOKUP(O1963,'[1]CONFIG.'!$C:$D,2,0)</f>
        <v>74 99298866</v>
      </c>
    </row>
    <row r="1964" spans="1:16" x14ac:dyDescent="0.3">
      <c r="A1964" t="s">
        <v>13996</v>
      </c>
      <c r="B1964" t="s">
        <v>13997</v>
      </c>
      <c r="C1964" t="s">
        <v>13998</v>
      </c>
      <c r="D1964" t="s">
        <v>36</v>
      </c>
      <c r="E1964" t="s">
        <v>13999</v>
      </c>
      <c r="F1964" t="s">
        <v>422</v>
      </c>
      <c r="G1964">
        <v>209</v>
      </c>
      <c r="H1964">
        <v>500</v>
      </c>
      <c r="I1964" s="5" t="s">
        <v>14000</v>
      </c>
      <c r="J1964" s="5" t="s">
        <v>14001</v>
      </c>
      <c r="K1964" s="5" t="str">
        <f t="shared" si="60"/>
        <v>https://www.google.com/maps?q=-11.297811, -41.851619</v>
      </c>
      <c r="L1964" s="5" t="str">
        <f t="shared" si="61"/>
        <v>Abrir no Maps</v>
      </c>
      <c r="M1964" t="s">
        <v>14002</v>
      </c>
      <c r="N1964" s="5"/>
      <c r="O1964" t="str">
        <f>VLOOKUP(G1964,'[1]CONFIG.'!$B:$C,2,0)</f>
        <v>IGOR</v>
      </c>
      <c r="P1964" t="str">
        <f>VLOOKUP(O1964,'[1]CONFIG.'!$C:$D,2,0)</f>
        <v>74 99590346</v>
      </c>
    </row>
    <row r="1965" spans="1:16" x14ac:dyDescent="0.3">
      <c r="A1965" t="s">
        <v>14003</v>
      </c>
      <c r="B1965" t="s">
        <v>14004</v>
      </c>
      <c r="C1965" t="s">
        <v>14005</v>
      </c>
      <c r="D1965" t="s">
        <v>12017</v>
      </c>
      <c r="E1965" t="s">
        <v>14006</v>
      </c>
      <c r="F1965" t="s">
        <v>137</v>
      </c>
      <c r="G1965">
        <v>211</v>
      </c>
      <c r="H1965">
        <v>500</v>
      </c>
      <c r="I1965" s="5" t="s">
        <v>14007</v>
      </c>
      <c r="J1965" s="5" t="s">
        <v>14008</v>
      </c>
      <c r="K1965" s="5" t="str">
        <f t="shared" si="60"/>
        <v>https://www.google.com/maps?q=-11.335406, -42.135876</v>
      </c>
      <c r="L1965" s="5" t="str">
        <f t="shared" si="61"/>
        <v>Abrir no Maps</v>
      </c>
      <c r="M1965" t="s">
        <v>14009</v>
      </c>
      <c r="N1965" s="5"/>
      <c r="O1965" t="str">
        <f>VLOOKUP(G1965,'[1]CONFIG.'!$B:$C,2,0)</f>
        <v>DAIANE</v>
      </c>
      <c r="P1965" t="str">
        <f>VLOOKUP(O1965,'[1]CONFIG.'!$C:$D,2,0)</f>
        <v>74 99298866</v>
      </c>
    </row>
    <row r="1966" spans="1:16" x14ac:dyDescent="0.3">
      <c r="A1966" t="s">
        <v>14010</v>
      </c>
      <c r="B1966" t="s">
        <v>14011</v>
      </c>
      <c r="C1966" t="s">
        <v>14012</v>
      </c>
      <c r="D1966" t="s">
        <v>12017</v>
      </c>
      <c r="E1966" t="s">
        <v>14013</v>
      </c>
      <c r="F1966" t="s">
        <v>13986</v>
      </c>
      <c r="G1966">
        <v>209</v>
      </c>
      <c r="H1966">
        <v>500</v>
      </c>
      <c r="I1966" s="5" t="s">
        <v>14014</v>
      </c>
      <c r="J1966" s="5" t="s">
        <v>14015</v>
      </c>
      <c r="K1966" s="5" t="str">
        <f t="shared" si="60"/>
        <v>https://www.google.com/maps?q=-11.259165, -42.157314</v>
      </c>
      <c r="L1966" s="5" t="str">
        <f t="shared" si="61"/>
        <v>Abrir no Maps</v>
      </c>
      <c r="M1966" t="s">
        <v>14016</v>
      </c>
      <c r="N1966" s="5"/>
      <c r="O1966" t="str">
        <f>VLOOKUP(G1966,'[1]CONFIG.'!$B:$C,2,0)</f>
        <v>IGOR</v>
      </c>
      <c r="P1966" t="str">
        <f>VLOOKUP(O1966,'[1]CONFIG.'!$C:$D,2,0)</f>
        <v>74 99590346</v>
      </c>
    </row>
    <row r="1967" spans="1:16" x14ac:dyDescent="0.3">
      <c r="A1967" t="s">
        <v>14017</v>
      </c>
      <c r="B1967" t="s">
        <v>14018</v>
      </c>
      <c r="C1967" t="s">
        <v>14019</v>
      </c>
      <c r="D1967" t="s">
        <v>12017</v>
      </c>
      <c r="E1967" t="s">
        <v>14020</v>
      </c>
      <c r="F1967" t="s">
        <v>137</v>
      </c>
      <c r="G1967">
        <v>211</v>
      </c>
      <c r="H1967">
        <v>500</v>
      </c>
      <c r="I1967" s="5" t="s">
        <v>14021</v>
      </c>
      <c r="J1967" s="5" t="s">
        <v>14022</v>
      </c>
      <c r="K1967" s="5" t="str">
        <f t="shared" si="60"/>
        <v>https://www.google.com/maps?q=-11.336553, -42.135513</v>
      </c>
      <c r="L1967" s="5" t="str">
        <f t="shared" si="61"/>
        <v>Abrir no Maps</v>
      </c>
      <c r="M1967" t="s">
        <v>14023</v>
      </c>
      <c r="N1967" s="5"/>
      <c r="O1967" t="str">
        <f>VLOOKUP(G1967,'[1]CONFIG.'!$B:$C,2,0)</f>
        <v>DAIANE</v>
      </c>
      <c r="P1967" t="str">
        <f>VLOOKUP(O1967,'[1]CONFIG.'!$C:$D,2,0)</f>
        <v>74 99298866</v>
      </c>
    </row>
    <row r="1968" spans="1:16" x14ac:dyDescent="0.3">
      <c r="A1968" t="s">
        <v>14024</v>
      </c>
      <c r="B1968" t="s">
        <v>14025</v>
      </c>
      <c r="C1968" t="s">
        <v>14026</v>
      </c>
      <c r="D1968" t="s">
        <v>12017</v>
      </c>
      <c r="E1968" t="s">
        <v>14027</v>
      </c>
      <c r="F1968" t="s">
        <v>137</v>
      </c>
      <c r="G1968">
        <v>211</v>
      </c>
      <c r="H1968">
        <v>500</v>
      </c>
      <c r="I1968" s="5" t="s">
        <v>14028</v>
      </c>
      <c r="J1968" s="5" t="s">
        <v>14029</v>
      </c>
      <c r="K1968" s="5" t="str">
        <f t="shared" si="60"/>
        <v>https://www.google.com/maps?q=-11.336441, -42.127980</v>
      </c>
      <c r="L1968" s="5" t="str">
        <f t="shared" si="61"/>
        <v>Abrir no Maps</v>
      </c>
      <c r="M1968" t="s">
        <v>14030</v>
      </c>
      <c r="N1968" s="5"/>
      <c r="O1968" t="str">
        <f>VLOOKUP(G1968,'[1]CONFIG.'!$B:$C,2,0)</f>
        <v>DAIANE</v>
      </c>
      <c r="P1968" t="str">
        <f>VLOOKUP(O1968,'[1]CONFIG.'!$C:$D,2,0)</f>
        <v>74 99298866</v>
      </c>
    </row>
    <row r="1969" spans="1:16" x14ac:dyDescent="0.3">
      <c r="A1969" t="s">
        <v>14031</v>
      </c>
      <c r="B1969" t="s">
        <v>14032</v>
      </c>
      <c r="C1969" t="s">
        <v>14033</v>
      </c>
      <c r="D1969" t="s">
        <v>12017</v>
      </c>
      <c r="E1969" t="s">
        <v>14034</v>
      </c>
      <c r="F1969" t="s">
        <v>137</v>
      </c>
      <c r="G1969">
        <v>211</v>
      </c>
      <c r="H1969">
        <v>500</v>
      </c>
      <c r="I1969" s="5" t="s">
        <v>14035</v>
      </c>
      <c r="J1969" s="5" t="s">
        <v>14036</v>
      </c>
      <c r="K1969" s="5" t="str">
        <f t="shared" si="60"/>
        <v>https://www.google.com/maps?q=-11.335768, -42.134155</v>
      </c>
      <c r="L1969" s="5" t="str">
        <f t="shared" si="61"/>
        <v>Abrir no Maps</v>
      </c>
      <c r="M1969" t="s">
        <v>14037</v>
      </c>
      <c r="N1969" s="5"/>
      <c r="O1969" t="str">
        <f>VLOOKUP(G1969,'[1]CONFIG.'!$B:$C,2,0)</f>
        <v>DAIANE</v>
      </c>
      <c r="P1969" t="str">
        <f>VLOOKUP(O1969,'[1]CONFIG.'!$C:$D,2,0)</f>
        <v>74 99298866</v>
      </c>
    </row>
    <row r="1970" spans="1:16" x14ac:dyDescent="0.3">
      <c r="A1970" t="s">
        <v>14038</v>
      </c>
      <c r="B1970" t="s">
        <v>14039</v>
      </c>
      <c r="C1970" t="s">
        <v>14040</v>
      </c>
      <c r="D1970" t="s">
        <v>12017</v>
      </c>
      <c r="E1970" t="s">
        <v>14041</v>
      </c>
      <c r="F1970" t="s">
        <v>13971</v>
      </c>
      <c r="G1970">
        <v>211</v>
      </c>
      <c r="H1970">
        <v>500</v>
      </c>
      <c r="I1970" s="5" t="s">
        <v>14042</v>
      </c>
      <c r="J1970" s="5" t="s">
        <v>14043</v>
      </c>
      <c r="K1970" s="5" t="str">
        <f t="shared" si="60"/>
        <v>https://www.google.com/maps?q=-11.407488, -42.086050</v>
      </c>
      <c r="L1970" s="5" t="str">
        <f t="shared" si="61"/>
        <v>Abrir no Maps</v>
      </c>
      <c r="M1970" t="s">
        <v>14044</v>
      </c>
      <c r="N1970" s="5"/>
      <c r="O1970" t="str">
        <f>VLOOKUP(G1970,'[1]CONFIG.'!$B:$C,2,0)</f>
        <v>DAIANE</v>
      </c>
      <c r="P1970" t="str">
        <f>VLOOKUP(O1970,'[1]CONFIG.'!$C:$D,2,0)</f>
        <v>74 99298866</v>
      </c>
    </row>
    <row r="1971" spans="1:16" x14ac:dyDescent="0.3">
      <c r="A1971" t="s">
        <v>14045</v>
      </c>
      <c r="B1971" t="s">
        <v>14046</v>
      </c>
      <c r="C1971" t="s">
        <v>14047</v>
      </c>
      <c r="D1971" t="s">
        <v>12017</v>
      </c>
      <c r="E1971" t="s">
        <v>14048</v>
      </c>
      <c r="F1971" t="s">
        <v>13986</v>
      </c>
      <c r="G1971">
        <v>209</v>
      </c>
      <c r="H1971">
        <v>500</v>
      </c>
      <c r="I1971" s="5" t="s">
        <v>14049</v>
      </c>
      <c r="J1971" s="5" t="s">
        <v>14050</v>
      </c>
      <c r="K1971" s="5" t="str">
        <f t="shared" si="60"/>
        <v>https://www.google.com/maps?q=-11.259407, -42.153576</v>
      </c>
      <c r="L1971" s="5" t="str">
        <f t="shared" si="61"/>
        <v>Abrir no Maps</v>
      </c>
      <c r="M1971" t="s">
        <v>14051</v>
      </c>
      <c r="N1971" s="5"/>
      <c r="O1971" t="str">
        <f>VLOOKUP(G1971,'[1]CONFIG.'!$B:$C,2,0)</f>
        <v>IGOR</v>
      </c>
      <c r="P1971" t="str">
        <f>VLOOKUP(O1971,'[1]CONFIG.'!$C:$D,2,0)</f>
        <v>74 99590346</v>
      </c>
    </row>
    <row r="1972" spans="1:16" x14ac:dyDescent="0.3">
      <c r="A1972" t="s">
        <v>14052</v>
      </c>
      <c r="B1972" t="s">
        <v>14053</v>
      </c>
      <c r="C1972" t="s">
        <v>14054</v>
      </c>
      <c r="D1972" t="s">
        <v>12017</v>
      </c>
      <c r="E1972" t="s">
        <v>14055</v>
      </c>
      <c r="F1972" t="s">
        <v>137</v>
      </c>
      <c r="G1972">
        <v>211</v>
      </c>
      <c r="H1972">
        <v>500</v>
      </c>
      <c r="I1972" s="5" t="s">
        <v>14056</v>
      </c>
      <c r="J1972" s="5" t="s">
        <v>14057</v>
      </c>
      <c r="K1972" s="5" t="str">
        <f t="shared" si="60"/>
        <v>https://www.google.com/maps?q=-11.335070, -42.133865</v>
      </c>
      <c r="L1972" s="5" t="str">
        <f t="shared" si="61"/>
        <v>Abrir no Maps</v>
      </c>
      <c r="M1972" t="s">
        <v>14058</v>
      </c>
      <c r="N1972" s="5"/>
      <c r="O1972" t="str">
        <f>VLOOKUP(G1972,'[1]CONFIG.'!$B:$C,2,0)</f>
        <v>DAIANE</v>
      </c>
      <c r="P1972" t="str">
        <f>VLOOKUP(O1972,'[1]CONFIG.'!$C:$D,2,0)</f>
        <v>74 99298866</v>
      </c>
    </row>
    <row r="1973" spans="1:16" x14ac:dyDescent="0.3">
      <c r="A1973" t="s">
        <v>14059</v>
      </c>
      <c r="B1973" t="s">
        <v>14060</v>
      </c>
      <c r="C1973" t="s">
        <v>14061</v>
      </c>
      <c r="D1973" t="s">
        <v>12017</v>
      </c>
      <c r="E1973" t="s">
        <v>14062</v>
      </c>
      <c r="F1973" t="s">
        <v>137</v>
      </c>
      <c r="G1973">
        <v>211</v>
      </c>
      <c r="H1973">
        <v>500</v>
      </c>
      <c r="I1973" s="5" t="s">
        <v>14063</v>
      </c>
      <c r="J1973" s="5" t="s">
        <v>14064</v>
      </c>
      <c r="K1973" s="5" t="str">
        <f t="shared" si="60"/>
        <v>https://www.google.com/maps?q=-11.335968, -42.134765</v>
      </c>
      <c r="L1973" s="5" t="str">
        <f t="shared" si="61"/>
        <v>Abrir no Maps</v>
      </c>
      <c r="M1973" t="s">
        <v>14065</v>
      </c>
      <c r="N1973" s="5"/>
      <c r="O1973" t="str">
        <f>VLOOKUP(G1973,'[1]CONFIG.'!$B:$C,2,0)</f>
        <v>DAIANE</v>
      </c>
      <c r="P1973" t="str">
        <f>VLOOKUP(O1973,'[1]CONFIG.'!$C:$D,2,0)</f>
        <v>74 99298866</v>
      </c>
    </row>
    <row r="1974" spans="1:16" x14ac:dyDescent="0.3">
      <c r="A1974" t="s">
        <v>14066</v>
      </c>
      <c r="B1974" t="s">
        <v>14067</v>
      </c>
      <c r="C1974" t="s">
        <v>14068</v>
      </c>
      <c r="D1974" t="s">
        <v>12017</v>
      </c>
      <c r="E1974" t="s">
        <v>14069</v>
      </c>
      <c r="F1974" t="s">
        <v>13942</v>
      </c>
      <c r="G1974">
        <v>211</v>
      </c>
      <c r="H1974">
        <v>500</v>
      </c>
      <c r="I1974" s="5" t="s">
        <v>14070</v>
      </c>
      <c r="J1974" s="5" t="s">
        <v>14071</v>
      </c>
      <c r="K1974" s="5" t="str">
        <f t="shared" si="60"/>
        <v>https://www.google.com/maps?q=-11.382899, -42.099842</v>
      </c>
      <c r="L1974" s="5" t="str">
        <f t="shared" si="61"/>
        <v>Abrir no Maps</v>
      </c>
      <c r="M1974" t="s">
        <v>14072</v>
      </c>
      <c r="N1974" s="5"/>
      <c r="O1974" t="str">
        <f>VLOOKUP(G1974,'[1]CONFIG.'!$B:$C,2,0)</f>
        <v>DAIANE</v>
      </c>
      <c r="P1974" t="str">
        <f>VLOOKUP(O1974,'[1]CONFIG.'!$C:$D,2,0)</f>
        <v>74 99298866</v>
      </c>
    </row>
    <row r="1975" spans="1:16" x14ac:dyDescent="0.3">
      <c r="A1975" t="s">
        <v>14073</v>
      </c>
      <c r="B1975" t="s">
        <v>14074</v>
      </c>
      <c r="C1975" t="s">
        <v>14075</v>
      </c>
      <c r="D1975" t="s">
        <v>12017</v>
      </c>
      <c r="E1975" t="s">
        <v>14076</v>
      </c>
      <c r="F1975" t="s">
        <v>137</v>
      </c>
      <c r="G1975">
        <v>211</v>
      </c>
      <c r="H1975">
        <v>500</v>
      </c>
      <c r="I1975" s="5" t="s">
        <v>14077</v>
      </c>
      <c r="J1975" s="5" t="s">
        <v>14078</v>
      </c>
      <c r="K1975" s="5" t="str">
        <f t="shared" si="60"/>
        <v>https://www.google.com/maps?q=-11.333696, -42.135357</v>
      </c>
      <c r="L1975" s="5" t="str">
        <f t="shared" si="61"/>
        <v>Abrir no Maps</v>
      </c>
      <c r="M1975" t="s">
        <v>14079</v>
      </c>
      <c r="N1975" s="5"/>
      <c r="O1975" t="str">
        <f>VLOOKUP(G1975,'[1]CONFIG.'!$B:$C,2,0)</f>
        <v>DAIANE</v>
      </c>
      <c r="P1975" t="str">
        <f>VLOOKUP(O1975,'[1]CONFIG.'!$C:$D,2,0)</f>
        <v>74 99298866</v>
      </c>
    </row>
    <row r="1976" spans="1:16" x14ac:dyDescent="0.3">
      <c r="A1976" t="s">
        <v>14080</v>
      </c>
      <c r="B1976" t="s">
        <v>14081</v>
      </c>
      <c r="C1976" t="s">
        <v>14082</v>
      </c>
      <c r="D1976" t="s">
        <v>12017</v>
      </c>
      <c r="E1976" t="s">
        <v>14083</v>
      </c>
      <c r="F1976" t="s">
        <v>137</v>
      </c>
      <c r="G1976">
        <v>211</v>
      </c>
      <c r="H1976">
        <v>500</v>
      </c>
      <c r="I1976" s="5" t="s">
        <v>14084</v>
      </c>
      <c r="J1976" s="5" t="s">
        <v>14085</v>
      </c>
      <c r="K1976" s="5" t="str">
        <f t="shared" si="60"/>
        <v>https://www.google.com/maps?q=-11.335187, -42.134410</v>
      </c>
      <c r="L1976" s="5" t="str">
        <f t="shared" si="61"/>
        <v>Abrir no Maps</v>
      </c>
      <c r="M1976" t="s">
        <v>14086</v>
      </c>
      <c r="N1976" s="5"/>
      <c r="O1976" t="str">
        <f>VLOOKUP(G1976,'[1]CONFIG.'!$B:$C,2,0)</f>
        <v>DAIANE</v>
      </c>
      <c r="P1976" t="str">
        <f>VLOOKUP(O1976,'[1]CONFIG.'!$C:$D,2,0)</f>
        <v>74 99298866</v>
      </c>
    </row>
    <row r="1977" spans="1:16" x14ac:dyDescent="0.3">
      <c r="A1977" t="s">
        <v>14087</v>
      </c>
      <c r="B1977" t="s">
        <v>14088</v>
      </c>
      <c r="C1977" t="s">
        <v>14089</v>
      </c>
      <c r="D1977" t="s">
        <v>12017</v>
      </c>
      <c r="E1977" t="s">
        <v>14090</v>
      </c>
      <c r="F1977" t="s">
        <v>137</v>
      </c>
      <c r="G1977">
        <v>211</v>
      </c>
      <c r="H1977">
        <v>500</v>
      </c>
      <c r="I1977" s="5" t="s">
        <v>14091</v>
      </c>
      <c r="J1977" s="5" t="s">
        <v>14092</v>
      </c>
      <c r="K1977" s="5" t="str">
        <f t="shared" si="60"/>
        <v>https://www.google.com/maps?q=-11.337434, -42.132942</v>
      </c>
      <c r="L1977" s="5" t="str">
        <f t="shared" si="61"/>
        <v>Abrir no Maps</v>
      </c>
      <c r="M1977" t="s">
        <v>14093</v>
      </c>
      <c r="N1977" s="5"/>
      <c r="O1977" t="str">
        <f>VLOOKUP(G1977,'[1]CONFIG.'!$B:$C,2,0)</f>
        <v>DAIANE</v>
      </c>
      <c r="P1977" t="str">
        <f>VLOOKUP(O1977,'[1]CONFIG.'!$C:$D,2,0)</f>
        <v>74 99298866</v>
      </c>
    </row>
    <row r="1978" spans="1:16" x14ac:dyDescent="0.3">
      <c r="A1978" t="s">
        <v>14094</v>
      </c>
      <c r="B1978" t="s">
        <v>14095</v>
      </c>
      <c r="C1978" t="s">
        <v>14096</v>
      </c>
      <c r="D1978" t="s">
        <v>11338</v>
      </c>
      <c r="E1978" t="s">
        <v>14097</v>
      </c>
      <c r="F1978" t="s">
        <v>137</v>
      </c>
      <c r="G1978">
        <v>215</v>
      </c>
      <c r="H1978">
        <v>300</v>
      </c>
      <c r="I1978" s="5" t="s">
        <v>14098</v>
      </c>
      <c r="J1978" s="5" t="s">
        <v>14099</v>
      </c>
      <c r="K1978" s="5" t="str">
        <f t="shared" si="60"/>
        <v>https://www.google.com/maps?q=-10.731859, -41.325040</v>
      </c>
      <c r="L1978" s="5" t="str">
        <f t="shared" si="61"/>
        <v>Abrir no Maps</v>
      </c>
      <c r="M1978" t="s">
        <v>14100</v>
      </c>
      <c r="N1978" s="5"/>
      <c r="O1978" t="s">
        <v>11509</v>
      </c>
      <c r="P1978" t="e">
        <f>VLOOKUP(O1978,'[1]CONFIG.'!$C:$D,2,0)</f>
        <v>#N/A</v>
      </c>
    </row>
    <row r="1979" spans="1:16" x14ac:dyDescent="0.3">
      <c r="A1979" t="s">
        <v>14101</v>
      </c>
      <c r="B1979" t="s">
        <v>14102</v>
      </c>
      <c r="C1979" t="s">
        <v>14103</v>
      </c>
      <c r="D1979" t="s">
        <v>11338</v>
      </c>
      <c r="E1979" t="s">
        <v>14104</v>
      </c>
      <c r="F1979" t="s">
        <v>137</v>
      </c>
      <c r="G1979">
        <v>215</v>
      </c>
      <c r="H1979">
        <v>300</v>
      </c>
      <c r="I1979" s="5" t="s">
        <v>14105</v>
      </c>
      <c r="J1979" s="5" t="s">
        <v>14106</v>
      </c>
      <c r="K1979" s="5" t="str">
        <f t="shared" si="60"/>
        <v>https://www.google.com/maps?q=-10.730846, -41.324444</v>
      </c>
      <c r="L1979" s="5" t="str">
        <f t="shared" si="61"/>
        <v>Abrir no Maps</v>
      </c>
      <c r="M1979" t="s">
        <v>14107</v>
      </c>
      <c r="N1979" s="5"/>
      <c r="O1979" t="s">
        <v>11509</v>
      </c>
      <c r="P1979" t="e">
        <f>VLOOKUP(O1979,'[1]CONFIG.'!$C:$D,2,0)</f>
        <v>#N/A</v>
      </c>
    </row>
    <row r="1980" spans="1:16" x14ac:dyDescent="0.3">
      <c r="A1980" t="s">
        <v>14108</v>
      </c>
      <c r="B1980" t="s">
        <v>14109</v>
      </c>
      <c r="C1980" t="s">
        <v>14110</v>
      </c>
      <c r="D1980" t="s">
        <v>11338</v>
      </c>
      <c r="E1980" t="s">
        <v>14111</v>
      </c>
      <c r="F1980" t="s">
        <v>137</v>
      </c>
      <c r="G1980">
        <v>215</v>
      </c>
      <c r="H1980">
        <v>300</v>
      </c>
      <c r="I1980" s="5" t="s">
        <v>14112</v>
      </c>
      <c r="J1980" s="5" t="s">
        <v>14113</v>
      </c>
      <c r="K1980" s="5" t="str">
        <f t="shared" si="60"/>
        <v>https://www.google.com/maps?q=-10.729722, -41.322224</v>
      </c>
      <c r="L1980" s="5" t="str">
        <f t="shared" si="61"/>
        <v>Abrir no Maps</v>
      </c>
      <c r="M1980" t="s">
        <v>14114</v>
      </c>
      <c r="N1980" s="5"/>
      <c r="O1980" t="s">
        <v>11509</v>
      </c>
      <c r="P1980" t="e">
        <f>VLOOKUP(O1980,'[1]CONFIG.'!$C:$D,2,0)</f>
        <v>#N/A</v>
      </c>
    </row>
    <row r="1981" spans="1:16" x14ac:dyDescent="0.3">
      <c r="A1981" t="s">
        <v>14115</v>
      </c>
      <c r="B1981" t="s">
        <v>14116</v>
      </c>
      <c r="C1981" t="s">
        <v>14117</v>
      </c>
      <c r="D1981" t="s">
        <v>11338</v>
      </c>
      <c r="E1981" t="s">
        <v>14118</v>
      </c>
      <c r="F1981" t="s">
        <v>137</v>
      </c>
      <c r="G1981">
        <v>215</v>
      </c>
      <c r="H1981">
        <v>300</v>
      </c>
      <c r="I1981" s="5" t="s">
        <v>14119</v>
      </c>
      <c r="J1981" s="5" t="s">
        <v>14120</v>
      </c>
      <c r="K1981" s="5" t="str">
        <f t="shared" si="60"/>
        <v>https://www.google.com/maps?q=-10.731645, -41.326668</v>
      </c>
      <c r="L1981" s="5" t="str">
        <f t="shared" si="61"/>
        <v>Abrir no Maps</v>
      </c>
      <c r="M1981" t="s">
        <v>14121</v>
      </c>
      <c r="N1981" s="5"/>
      <c r="O1981" t="s">
        <v>11509</v>
      </c>
      <c r="P1981" t="e">
        <f>VLOOKUP(O1981,'[1]CONFIG.'!$C:$D,2,0)</f>
        <v>#N/A</v>
      </c>
    </row>
    <row r="1982" spans="1:16" x14ac:dyDescent="0.3">
      <c r="A1982" t="s">
        <v>14122</v>
      </c>
      <c r="B1982" t="s">
        <v>14123</v>
      </c>
      <c r="C1982" t="s">
        <v>14124</v>
      </c>
      <c r="D1982" t="s">
        <v>11338</v>
      </c>
      <c r="E1982" t="s">
        <v>14125</v>
      </c>
      <c r="F1982" t="s">
        <v>137</v>
      </c>
      <c r="G1982">
        <v>215</v>
      </c>
      <c r="H1982">
        <v>300</v>
      </c>
      <c r="I1982" s="5" t="s">
        <v>14126</v>
      </c>
      <c r="J1982" s="5" t="s">
        <v>14127</v>
      </c>
      <c r="K1982" s="5" t="str">
        <f t="shared" si="60"/>
        <v>https://www.google.com/maps?q=-10.730041, -41.326313</v>
      </c>
      <c r="L1982" s="5" t="str">
        <f t="shared" si="61"/>
        <v>Abrir no Maps</v>
      </c>
      <c r="M1982" t="s">
        <v>14128</v>
      </c>
      <c r="N1982" s="5"/>
      <c r="O1982" t="s">
        <v>11509</v>
      </c>
      <c r="P1982" t="e">
        <f>VLOOKUP(O1982,'[1]CONFIG.'!$C:$D,2,0)</f>
        <v>#N/A</v>
      </c>
    </row>
    <row r="1983" spans="1:16" x14ac:dyDescent="0.3">
      <c r="A1983" t="s">
        <v>14129</v>
      </c>
      <c r="B1983" t="s">
        <v>14130</v>
      </c>
      <c r="C1983" t="s">
        <v>14131</v>
      </c>
      <c r="D1983" t="s">
        <v>11338</v>
      </c>
      <c r="E1983" t="s">
        <v>14132</v>
      </c>
      <c r="F1983" t="s">
        <v>11543</v>
      </c>
      <c r="G1983">
        <v>215</v>
      </c>
      <c r="H1983">
        <v>300</v>
      </c>
      <c r="I1983" s="5" t="s">
        <v>14133</v>
      </c>
      <c r="J1983" s="5" t="s">
        <v>14134</v>
      </c>
      <c r="K1983" s="5" t="str">
        <f t="shared" si="60"/>
        <v>https://www.google.com/maps?q=-10.850608, -41.380524</v>
      </c>
      <c r="L1983" s="5" t="str">
        <f t="shared" si="61"/>
        <v>Abrir no Maps</v>
      </c>
      <c r="M1983" t="s">
        <v>14135</v>
      </c>
      <c r="N1983" s="5"/>
      <c r="O1983" t="s">
        <v>11509</v>
      </c>
      <c r="P1983" t="e">
        <f>VLOOKUP(O1983,'[1]CONFIG.'!$C:$D,2,0)</f>
        <v>#N/A</v>
      </c>
    </row>
    <row r="1984" spans="1:16" x14ac:dyDescent="0.3">
      <c r="A1984" t="s">
        <v>14136</v>
      </c>
      <c r="B1984" t="s">
        <v>14137</v>
      </c>
      <c r="C1984" t="s">
        <v>14138</v>
      </c>
      <c r="D1984" t="s">
        <v>11338</v>
      </c>
      <c r="E1984" t="s">
        <v>14139</v>
      </c>
      <c r="F1984" t="s">
        <v>137</v>
      </c>
      <c r="G1984">
        <v>215</v>
      </c>
      <c r="H1984">
        <v>300</v>
      </c>
      <c r="I1984" s="5" t="s">
        <v>14140</v>
      </c>
      <c r="J1984" s="5" t="s">
        <v>14141</v>
      </c>
      <c r="K1984" s="5" t="str">
        <f t="shared" si="60"/>
        <v>https://www.google.com/maps?q=-10.729070, -41.322346</v>
      </c>
      <c r="L1984" s="5" t="str">
        <f t="shared" si="61"/>
        <v>Abrir no Maps</v>
      </c>
      <c r="M1984" t="s">
        <v>14142</v>
      </c>
      <c r="N1984" s="5"/>
      <c r="O1984" t="s">
        <v>11509</v>
      </c>
      <c r="P1984" t="e">
        <f>VLOOKUP(O1984,'[1]CONFIG.'!$C:$D,2,0)</f>
        <v>#N/A</v>
      </c>
    </row>
    <row r="1985" spans="1:16" x14ac:dyDescent="0.3">
      <c r="A1985" t="s">
        <v>14143</v>
      </c>
      <c r="B1985" t="s">
        <v>14144</v>
      </c>
      <c r="C1985" t="s">
        <v>14145</v>
      </c>
      <c r="D1985" t="s">
        <v>11338</v>
      </c>
      <c r="E1985" t="s">
        <v>14146</v>
      </c>
      <c r="F1985" t="s">
        <v>137</v>
      </c>
      <c r="G1985">
        <v>215</v>
      </c>
      <c r="H1985">
        <v>300</v>
      </c>
      <c r="I1985" s="5" t="s">
        <v>14147</v>
      </c>
      <c r="J1985" s="5" t="s">
        <v>14148</v>
      </c>
      <c r="K1985" s="5" t="str">
        <f t="shared" si="60"/>
        <v>https://www.google.com/maps?q=-10.731640, -41.324670</v>
      </c>
      <c r="L1985" s="5" t="str">
        <f t="shared" si="61"/>
        <v>Abrir no Maps</v>
      </c>
      <c r="M1985" t="s">
        <v>14149</v>
      </c>
      <c r="N1985" s="5"/>
      <c r="O1985" t="s">
        <v>11509</v>
      </c>
      <c r="P1985" t="e">
        <f>VLOOKUP(O1985,'[1]CONFIG.'!$C:$D,2,0)</f>
        <v>#N/A</v>
      </c>
    </row>
    <row r="1986" spans="1:16" x14ac:dyDescent="0.3">
      <c r="A1986" t="s">
        <v>14150</v>
      </c>
      <c r="B1986" t="s">
        <v>14151</v>
      </c>
      <c r="C1986" t="s">
        <v>14152</v>
      </c>
      <c r="D1986" t="s">
        <v>11338</v>
      </c>
      <c r="E1986" t="s">
        <v>14153</v>
      </c>
      <c r="F1986" t="s">
        <v>137</v>
      </c>
      <c r="G1986">
        <v>215</v>
      </c>
      <c r="H1986">
        <v>300</v>
      </c>
      <c r="I1986" s="5" t="s">
        <v>14154</v>
      </c>
      <c r="J1986" s="5" t="s">
        <v>14155</v>
      </c>
      <c r="K1986" s="5" t="str">
        <f t="shared" si="60"/>
        <v>https://www.google.com/maps?q=-10.727790, -41.321144</v>
      </c>
      <c r="L1986" s="5" t="str">
        <f t="shared" si="61"/>
        <v>Abrir no Maps</v>
      </c>
      <c r="M1986" t="s">
        <v>14156</v>
      </c>
      <c r="N1986" s="5"/>
      <c r="O1986" t="s">
        <v>11509</v>
      </c>
      <c r="P1986" t="e">
        <f>VLOOKUP(O1986,'[1]CONFIG.'!$C:$D,2,0)</f>
        <v>#N/A</v>
      </c>
    </row>
    <row r="1987" spans="1:16" x14ac:dyDescent="0.3">
      <c r="A1987" t="s">
        <v>14157</v>
      </c>
      <c r="B1987" t="s">
        <v>14158</v>
      </c>
      <c r="C1987" t="s">
        <v>14159</v>
      </c>
      <c r="D1987" t="s">
        <v>11338</v>
      </c>
      <c r="E1987" t="s">
        <v>14160</v>
      </c>
      <c r="F1987" t="s">
        <v>137</v>
      </c>
      <c r="G1987">
        <v>215</v>
      </c>
      <c r="H1987">
        <v>300</v>
      </c>
      <c r="I1987" s="5" t="s">
        <v>14161</v>
      </c>
      <c r="J1987" s="5" t="s">
        <v>14162</v>
      </c>
      <c r="K1987" s="5" t="str">
        <f t="shared" si="60"/>
        <v>https://www.google.com/maps?q=-10.730805, -41.323185</v>
      </c>
      <c r="L1987" s="5" t="str">
        <f t="shared" si="61"/>
        <v>Abrir no Maps</v>
      </c>
      <c r="M1987" t="s">
        <v>14163</v>
      </c>
      <c r="N1987" s="5"/>
      <c r="O1987" t="s">
        <v>11509</v>
      </c>
      <c r="P1987" t="e">
        <f>VLOOKUP(O1987,'[1]CONFIG.'!$C:$D,2,0)</f>
        <v>#N/A</v>
      </c>
    </row>
    <row r="1988" spans="1:16" x14ac:dyDescent="0.3">
      <c r="A1988" t="s">
        <v>14164</v>
      </c>
      <c r="B1988" t="s">
        <v>14165</v>
      </c>
      <c r="C1988" t="s">
        <v>14166</v>
      </c>
      <c r="D1988" t="s">
        <v>11338</v>
      </c>
      <c r="E1988" t="s">
        <v>14167</v>
      </c>
      <c r="F1988" t="s">
        <v>11543</v>
      </c>
      <c r="G1988">
        <v>215</v>
      </c>
      <c r="H1988">
        <v>300</v>
      </c>
      <c r="I1988" s="5" t="s">
        <v>14168</v>
      </c>
      <c r="J1988" s="5" t="s">
        <v>14169</v>
      </c>
      <c r="K1988" s="5" t="str">
        <f t="shared" ref="K1988:K2051" si="62">"https://www.google.com/maps?q="&amp;""&amp;LEFT(I1988,3)&amp;"."&amp;RIGHT(I1988,6)&amp;", "&amp;LEFT(J1988,3)&amp;"."&amp;RIGHT(J1988,6)</f>
        <v>https://www.google.com/maps?q=-10.850833, -41.380554</v>
      </c>
      <c r="L1988" s="5" t="str">
        <f t="shared" ref="L1988:L2051" si="63">HYPERLINK(K1988,"Abrir no Maps")</f>
        <v>Abrir no Maps</v>
      </c>
      <c r="M1988">
        <v>0</v>
      </c>
      <c r="N1988" s="5"/>
      <c r="O1988" t="s">
        <v>11509</v>
      </c>
      <c r="P1988" t="e">
        <f>VLOOKUP(O1988,'[1]CONFIG.'!$C:$D,2,0)</f>
        <v>#N/A</v>
      </c>
    </row>
    <row r="1989" spans="1:16" x14ac:dyDescent="0.3">
      <c r="A1989" t="s">
        <v>14170</v>
      </c>
      <c r="B1989" t="s">
        <v>14171</v>
      </c>
      <c r="C1989" t="s">
        <v>14172</v>
      </c>
      <c r="D1989" t="s">
        <v>11338</v>
      </c>
      <c r="E1989" t="s">
        <v>14173</v>
      </c>
      <c r="F1989" t="s">
        <v>137</v>
      </c>
      <c r="G1989">
        <v>215</v>
      </c>
      <c r="H1989">
        <v>300</v>
      </c>
      <c r="I1989" s="5" t="s">
        <v>14174</v>
      </c>
      <c r="J1989" s="5" t="s">
        <v>14175</v>
      </c>
      <c r="K1989" s="5" t="str">
        <f t="shared" si="62"/>
        <v>https://www.google.com/maps?q=-10.730833, -41.323612</v>
      </c>
      <c r="L1989" s="5" t="str">
        <f t="shared" si="63"/>
        <v>Abrir no Maps</v>
      </c>
      <c r="M1989" t="s">
        <v>14176</v>
      </c>
      <c r="N1989" s="5"/>
      <c r="O1989" t="s">
        <v>11509</v>
      </c>
      <c r="P1989" t="e">
        <f>VLOOKUP(O1989,'[1]CONFIG.'!$C:$D,2,0)</f>
        <v>#N/A</v>
      </c>
    </row>
    <row r="1990" spans="1:16" x14ac:dyDescent="0.3">
      <c r="A1990" t="s">
        <v>14177</v>
      </c>
      <c r="B1990" t="s">
        <v>14178</v>
      </c>
      <c r="C1990" t="s">
        <v>14179</v>
      </c>
      <c r="D1990" t="s">
        <v>11338</v>
      </c>
      <c r="E1990" t="s">
        <v>14180</v>
      </c>
      <c r="F1990" t="s">
        <v>137</v>
      </c>
      <c r="G1990">
        <v>215</v>
      </c>
      <c r="H1990">
        <v>300</v>
      </c>
      <c r="I1990" s="5" t="s">
        <v>14181</v>
      </c>
      <c r="J1990" s="5" t="s">
        <v>14182</v>
      </c>
      <c r="K1990" s="5" t="str">
        <f t="shared" si="62"/>
        <v>https://www.google.com/maps?q=-10.731920, -41.326580</v>
      </c>
      <c r="L1990" s="5" t="str">
        <f t="shared" si="63"/>
        <v>Abrir no Maps</v>
      </c>
      <c r="M1990" t="s">
        <v>14183</v>
      </c>
      <c r="N1990" s="5"/>
      <c r="O1990" t="s">
        <v>11509</v>
      </c>
      <c r="P1990" t="e">
        <f>VLOOKUP(O1990,'[1]CONFIG.'!$C:$D,2,0)</f>
        <v>#N/A</v>
      </c>
    </row>
    <row r="1991" spans="1:16" x14ac:dyDescent="0.3">
      <c r="A1991" t="s">
        <v>14184</v>
      </c>
      <c r="B1991" t="s">
        <v>14185</v>
      </c>
      <c r="C1991" t="s">
        <v>14186</v>
      </c>
      <c r="D1991" t="s">
        <v>11338</v>
      </c>
      <c r="E1991" t="s">
        <v>14187</v>
      </c>
      <c r="F1991" t="s">
        <v>137</v>
      </c>
      <c r="G1991">
        <v>215</v>
      </c>
      <c r="H1991">
        <v>300</v>
      </c>
      <c r="I1991" s="5" t="s">
        <v>14188</v>
      </c>
      <c r="J1991" s="5" t="s">
        <v>14189</v>
      </c>
      <c r="K1991" s="5" t="str">
        <f t="shared" si="62"/>
        <v>https://www.google.com/maps?q=-10.728917, -41.327682</v>
      </c>
      <c r="L1991" s="5" t="str">
        <f t="shared" si="63"/>
        <v>Abrir no Maps</v>
      </c>
      <c r="M1991" t="s">
        <v>14190</v>
      </c>
      <c r="N1991" s="5"/>
      <c r="O1991" t="s">
        <v>11509</v>
      </c>
      <c r="P1991" t="e">
        <f>VLOOKUP(O1991,'[1]CONFIG.'!$C:$D,2,0)</f>
        <v>#N/A</v>
      </c>
    </row>
    <row r="1992" spans="1:16" x14ac:dyDescent="0.3">
      <c r="A1992" t="s">
        <v>14191</v>
      </c>
      <c r="B1992" t="s">
        <v>14192</v>
      </c>
      <c r="C1992" t="s">
        <v>14193</v>
      </c>
      <c r="D1992" t="s">
        <v>11338</v>
      </c>
      <c r="E1992" t="s">
        <v>14194</v>
      </c>
      <c r="F1992" t="s">
        <v>137</v>
      </c>
      <c r="G1992">
        <v>215</v>
      </c>
      <c r="H1992">
        <v>300</v>
      </c>
      <c r="I1992" s="5" t="s">
        <v>14195</v>
      </c>
      <c r="J1992" s="5" t="s">
        <v>14196</v>
      </c>
      <c r="K1992" s="5" t="str">
        <f t="shared" si="62"/>
        <v>https://www.google.com/maps?q=-10.733055, -41.326946</v>
      </c>
      <c r="L1992" s="5" t="str">
        <f t="shared" si="63"/>
        <v>Abrir no Maps</v>
      </c>
      <c r="M1992" t="s">
        <v>14197</v>
      </c>
      <c r="N1992" s="5"/>
      <c r="O1992" t="s">
        <v>11509</v>
      </c>
      <c r="P1992" t="e">
        <f>VLOOKUP(O1992,'[1]CONFIG.'!$C:$D,2,0)</f>
        <v>#N/A</v>
      </c>
    </row>
    <row r="1993" spans="1:16" x14ac:dyDescent="0.3">
      <c r="A1993" t="s">
        <v>14198</v>
      </c>
      <c r="B1993" t="s">
        <v>14199</v>
      </c>
      <c r="C1993" t="s">
        <v>14200</v>
      </c>
      <c r="D1993" t="s">
        <v>11338</v>
      </c>
      <c r="E1993" t="s">
        <v>14201</v>
      </c>
      <c r="F1993" t="s">
        <v>137</v>
      </c>
      <c r="G1993">
        <v>215</v>
      </c>
      <c r="H1993">
        <v>300</v>
      </c>
      <c r="I1993" s="5" t="s">
        <v>14202</v>
      </c>
      <c r="J1993" s="5" t="s">
        <v>14203</v>
      </c>
      <c r="K1993" s="5" t="str">
        <f t="shared" si="62"/>
        <v>https://www.google.com/maps?q=-10.728611, -41.326390</v>
      </c>
      <c r="L1993" s="5" t="str">
        <f t="shared" si="63"/>
        <v>Abrir no Maps</v>
      </c>
      <c r="M1993" t="s">
        <v>14204</v>
      </c>
      <c r="N1993" s="5"/>
      <c r="O1993" t="s">
        <v>11509</v>
      </c>
      <c r="P1993" t="e">
        <f>VLOOKUP(O1993,'[1]CONFIG.'!$C:$D,2,0)</f>
        <v>#N/A</v>
      </c>
    </row>
    <row r="1994" spans="1:16" x14ac:dyDescent="0.3">
      <c r="A1994" t="s">
        <v>14205</v>
      </c>
      <c r="B1994" t="s">
        <v>14206</v>
      </c>
      <c r="C1994" t="s">
        <v>14207</v>
      </c>
      <c r="D1994" t="s">
        <v>11338</v>
      </c>
      <c r="E1994" t="s">
        <v>14208</v>
      </c>
      <c r="F1994" t="s">
        <v>137</v>
      </c>
      <c r="G1994">
        <v>215</v>
      </c>
      <c r="H1994">
        <v>300</v>
      </c>
      <c r="I1994" s="5" t="s">
        <v>14209</v>
      </c>
      <c r="J1994" s="5" t="s">
        <v>14210</v>
      </c>
      <c r="K1994" s="5" t="str">
        <f t="shared" si="62"/>
        <v>https://www.google.com/maps?q=-10.728888, -41.328056</v>
      </c>
      <c r="L1994" s="5" t="str">
        <f t="shared" si="63"/>
        <v>Abrir no Maps</v>
      </c>
      <c r="M1994" t="s">
        <v>14211</v>
      </c>
      <c r="N1994" s="5"/>
      <c r="O1994" t="s">
        <v>11509</v>
      </c>
      <c r="P1994" t="e">
        <f>VLOOKUP(O1994,'[1]CONFIG.'!$C:$D,2,0)</f>
        <v>#N/A</v>
      </c>
    </row>
    <row r="1995" spans="1:16" x14ac:dyDescent="0.3">
      <c r="A1995" t="s">
        <v>14212</v>
      </c>
      <c r="B1995" t="s">
        <v>14213</v>
      </c>
      <c r="C1995" t="s">
        <v>14214</v>
      </c>
      <c r="D1995" t="s">
        <v>11338</v>
      </c>
      <c r="E1995" t="s">
        <v>14215</v>
      </c>
      <c r="F1995" t="s">
        <v>137</v>
      </c>
      <c r="G1995">
        <v>215</v>
      </c>
      <c r="H1995">
        <v>300</v>
      </c>
      <c r="I1995" s="5" t="s">
        <v>14216</v>
      </c>
      <c r="J1995" s="5" t="s">
        <v>14217</v>
      </c>
      <c r="K1995" s="5" t="str">
        <f t="shared" si="62"/>
        <v>https://www.google.com/maps?q=-10.728056, -41.321945</v>
      </c>
      <c r="L1995" s="5" t="str">
        <f t="shared" si="63"/>
        <v>Abrir no Maps</v>
      </c>
      <c r="M1995" t="s">
        <v>14218</v>
      </c>
      <c r="N1995" s="5"/>
      <c r="O1995" t="s">
        <v>11509</v>
      </c>
      <c r="P1995" t="e">
        <f>VLOOKUP(O1995,'[1]CONFIG.'!$C:$D,2,0)</f>
        <v>#N/A</v>
      </c>
    </row>
    <row r="1996" spans="1:16" x14ac:dyDescent="0.3">
      <c r="A1996" t="s">
        <v>14219</v>
      </c>
      <c r="B1996" t="s">
        <v>14220</v>
      </c>
      <c r="C1996" t="s">
        <v>14221</v>
      </c>
      <c r="D1996" t="s">
        <v>11338</v>
      </c>
      <c r="E1996" t="s">
        <v>14222</v>
      </c>
      <c r="F1996" t="s">
        <v>137</v>
      </c>
      <c r="G1996">
        <v>215</v>
      </c>
      <c r="H1996">
        <v>300</v>
      </c>
      <c r="I1996" s="5" t="s">
        <v>14223</v>
      </c>
      <c r="J1996" s="5" t="s">
        <v>14224</v>
      </c>
      <c r="K1996" s="5" t="str">
        <f t="shared" si="62"/>
        <v>https://www.google.com/maps?q=-10.731235, -41.324460</v>
      </c>
      <c r="L1996" s="5" t="str">
        <f t="shared" si="63"/>
        <v>Abrir no Maps</v>
      </c>
      <c r="M1996" t="s">
        <v>14225</v>
      </c>
      <c r="N1996" s="5"/>
      <c r="O1996" t="s">
        <v>11509</v>
      </c>
      <c r="P1996" t="e">
        <f>VLOOKUP(O1996,'[1]CONFIG.'!$C:$D,2,0)</f>
        <v>#N/A</v>
      </c>
    </row>
    <row r="1997" spans="1:16" x14ac:dyDescent="0.3">
      <c r="A1997" t="s">
        <v>14226</v>
      </c>
      <c r="B1997" t="s">
        <v>14227</v>
      </c>
      <c r="C1997" t="s">
        <v>14228</v>
      </c>
      <c r="D1997" t="s">
        <v>11338</v>
      </c>
      <c r="E1997" t="s">
        <v>14229</v>
      </c>
      <c r="F1997" t="s">
        <v>137</v>
      </c>
      <c r="G1997">
        <v>215</v>
      </c>
      <c r="H1997">
        <v>300</v>
      </c>
      <c r="I1997" s="5" t="s">
        <v>14230</v>
      </c>
      <c r="J1997" s="5" t="s">
        <v>14231</v>
      </c>
      <c r="K1997" s="5" t="str">
        <f t="shared" si="62"/>
        <v>https://www.google.com/maps?q=-10.731692, -41.326065</v>
      </c>
      <c r="L1997" s="5" t="str">
        <f t="shared" si="63"/>
        <v>Abrir no Maps</v>
      </c>
      <c r="M1997" t="s">
        <v>14232</v>
      </c>
      <c r="N1997" s="5"/>
      <c r="O1997" t="s">
        <v>11509</v>
      </c>
      <c r="P1997" t="e">
        <f>VLOOKUP(O1997,'[1]CONFIG.'!$C:$D,2,0)</f>
        <v>#N/A</v>
      </c>
    </row>
    <row r="1998" spans="1:16" x14ac:dyDescent="0.3">
      <c r="A1998" t="s">
        <v>14233</v>
      </c>
      <c r="B1998" t="s">
        <v>14234</v>
      </c>
      <c r="C1998" t="s">
        <v>14235</v>
      </c>
      <c r="D1998" t="s">
        <v>11338</v>
      </c>
      <c r="E1998" t="s">
        <v>14236</v>
      </c>
      <c r="F1998" t="s">
        <v>11503</v>
      </c>
      <c r="G1998">
        <v>215</v>
      </c>
      <c r="H1998">
        <v>300</v>
      </c>
      <c r="I1998" s="5" t="s">
        <v>14237</v>
      </c>
      <c r="J1998" s="5" t="s">
        <v>14238</v>
      </c>
      <c r="K1998" s="5" t="str">
        <f t="shared" si="62"/>
        <v>https://www.google.com/maps?q=-10.833020, -41.312270</v>
      </c>
      <c r="L1998" s="5" t="str">
        <f t="shared" si="63"/>
        <v>Abrir no Maps</v>
      </c>
      <c r="M1998" t="s">
        <v>14239</v>
      </c>
      <c r="N1998" s="5"/>
      <c r="O1998" t="s">
        <v>11509</v>
      </c>
      <c r="P1998" t="e">
        <f>VLOOKUP(O1998,'[1]CONFIG.'!$C:$D,2,0)</f>
        <v>#N/A</v>
      </c>
    </row>
    <row r="1999" spans="1:16" x14ac:dyDescent="0.3">
      <c r="A1999" t="s">
        <v>14240</v>
      </c>
      <c r="B1999" t="s">
        <v>14241</v>
      </c>
      <c r="C1999" t="s">
        <v>14242</v>
      </c>
      <c r="D1999" t="s">
        <v>11338</v>
      </c>
      <c r="E1999" t="s">
        <v>14243</v>
      </c>
      <c r="F1999" t="s">
        <v>137</v>
      </c>
      <c r="G1999">
        <v>215</v>
      </c>
      <c r="H1999">
        <v>300</v>
      </c>
      <c r="I1999" s="5" t="s">
        <v>14244</v>
      </c>
      <c r="J1999" s="5" t="s">
        <v>14245</v>
      </c>
      <c r="K1999" s="5" t="str">
        <f t="shared" si="62"/>
        <v>https://www.google.com/maps?q=-10.730407, -41.323082</v>
      </c>
      <c r="L1999" s="5" t="str">
        <f t="shared" si="63"/>
        <v>Abrir no Maps</v>
      </c>
      <c r="M1999" t="s">
        <v>14246</v>
      </c>
      <c r="N1999" s="5"/>
      <c r="O1999" t="s">
        <v>11509</v>
      </c>
      <c r="P1999" t="e">
        <f>VLOOKUP(O1999,'[1]CONFIG.'!$C:$D,2,0)</f>
        <v>#N/A</v>
      </c>
    </row>
    <row r="2000" spans="1:16" x14ac:dyDescent="0.3">
      <c r="A2000" t="s">
        <v>14247</v>
      </c>
      <c r="B2000" t="s">
        <v>14248</v>
      </c>
      <c r="C2000" t="s">
        <v>14249</v>
      </c>
      <c r="D2000" t="s">
        <v>11338</v>
      </c>
      <c r="E2000" t="s">
        <v>14250</v>
      </c>
      <c r="F2000" t="s">
        <v>137</v>
      </c>
      <c r="G2000">
        <v>215</v>
      </c>
      <c r="H2000">
        <v>300</v>
      </c>
      <c r="I2000" s="5" t="s">
        <v>14251</v>
      </c>
      <c r="J2000" s="5" t="s">
        <v>14252</v>
      </c>
      <c r="K2000" s="5" t="str">
        <f t="shared" si="62"/>
        <v>https://www.google.com/maps?q=-10.727797, -41.324640</v>
      </c>
      <c r="L2000" s="5" t="str">
        <f t="shared" si="63"/>
        <v>Abrir no Maps</v>
      </c>
      <c r="M2000" t="s">
        <v>14253</v>
      </c>
      <c r="N2000" s="5"/>
      <c r="O2000" t="s">
        <v>11509</v>
      </c>
      <c r="P2000" t="e">
        <f>VLOOKUP(O2000,'[1]CONFIG.'!$C:$D,2,0)</f>
        <v>#N/A</v>
      </c>
    </row>
    <row r="2001" spans="1:16" x14ac:dyDescent="0.3">
      <c r="A2001" t="s">
        <v>14254</v>
      </c>
      <c r="B2001" t="s">
        <v>14255</v>
      </c>
      <c r="C2001" t="s">
        <v>14256</v>
      </c>
      <c r="D2001" t="s">
        <v>11338</v>
      </c>
      <c r="E2001" t="s">
        <v>14257</v>
      </c>
      <c r="F2001" t="s">
        <v>1912</v>
      </c>
      <c r="G2001">
        <v>215</v>
      </c>
      <c r="H2001">
        <v>300</v>
      </c>
      <c r="I2001" s="5" t="s">
        <v>14258</v>
      </c>
      <c r="J2001" s="5" t="s">
        <v>14259</v>
      </c>
      <c r="K2001" s="5" t="str">
        <f t="shared" si="62"/>
        <v>https://www.google.com/maps?q=-10.927188, -41.118590</v>
      </c>
      <c r="L2001" s="5" t="str">
        <f t="shared" si="63"/>
        <v>Abrir no Maps</v>
      </c>
      <c r="M2001" t="s">
        <v>14260</v>
      </c>
      <c r="N2001" s="5"/>
      <c r="O2001" t="s">
        <v>11509</v>
      </c>
      <c r="P2001" t="e">
        <f>VLOOKUP(O2001,'[1]CONFIG.'!$C:$D,2,0)</f>
        <v>#N/A</v>
      </c>
    </row>
    <row r="2002" spans="1:16" x14ac:dyDescent="0.3">
      <c r="A2002" t="s">
        <v>14261</v>
      </c>
      <c r="B2002" t="s">
        <v>14262</v>
      </c>
      <c r="C2002" t="s">
        <v>14263</v>
      </c>
      <c r="D2002" t="s">
        <v>11338</v>
      </c>
      <c r="E2002" t="s">
        <v>14264</v>
      </c>
      <c r="F2002" t="s">
        <v>137</v>
      </c>
      <c r="G2002">
        <v>215</v>
      </c>
      <c r="H2002">
        <v>300</v>
      </c>
      <c r="I2002" s="5" t="s">
        <v>14265</v>
      </c>
      <c r="J2002" s="5" t="s">
        <v>14266</v>
      </c>
      <c r="K2002" s="5" t="str">
        <f t="shared" si="62"/>
        <v>https://www.google.com/maps?q=-10.732124, -41.325555</v>
      </c>
      <c r="L2002" s="5" t="str">
        <f t="shared" si="63"/>
        <v>Abrir no Maps</v>
      </c>
      <c r="M2002" t="s">
        <v>14267</v>
      </c>
      <c r="N2002" s="5"/>
      <c r="O2002" t="s">
        <v>11509</v>
      </c>
      <c r="P2002" t="e">
        <f>VLOOKUP(O2002,'[1]CONFIG.'!$C:$D,2,0)</f>
        <v>#N/A</v>
      </c>
    </row>
    <row r="2003" spans="1:16" x14ac:dyDescent="0.3">
      <c r="A2003" t="s">
        <v>14268</v>
      </c>
      <c r="B2003" t="s">
        <v>14269</v>
      </c>
      <c r="C2003" t="s">
        <v>14270</v>
      </c>
      <c r="D2003" t="s">
        <v>11338</v>
      </c>
      <c r="E2003" t="s">
        <v>14271</v>
      </c>
      <c r="F2003" t="s">
        <v>137</v>
      </c>
      <c r="G2003">
        <v>215</v>
      </c>
      <c r="H2003">
        <v>300</v>
      </c>
      <c r="I2003" s="5" t="s">
        <v>14272</v>
      </c>
      <c r="J2003" s="5" t="s">
        <v>14273</v>
      </c>
      <c r="K2003" s="5" t="str">
        <f t="shared" si="62"/>
        <v>https://www.google.com/maps?q=-10.729861, -41.322849</v>
      </c>
      <c r="L2003" s="5" t="str">
        <f t="shared" si="63"/>
        <v>Abrir no Maps</v>
      </c>
      <c r="M2003" t="s">
        <v>14274</v>
      </c>
      <c r="N2003" s="5"/>
      <c r="O2003" t="s">
        <v>11509</v>
      </c>
      <c r="P2003" t="e">
        <f>VLOOKUP(O2003,'[1]CONFIG.'!$C:$D,2,0)</f>
        <v>#N/A</v>
      </c>
    </row>
    <row r="2004" spans="1:16" x14ac:dyDescent="0.3">
      <c r="A2004" t="s">
        <v>14275</v>
      </c>
      <c r="B2004" t="s">
        <v>14276</v>
      </c>
      <c r="C2004" t="s">
        <v>14277</v>
      </c>
      <c r="D2004" t="s">
        <v>11338</v>
      </c>
      <c r="E2004" t="s">
        <v>14278</v>
      </c>
      <c r="F2004" t="s">
        <v>137</v>
      </c>
      <c r="G2004">
        <v>215</v>
      </c>
      <c r="H2004">
        <v>300</v>
      </c>
      <c r="I2004" s="5" t="s">
        <v>14279</v>
      </c>
      <c r="J2004" s="5" t="s">
        <v>14280</v>
      </c>
      <c r="K2004" s="5" t="str">
        <f t="shared" si="62"/>
        <v>https://www.google.com/maps?q=-10.728570, -41.325013</v>
      </c>
      <c r="L2004" s="5" t="str">
        <f t="shared" si="63"/>
        <v>Abrir no Maps</v>
      </c>
      <c r="M2004" t="s">
        <v>14281</v>
      </c>
      <c r="N2004" s="5"/>
      <c r="O2004" t="s">
        <v>11509</v>
      </c>
      <c r="P2004" t="e">
        <f>VLOOKUP(O2004,'[1]CONFIG.'!$C:$D,2,0)</f>
        <v>#N/A</v>
      </c>
    </row>
    <row r="2005" spans="1:16" x14ac:dyDescent="0.3">
      <c r="A2005" t="s">
        <v>14282</v>
      </c>
      <c r="B2005" t="s">
        <v>14283</v>
      </c>
      <c r="C2005" t="s">
        <v>14284</v>
      </c>
      <c r="D2005" t="s">
        <v>11338</v>
      </c>
      <c r="E2005" t="s">
        <v>14285</v>
      </c>
      <c r="F2005" t="s">
        <v>137</v>
      </c>
      <c r="G2005">
        <v>215</v>
      </c>
      <c r="H2005">
        <v>300</v>
      </c>
      <c r="I2005" s="5" t="s">
        <v>14286</v>
      </c>
      <c r="J2005" s="5" t="s">
        <v>14287</v>
      </c>
      <c r="K2005" s="5" t="str">
        <f t="shared" si="62"/>
        <v>https://www.google.com/maps?q=-10.732548, -41.326588</v>
      </c>
      <c r="L2005" s="5" t="str">
        <f t="shared" si="63"/>
        <v>Abrir no Maps</v>
      </c>
      <c r="M2005" t="s">
        <v>14288</v>
      </c>
      <c r="N2005" s="5"/>
      <c r="O2005" t="s">
        <v>11509</v>
      </c>
      <c r="P2005" t="e">
        <f>VLOOKUP(O2005,'[1]CONFIG.'!$C:$D,2,0)</f>
        <v>#N/A</v>
      </c>
    </row>
    <row r="2006" spans="1:16" x14ac:dyDescent="0.3">
      <c r="A2006" t="s">
        <v>14289</v>
      </c>
      <c r="B2006" t="s">
        <v>14290</v>
      </c>
      <c r="C2006" t="s">
        <v>14291</v>
      </c>
      <c r="D2006" t="s">
        <v>11338</v>
      </c>
      <c r="E2006" t="s">
        <v>14292</v>
      </c>
      <c r="F2006" t="s">
        <v>137</v>
      </c>
      <c r="G2006">
        <v>215</v>
      </c>
      <c r="H2006">
        <v>300</v>
      </c>
      <c r="I2006" s="5" t="s">
        <v>14293</v>
      </c>
      <c r="J2006" s="5" t="s">
        <v>14294</v>
      </c>
      <c r="K2006" s="5" t="str">
        <f t="shared" si="62"/>
        <v>https://www.google.com/maps?q=-10.730078, -41.325307</v>
      </c>
      <c r="L2006" s="5" t="str">
        <f t="shared" si="63"/>
        <v>Abrir no Maps</v>
      </c>
      <c r="M2006" t="s">
        <v>14295</v>
      </c>
      <c r="N2006" s="5"/>
      <c r="O2006" t="s">
        <v>11509</v>
      </c>
      <c r="P2006" t="e">
        <f>VLOOKUP(O2006,'[1]CONFIG.'!$C:$D,2,0)</f>
        <v>#N/A</v>
      </c>
    </row>
    <row r="2007" spans="1:16" x14ac:dyDescent="0.3">
      <c r="A2007" t="s">
        <v>14296</v>
      </c>
      <c r="B2007" t="s">
        <v>14297</v>
      </c>
      <c r="C2007" t="s">
        <v>14298</v>
      </c>
      <c r="D2007" t="s">
        <v>11338</v>
      </c>
      <c r="E2007" t="s">
        <v>14299</v>
      </c>
      <c r="F2007" t="s">
        <v>137</v>
      </c>
      <c r="G2007">
        <v>215</v>
      </c>
      <c r="H2007">
        <v>300</v>
      </c>
      <c r="I2007" s="5" t="s">
        <v>14300</v>
      </c>
      <c r="J2007" s="5" t="s">
        <v>14301</v>
      </c>
      <c r="K2007" s="5" t="str">
        <f t="shared" si="62"/>
        <v>https://www.google.com/maps?q=-10.727822, -41.320985</v>
      </c>
      <c r="L2007" s="5" t="str">
        <f t="shared" si="63"/>
        <v>Abrir no Maps</v>
      </c>
      <c r="M2007" t="s">
        <v>14302</v>
      </c>
      <c r="N2007" s="5"/>
      <c r="O2007" t="s">
        <v>11509</v>
      </c>
      <c r="P2007" t="e">
        <f>VLOOKUP(O2007,'[1]CONFIG.'!$C:$D,2,0)</f>
        <v>#N/A</v>
      </c>
    </row>
    <row r="2008" spans="1:16" x14ac:dyDescent="0.3">
      <c r="A2008" t="s">
        <v>14303</v>
      </c>
      <c r="B2008" t="s">
        <v>14304</v>
      </c>
      <c r="C2008" t="s">
        <v>14305</v>
      </c>
      <c r="D2008" t="s">
        <v>11338</v>
      </c>
      <c r="E2008" t="s">
        <v>14306</v>
      </c>
      <c r="F2008" t="s">
        <v>14307</v>
      </c>
      <c r="G2008">
        <v>215</v>
      </c>
      <c r="H2008">
        <v>300</v>
      </c>
      <c r="I2008" s="5" t="s">
        <v>14308</v>
      </c>
      <c r="J2008" s="5" t="s">
        <v>14309</v>
      </c>
      <c r="K2008" s="5" t="str">
        <f t="shared" si="62"/>
        <v>https://www.google.com/maps?q=-10.731765, -41.321746</v>
      </c>
      <c r="L2008" s="5" t="str">
        <f t="shared" si="63"/>
        <v>Abrir no Maps</v>
      </c>
      <c r="M2008" t="s">
        <v>14310</v>
      </c>
      <c r="N2008" s="5"/>
      <c r="O2008" t="s">
        <v>11509</v>
      </c>
      <c r="P2008" t="e">
        <f>VLOOKUP(O2008,'[1]CONFIG.'!$C:$D,2,0)</f>
        <v>#N/A</v>
      </c>
    </row>
    <row r="2009" spans="1:16" x14ac:dyDescent="0.3">
      <c r="A2009" t="s">
        <v>14311</v>
      </c>
      <c r="B2009" t="s">
        <v>14312</v>
      </c>
      <c r="C2009" t="s">
        <v>14313</v>
      </c>
      <c r="D2009" t="s">
        <v>11338</v>
      </c>
      <c r="E2009" t="s">
        <v>14314</v>
      </c>
      <c r="F2009" t="s">
        <v>137</v>
      </c>
      <c r="G2009">
        <v>215</v>
      </c>
      <c r="H2009">
        <v>300</v>
      </c>
      <c r="I2009" s="5" t="s">
        <v>14315</v>
      </c>
      <c r="J2009" s="5" t="s">
        <v>14316</v>
      </c>
      <c r="K2009" s="5" t="str">
        <f t="shared" si="62"/>
        <v>https://www.google.com/maps?q=-10.728104, -41.319869</v>
      </c>
      <c r="L2009" s="5" t="str">
        <f t="shared" si="63"/>
        <v>Abrir no Maps</v>
      </c>
      <c r="M2009" t="s">
        <v>14317</v>
      </c>
      <c r="N2009" s="5"/>
      <c r="O2009" t="s">
        <v>11509</v>
      </c>
      <c r="P2009" t="e">
        <f>VLOOKUP(O2009,'[1]CONFIG.'!$C:$D,2,0)</f>
        <v>#N/A</v>
      </c>
    </row>
    <row r="2010" spans="1:16" x14ac:dyDescent="0.3">
      <c r="A2010" t="s">
        <v>14318</v>
      </c>
      <c r="B2010" t="s">
        <v>14319</v>
      </c>
      <c r="C2010" t="s">
        <v>14320</v>
      </c>
      <c r="D2010" t="s">
        <v>3225</v>
      </c>
      <c r="E2010" t="s">
        <v>14321</v>
      </c>
      <c r="F2010" t="s">
        <v>137</v>
      </c>
      <c r="G2010">
        <v>213</v>
      </c>
      <c r="H2010">
        <v>300</v>
      </c>
      <c r="I2010" s="5" t="s">
        <v>14322</v>
      </c>
      <c r="J2010" s="5" t="s">
        <v>14323</v>
      </c>
      <c r="K2010" s="5" t="str">
        <f t="shared" si="62"/>
        <v>https://www.google.com/maps?q=-12.088056, -41.103890</v>
      </c>
      <c r="L2010" s="5" t="str">
        <f t="shared" si="63"/>
        <v>Abrir no Maps</v>
      </c>
      <c r="M2010" t="s">
        <v>14324</v>
      </c>
      <c r="N2010" s="5"/>
      <c r="O2010" t="str">
        <f>VLOOKUP(G2010,'[1]CONFIG.'!$B:$C,2,0)</f>
        <v>DANIEL</v>
      </c>
      <c r="P2010" t="str">
        <f>VLOOKUP(O2010,'[1]CONFIG.'!$C:$D,2,0)</f>
        <v>74 99461824</v>
      </c>
    </row>
    <row r="2011" spans="1:16" x14ac:dyDescent="0.3">
      <c r="A2011" t="s">
        <v>14325</v>
      </c>
      <c r="B2011" t="s">
        <v>14326</v>
      </c>
      <c r="C2011" t="s">
        <v>14327</v>
      </c>
      <c r="D2011" t="s">
        <v>3225</v>
      </c>
      <c r="E2011" t="s">
        <v>14328</v>
      </c>
      <c r="F2011" t="s">
        <v>137</v>
      </c>
      <c r="G2011">
        <v>213</v>
      </c>
      <c r="H2011">
        <v>300</v>
      </c>
      <c r="I2011" s="5" t="s">
        <v>14329</v>
      </c>
      <c r="J2011" s="5" t="s">
        <v>14330</v>
      </c>
      <c r="K2011" s="5" t="str">
        <f t="shared" si="62"/>
        <v>https://www.google.com/maps?q=-12.082844, -41.096020</v>
      </c>
      <c r="L2011" s="5" t="str">
        <f t="shared" si="63"/>
        <v>Abrir no Maps</v>
      </c>
      <c r="M2011" t="s">
        <v>14331</v>
      </c>
      <c r="N2011" s="5"/>
      <c r="O2011" t="str">
        <f>VLOOKUP(G2011,'[1]CONFIG.'!$B:$C,2,0)</f>
        <v>DANIEL</v>
      </c>
      <c r="P2011" t="str">
        <f>VLOOKUP(O2011,'[1]CONFIG.'!$C:$D,2,0)</f>
        <v>74 99461824</v>
      </c>
    </row>
    <row r="2012" spans="1:16" x14ac:dyDescent="0.3">
      <c r="A2012" t="s">
        <v>14332</v>
      </c>
      <c r="B2012" t="s">
        <v>14333</v>
      </c>
      <c r="C2012" t="s">
        <v>14334</v>
      </c>
      <c r="D2012" t="s">
        <v>3225</v>
      </c>
      <c r="E2012" t="s">
        <v>14335</v>
      </c>
      <c r="F2012" t="s">
        <v>137</v>
      </c>
      <c r="G2012">
        <v>213</v>
      </c>
      <c r="H2012">
        <v>300</v>
      </c>
      <c r="I2012" s="5" t="s">
        <v>14336</v>
      </c>
      <c r="J2012" s="5" t="s">
        <v>14337</v>
      </c>
      <c r="K2012" s="5" t="str">
        <f t="shared" si="62"/>
        <v>https://www.google.com/maps?q=-12.079160, -41.094300</v>
      </c>
      <c r="L2012" s="5" t="str">
        <f t="shared" si="63"/>
        <v>Abrir no Maps</v>
      </c>
      <c r="M2012" t="s">
        <v>14338</v>
      </c>
      <c r="N2012" s="5"/>
      <c r="O2012" t="str">
        <f>VLOOKUP(G2012,'[1]CONFIG.'!$B:$C,2,0)</f>
        <v>DANIEL</v>
      </c>
      <c r="P2012" t="str">
        <f>VLOOKUP(O2012,'[1]CONFIG.'!$C:$D,2,0)</f>
        <v>74 99461824</v>
      </c>
    </row>
    <row r="2013" spans="1:16" x14ac:dyDescent="0.3">
      <c r="A2013" t="s">
        <v>14339</v>
      </c>
      <c r="B2013" t="s">
        <v>14340</v>
      </c>
      <c r="C2013" t="s">
        <v>14341</v>
      </c>
      <c r="D2013" t="s">
        <v>3225</v>
      </c>
      <c r="E2013" t="s">
        <v>14342</v>
      </c>
      <c r="F2013" t="s">
        <v>108</v>
      </c>
      <c r="G2013">
        <v>213</v>
      </c>
      <c r="H2013">
        <v>300</v>
      </c>
      <c r="I2013" s="5" t="s">
        <v>14343</v>
      </c>
      <c r="J2013" s="5" t="s">
        <v>14344</v>
      </c>
      <c r="K2013" s="5" t="str">
        <f t="shared" si="62"/>
        <v>https://www.google.com/maps?q=-12.082820, -41.094560</v>
      </c>
      <c r="L2013" s="5" t="str">
        <f t="shared" si="63"/>
        <v>Abrir no Maps</v>
      </c>
      <c r="M2013" t="s">
        <v>14345</v>
      </c>
      <c r="N2013" s="5"/>
      <c r="O2013" t="str">
        <f>VLOOKUP(G2013,'[1]CONFIG.'!$B:$C,2,0)</f>
        <v>DANIEL</v>
      </c>
      <c r="P2013" t="str">
        <f>VLOOKUP(O2013,'[1]CONFIG.'!$C:$D,2,0)</f>
        <v>74 99461824</v>
      </c>
    </row>
    <row r="2014" spans="1:16" x14ac:dyDescent="0.3">
      <c r="A2014" t="s">
        <v>14346</v>
      </c>
      <c r="B2014" t="s">
        <v>14347</v>
      </c>
      <c r="C2014" t="s">
        <v>14348</v>
      </c>
      <c r="D2014" t="s">
        <v>3225</v>
      </c>
      <c r="E2014" t="s">
        <v>14349</v>
      </c>
      <c r="F2014" t="s">
        <v>137</v>
      </c>
      <c r="G2014">
        <v>213</v>
      </c>
      <c r="H2014">
        <v>300</v>
      </c>
      <c r="I2014" s="5" t="s">
        <v>14350</v>
      </c>
      <c r="J2014" s="5" t="s">
        <v>14351</v>
      </c>
      <c r="K2014" s="5" t="str">
        <f t="shared" si="62"/>
        <v>https://www.google.com/maps?q=-12.084646, -41.099297</v>
      </c>
      <c r="L2014" s="5" t="str">
        <f t="shared" si="63"/>
        <v>Abrir no Maps</v>
      </c>
      <c r="M2014" t="s">
        <v>14352</v>
      </c>
      <c r="N2014" s="5"/>
      <c r="O2014" t="str">
        <f>VLOOKUP(G2014,'[1]CONFIG.'!$B:$C,2,0)</f>
        <v>DANIEL</v>
      </c>
      <c r="P2014" t="str">
        <f>VLOOKUP(O2014,'[1]CONFIG.'!$C:$D,2,0)</f>
        <v>74 99461824</v>
      </c>
    </row>
    <row r="2015" spans="1:16" x14ac:dyDescent="0.3">
      <c r="A2015" t="s">
        <v>14353</v>
      </c>
      <c r="B2015" t="s">
        <v>14354</v>
      </c>
      <c r="C2015" t="s">
        <v>14355</v>
      </c>
      <c r="D2015" t="s">
        <v>3225</v>
      </c>
      <c r="E2015" t="s">
        <v>14356</v>
      </c>
      <c r="F2015" t="s">
        <v>14357</v>
      </c>
      <c r="G2015">
        <v>213</v>
      </c>
      <c r="H2015">
        <v>300</v>
      </c>
      <c r="I2015" s="5" t="s">
        <v>14358</v>
      </c>
      <c r="J2015" s="5" t="s">
        <v>14359</v>
      </c>
      <c r="K2015" s="5" t="str">
        <f t="shared" si="62"/>
        <v>https://www.google.com/maps?q=-12.074658, -41.092735</v>
      </c>
      <c r="L2015" s="5" t="str">
        <f t="shared" si="63"/>
        <v>Abrir no Maps</v>
      </c>
      <c r="M2015" t="s">
        <v>14360</v>
      </c>
      <c r="N2015" s="5"/>
      <c r="O2015" t="str">
        <f>VLOOKUP(G2015,'[1]CONFIG.'!$B:$C,2,0)</f>
        <v>DANIEL</v>
      </c>
      <c r="P2015" t="str">
        <f>VLOOKUP(O2015,'[1]CONFIG.'!$C:$D,2,0)</f>
        <v>74 99461824</v>
      </c>
    </row>
    <row r="2016" spans="1:16" x14ac:dyDescent="0.3">
      <c r="A2016" t="s">
        <v>14361</v>
      </c>
      <c r="B2016" t="s">
        <v>14362</v>
      </c>
      <c r="C2016" t="s">
        <v>14363</v>
      </c>
      <c r="D2016" t="s">
        <v>3225</v>
      </c>
      <c r="E2016" t="s">
        <v>14364</v>
      </c>
      <c r="F2016" t="s">
        <v>14357</v>
      </c>
      <c r="G2016">
        <v>213</v>
      </c>
      <c r="H2016">
        <v>300</v>
      </c>
      <c r="I2016" s="5" t="s">
        <v>14365</v>
      </c>
      <c r="J2016" s="5" t="s">
        <v>14366</v>
      </c>
      <c r="K2016" s="5" t="str">
        <f t="shared" si="62"/>
        <v>https://www.google.com/maps?q=-12.075300, -41.091457</v>
      </c>
      <c r="L2016" s="5" t="str">
        <f t="shared" si="63"/>
        <v>Abrir no Maps</v>
      </c>
      <c r="M2016" t="s">
        <v>14367</v>
      </c>
      <c r="N2016" s="5"/>
      <c r="O2016" t="str">
        <f>VLOOKUP(G2016,'[1]CONFIG.'!$B:$C,2,0)</f>
        <v>DANIEL</v>
      </c>
      <c r="P2016" t="str">
        <f>VLOOKUP(O2016,'[1]CONFIG.'!$C:$D,2,0)</f>
        <v>74 99461824</v>
      </c>
    </row>
    <row r="2017" spans="1:16" x14ac:dyDescent="0.3">
      <c r="A2017" t="s">
        <v>14368</v>
      </c>
      <c r="B2017" t="s">
        <v>14369</v>
      </c>
      <c r="C2017" t="s">
        <v>14370</v>
      </c>
      <c r="D2017" t="s">
        <v>3225</v>
      </c>
      <c r="E2017" t="s">
        <v>14371</v>
      </c>
      <c r="F2017" t="s">
        <v>137</v>
      </c>
      <c r="G2017">
        <v>213</v>
      </c>
      <c r="H2017">
        <v>300</v>
      </c>
      <c r="I2017" s="5" t="s">
        <v>14372</v>
      </c>
      <c r="J2017" s="5" t="s">
        <v>14373</v>
      </c>
      <c r="K2017" s="5" t="str">
        <f t="shared" si="62"/>
        <v>https://www.google.com/maps?q=-12.083382, -41.097454</v>
      </c>
      <c r="L2017" s="5" t="str">
        <f t="shared" si="63"/>
        <v>Abrir no Maps</v>
      </c>
      <c r="M2017" t="s">
        <v>14374</v>
      </c>
      <c r="N2017" s="5"/>
      <c r="O2017" t="str">
        <f>VLOOKUP(G2017,'[1]CONFIG.'!$B:$C,2,0)</f>
        <v>DANIEL</v>
      </c>
      <c r="P2017" t="str">
        <f>VLOOKUP(O2017,'[1]CONFIG.'!$C:$D,2,0)</f>
        <v>74 99461824</v>
      </c>
    </row>
    <row r="2018" spans="1:16" x14ac:dyDescent="0.3">
      <c r="A2018" t="s">
        <v>14375</v>
      </c>
      <c r="B2018" t="s">
        <v>14376</v>
      </c>
      <c r="C2018" t="s">
        <v>14377</v>
      </c>
      <c r="D2018" t="s">
        <v>3225</v>
      </c>
      <c r="E2018" t="s">
        <v>14378</v>
      </c>
      <c r="F2018" t="s">
        <v>137</v>
      </c>
      <c r="G2018">
        <v>213</v>
      </c>
      <c r="H2018">
        <v>300</v>
      </c>
      <c r="I2018" s="5" t="s">
        <v>14379</v>
      </c>
      <c r="J2018" s="5" t="s">
        <v>14380</v>
      </c>
      <c r="K2018" s="5" t="str">
        <f t="shared" si="62"/>
        <v>https://www.google.com/maps?q=-12.080987, -41.098360</v>
      </c>
      <c r="L2018" s="5" t="str">
        <f t="shared" si="63"/>
        <v>Abrir no Maps</v>
      </c>
      <c r="M2018" t="s">
        <v>14381</v>
      </c>
      <c r="N2018" s="5"/>
      <c r="O2018" t="str">
        <f>VLOOKUP(G2018,'[1]CONFIG.'!$B:$C,2,0)</f>
        <v>DANIEL</v>
      </c>
      <c r="P2018" t="str">
        <f>VLOOKUP(O2018,'[1]CONFIG.'!$C:$D,2,0)</f>
        <v>74 99461824</v>
      </c>
    </row>
    <row r="2019" spans="1:16" x14ac:dyDescent="0.3">
      <c r="A2019" t="s">
        <v>14382</v>
      </c>
      <c r="B2019" t="s">
        <v>14383</v>
      </c>
      <c r="C2019" t="s">
        <v>14384</v>
      </c>
      <c r="D2019" t="s">
        <v>3225</v>
      </c>
      <c r="E2019" t="s">
        <v>14385</v>
      </c>
      <c r="F2019" t="s">
        <v>14386</v>
      </c>
      <c r="G2019">
        <v>213</v>
      </c>
      <c r="H2019">
        <v>300</v>
      </c>
      <c r="I2019" s="5" t="s">
        <v>14387</v>
      </c>
      <c r="J2019" s="5" t="s">
        <v>14388</v>
      </c>
      <c r="K2019" s="5" t="str">
        <f t="shared" si="62"/>
        <v>https://www.google.com/maps?q=-12.094405, -41.107703</v>
      </c>
      <c r="L2019" s="5" t="str">
        <f t="shared" si="63"/>
        <v>Abrir no Maps</v>
      </c>
      <c r="M2019" t="s">
        <v>14389</v>
      </c>
      <c r="N2019" s="5"/>
      <c r="O2019" t="str">
        <f>VLOOKUP(G2019,'[1]CONFIG.'!$B:$C,2,0)</f>
        <v>DANIEL</v>
      </c>
      <c r="P2019" t="str">
        <f>VLOOKUP(O2019,'[1]CONFIG.'!$C:$D,2,0)</f>
        <v>74 99461824</v>
      </c>
    </row>
    <row r="2020" spans="1:16" x14ac:dyDescent="0.3">
      <c r="A2020" t="s">
        <v>14390</v>
      </c>
      <c r="B2020" t="s">
        <v>14391</v>
      </c>
      <c r="C2020" t="s">
        <v>14392</v>
      </c>
      <c r="D2020" t="s">
        <v>3225</v>
      </c>
      <c r="E2020" t="s">
        <v>14393</v>
      </c>
      <c r="F2020" t="s">
        <v>431</v>
      </c>
      <c r="G2020">
        <v>213</v>
      </c>
      <c r="H2020">
        <v>300</v>
      </c>
      <c r="I2020" s="5" t="s">
        <v>14394</v>
      </c>
      <c r="J2020" s="5" t="s">
        <v>14395</v>
      </c>
      <c r="K2020" s="5" t="str">
        <f t="shared" si="62"/>
        <v>https://www.google.com/maps?q=-12.077530, -41.092650</v>
      </c>
      <c r="L2020" s="5" t="str">
        <f t="shared" si="63"/>
        <v>Abrir no Maps</v>
      </c>
      <c r="M2020" t="s">
        <v>14396</v>
      </c>
      <c r="N2020" s="5"/>
      <c r="O2020" t="str">
        <f>VLOOKUP(G2020,'[1]CONFIG.'!$B:$C,2,0)</f>
        <v>DANIEL</v>
      </c>
      <c r="P2020" t="str">
        <f>VLOOKUP(O2020,'[1]CONFIG.'!$C:$D,2,0)</f>
        <v>74 99461824</v>
      </c>
    </row>
    <row r="2021" spans="1:16" x14ac:dyDescent="0.3">
      <c r="A2021" t="s">
        <v>14397</v>
      </c>
      <c r="B2021" t="s">
        <v>14398</v>
      </c>
      <c r="C2021" t="s">
        <v>14399</v>
      </c>
      <c r="D2021" t="s">
        <v>3225</v>
      </c>
      <c r="E2021" t="s">
        <v>14400</v>
      </c>
      <c r="F2021" t="s">
        <v>14401</v>
      </c>
      <c r="G2021">
        <v>213</v>
      </c>
      <c r="H2021">
        <v>300</v>
      </c>
      <c r="I2021" s="5" t="s">
        <v>14402</v>
      </c>
      <c r="J2021" s="5" t="s">
        <v>14403</v>
      </c>
      <c r="K2021" s="5" t="str">
        <f t="shared" si="62"/>
        <v>https://www.google.com/maps?q=-12.074455, -41.089573</v>
      </c>
      <c r="L2021" s="5" t="str">
        <f t="shared" si="63"/>
        <v>Abrir no Maps</v>
      </c>
      <c r="M2021" t="s">
        <v>14404</v>
      </c>
      <c r="N2021" s="5"/>
      <c r="O2021" t="str">
        <f>VLOOKUP(G2021,'[1]CONFIG.'!$B:$C,2,0)</f>
        <v>DANIEL</v>
      </c>
      <c r="P2021" t="str">
        <f>VLOOKUP(O2021,'[1]CONFIG.'!$C:$D,2,0)</f>
        <v>74 99461824</v>
      </c>
    </row>
    <row r="2022" spans="1:16" x14ac:dyDescent="0.3">
      <c r="A2022" t="s">
        <v>14405</v>
      </c>
      <c r="B2022" t="s">
        <v>14406</v>
      </c>
      <c r="C2022" t="s">
        <v>14407</v>
      </c>
      <c r="D2022" t="s">
        <v>3225</v>
      </c>
      <c r="E2022" t="s">
        <v>14408</v>
      </c>
      <c r="F2022" t="s">
        <v>137</v>
      </c>
      <c r="G2022">
        <v>213</v>
      </c>
      <c r="H2022">
        <v>300</v>
      </c>
      <c r="I2022" s="5" t="s">
        <v>14409</v>
      </c>
      <c r="J2022" s="5" t="s">
        <v>14410</v>
      </c>
      <c r="K2022" s="5" t="str">
        <f t="shared" si="62"/>
        <v>https://www.google.com/maps?q=-12.083265, -41.097054</v>
      </c>
      <c r="L2022" s="5" t="str">
        <f t="shared" si="63"/>
        <v>Abrir no Maps</v>
      </c>
      <c r="M2022" t="s">
        <v>14411</v>
      </c>
      <c r="N2022" s="5"/>
      <c r="O2022" t="str">
        <f>VLOOKUP(G2022,'[1]CONFIG.'!$B:$C,2,0)</f>
        <v>DANIEL</v>
      </c>
      <c r="P2022" t="str">
        <f>VLOOKUP(O2022,'[1]CONFIG.'!$C:$D,2,0)</f>
        <v>74 99461824</v>
      </c>
    </row>
    <row r="2023" spans="1:16" x14ac:dyDescent="0.3">
      <c r="A2023" t="s">
        <v>14412</v>
      </c>
      <c r="B2023" t="s">
        <v>14413</v>
      </c>
      <c r="C2023" t="s">
        <v>14414</v>
      </c>
      <c r="D2023" t="s">
        <v>3225</v>
      </c>
      <c r="E2023" t="s">
        <v>14415</v>
      </c>
      <c r="F2023" t="s">
        <v>137</v>
      </c>
      <c r="G2023">
        <v>213</v>
      </c>
      <c r="H2023">
        <v>300</v>
      </c>
      <c r="I2023" s="5" t="s">
        <v>14416</v>
      </c>
      <c r="J2023" s="5" t="s">
        <v>14417</v>
      </c>
      <c r="K2023" s="5" t="str">
        <f t="shared" si="62"/>
        <v>https://www.google.com/maps?q=-12.087602, -41.104670</v>
      </c>
      <c r="L2023" s="5" t="str">
        <f t="shared" si="63"/>
        <v>Abrir no Maps</v>
      </c>
      <c r="M2023" t="s">
        <v>14418</v>
      </c>
      <c r="N2023" s="5"/>
      <c r="O2023" t="str">
        <f>VLOOKUP(G2023,'[1]CONFIG.'!$B:$C,2,0)</f>
        <v>DANIEL</v>
      </c>
      <c r="P2023" t="str">
        <f>VLOOKUP(O2023,'[1]CONFIG.'!$C:$D,2,0)</f>
        <v>74 99461824</v>
      </c>
    </row>
    <row r="2024" spans="1:16" x14ac:dyDescent="0.3">
      <c r="A2024" t="s">
        <v>14419</v>
      </c>
      <c r="B2024" t="s">
        <v>14420</v>
      </c>
      <c r="C2024" t="s">
        <v>14421</v>
      </c>
      <c r="D2024" t="s">
        <v>3225</v>
      </c>
      <c r="E2024" t="s">
        <v>14422</v>
      </c>
      <c r="F2024" t="s">
        <v>137</v>
      </c>
      <c r="G2024">
        <v>213</v>
      </c>
      <c r="H2024">
        <v>300</v>
      </c>
      <c r="I2024" s="5" t="s">
        <v>14423</v>
      </c>
      <c r="J2024" s="5" t="s">
        <v>14424</v>
      </c>
      <c r="K2024" s="5" t="str">
        <f t="shared" si="62"/>
        <v>https://www.google.com/maps?q=-12.082652, -41.097260</v>
      </c>
      <c r="L2024" s="5" t="str">
        <f t="shared" si="63"/>
        <v>Abrir no Maps</v>
      </c>
      <c r="M2024" t="s">
        <v>14425</v>
      </c>
      <c r="N2024" s="5"/>
      <c r="O2024" t="str">
        <f>VLOOKUP(G2024,'[1]CONFIG.'!$B:$C,2,0)</f>
        <v>DANIEL</v>
      </c>
      <c r="P2024" t="str">
        <f>VLOOKUP(O2024,'[1]CONFIG.'!$C:$D,2,0)</f>
        <v>74 99461824</v>
      </c>
    </row>
    <row r="2025" spans="1:16" x14ac:dyDescent="0.3">
      <c r="A2025" t="s">
        <v>14426</v>
      </c>
      <c r="B2025" t="s">
        <v>14427</v>
      </c>
      <c r="C2025" t="s">
        <v>14428</v>
      </c>
      <c r="D2025" t="s">
        <v>3225</v>
      </c>
      <c r="E2025" t="s">
        <v>14429</v>
      </c>
      <c r="F2025" t="s">
        <v>137</v>
      </c>
      <c r="G2025">
        <v>213</v>
      </c>
      <c r="H2025">
        <v>300</v>
      </c>
      <c r="I2025" s="5" t="s">
        <v>14430</v>
      </c>
      <c r="J2025" s="5" t="s">
        <v>14431</v>
      </c>
      <c r="K2025" s="5" t="str">
        <f t="shared" si="62"/>
        <v>https://www.google.com/maps?q=-12.081678, -41.096565</v>
      </c>
      <c r="L2025" s="5" t="str">
        <f t="shared" si="63"/>
        <v>Abrir no Maps</v>
      </c>
      <c r="M2025" t="s">
        <v>14432</v>
      </c>
      <c r="N2025" s="5"/>
      <c r="O2025" t="str">
        <f>VLOOKUP(G2025,'[1]CONFIG.'!$B:$C,2,0)</f>
        <v>DANIEL</v>
      </c>
      <c r="P2025" t="str">
        <f>VLOOKUP(O2025,'[1]CONFIG.'!$C:$D,2,0)</f>
        <v>74 99461824</v>
      </c>
    </row>
    <row r="2026" spans="1:16" x14ac:dyDescent="0.3">
      <c r="A2026" t="s">
        <v>14433</v>
      </c>
      <c r="B2026" t="s">
        <v>14434</v>
      </c>
      <c r="C2026" t="s">
        <v>14435</v>
      </c>
      <c r="D2026" t="s">
        <v>3225</v>
      </c>
      <c r="E2026" t="s">
        <v>14436</v>
      </c>
      <c r="F2026" t="s">
        <v>137</v>
      </c>
      <c r="G2026">
        <v>213</v>
      </c>
      <c r="H2026">
        <v>300</v>
      </c>
      <c r="I2026" s="5" t="s">
        <v>14437</v>
      </c>
      <c r="J2026" s="5" t="s">
        <v>14438</v>
      </c>
      <c r="K2026" s="5" t="str">
        <f t="shared" si="62"/>
        <v>https://www.google.com/maps?q=-12.078198, -41.094574</v>
      </c>
      <c r="L2026" s="5" t="str">
        <f t="shared" si="63"/>
        <v>Abrir no Maps</v>
      </c>
      <c r="M2026" t="s">
        <v>14439</v>
      </c>
      <c r="N2026" s="5"/>
      <c r="O2026" t="str">
        <f>VLOOKUP(G2026,'[1]CONFIG.'!$B:$C,2,0)</f>
        <v>DANIEL</v>
      </c>
      <c r="P2026" t="str">
        <f>VLOOKUP(O2026,'[1]CONFIG.'!$C:$D,2,0)</f>
        <v>74 99461824</v>
      </c>
    </row>
    <row r="2027" spans="1:16" x14ac:dyDescent="0.3">
      <c r="A2027" t="s">
        <v>14440</v>
      </c>
      <c r="B2027" t="s">
        <v>14441</v>
      </c>
      <c r="C2027" t="s">
        <v>14442</v>
      </c>
      <c r="D2027" t="s">
        <v>3225</v>
      </c>
      <c r="E2027" t="s">
        <v>14443</v>
      </c>
      <c r="F2027" t="s">
        <v>137</v>
      </c>
      <c r="G2027">
        <v>213</v>
      </c>
      <c r="H2027">
        <v>300</v>
      </c>
      <c r="I2027" s="5" t="s">
        <v>14444</v>
      </c>
      <c r="J2027" s="5" t="s">
        <v>14445</v>
      </c>
      <c r="K2027" s="5" t="str">
        <f t="shared" si="62"/>
        <v>https://www.google.com/maps?q=-12.086380, -41.102200</v>
      </c>
      <c r="L2027" s="5" t="str">
        <f t="shared" si="63"/>
        <v>Abrir no Maps</v>
      </c>
      <c r="M2027" t="s">
        <v>14446</v>
      </c>
      <c r="N2027" s="5"/>
      <c r="O2027" t="str">
        <f>VLOOKUP(G2027,'[1]CONFIG.'!$B:$C,2,0)</f>
        <v>DANIEL</v>
      </c>
      <c r="P2027" t="str">
        <f>VLOOKUP(O2027,'[1]CONFIG.'!$C:$D,2,0)</f>
        <v>74 99461824</v>
      </c>
    </row>
    <row r="2028" spans="1:16" x14ac:dyDescent="0.3">
      <c r="A2028" t="s">
        <v>14447</v>
      </c>
      <c r="B2028" t="s">
        <v>14448</v>
      </c>
      <c r="C2028" t="s">
        <v>14449</v>
      </c>
      <c r="D2028" t="s">
        <v>3225</v>
      </c>
      <c r="E2028" t="s">
        <v>14450</v>
      </c>
      <c r="F2028" t="s">
        <v>431</v>
      </c>
      <c r="G2028">
        <v>213</v>
      </c>
      <c r="H2028">
        <v>300</v>
      </c>
      <c r="I2028" s="5" t="s">
        <v>14451</v>
      </c>
      <c r="J2028" s="5" t="s">
        <v>14452</v>
      </c>
      <c r="K2028" s="5" t="str">
        <f t="shared" si="62"/>
        <v>https://www.google.com/maps?q=-12.077059, -41.091095</v>
      </c>
      <c r="L2028" s="5" t="str">
        <f t="shared" si="63"/>
        <v>Abrir no Maps</v>
      </c>
      <c r="M2028" t="s">
        <v>14453</v>
      </c>
      <c r="N2028" s="5"/>
      <c r="O2028" t="str">
        <f>VLOOKUP(G2028,'[1]CONFIG.'!$B:$C,2,0)</f>
        <v>DANIEL</v>
      </c>
      <c r="P2028" t="str">
        <f>VLOOKUP(O2028,'[1]CONFIG.'!$C:$D,2,0)</f>
        <v>74 99461824</v>
      </c>
    </row>
    <row r="2029" spans="1:16" x14ac:dyDescent="0.3">
      <c r="A2029" t="s">
        <v>14454</v>
      </c>
      <c r="B2029" t="s">
        <v>14455</v>
      </c>
      <c r="C2029" t="s">
        <v>14456</v>
      </c>
      <c r="D2029" t="s">
        <v>3225</v>
      </c>
      <c r="E2029" t="s">
        <v>14457</v>
      </c>
      <c r="F2029" t="s">
        <v>137</v>
      </c>
      <c r="G2029">
        <v>213</v>
      </c>
      <c r="H2029">
        <v>300</v>
      </c>
      <c r="I2029" s="5" t="s">
        <v>14458</v>
      </c>
      <c r="J2029" s="5" t="s">
        <v>14459</v>
      </c>
      <c r="K2029" s="5" t="str">
        <f t="shared" si="62"/>
        <v>https://www.google.com/maps?q=-12.081325, -41.097855</v>
      </c>
      <c r="L2029" s="5" t="str">
        <f t="shared" si="63"/>
        <v>Abrir no Maps</v>
      </c>
      <c r="M2029" t="s">
        <v>14460</v>
      </c>
      <c r="N2029" s="5"/>
      <c r="O2029" t="str">
        <f>VLOOKUP(G2029,'[1]CONFIG.'!$B:$C,2,0)</f>
        <v>DANIEL</v>
      </c>
      <c r="P2029" t="str">
        <f>VLOOKUP(O2029,'[1]CONFIG.'!$C:$D,2,0)</f>
        <v>74 99461824</v>
      </c>
    </row>
    <row r="2030" spans="1:16" x14ac:dyDescent="0.3">
      <c r="A2030" t="s">
        <v>14461</v>
      </c>
      <c r="B2030" t="s">
        <v>14462</v>
      </c>
      <c r="C2030" t="s">
        <v>14463</v>
      </c>
      <c r="D2030" t="s">
        <v>3225</v>
      </c>
      <c r="E2030" t="s">
        <v>14464</v>
      </c>
      <c r="F2030" t="s">
        <v>137</v>
      </c>
      <c r="G2030">
        <v>213</v>
      </c>
      <c r="H2030">
        <v>300</v>
      </c>
      <c r="I2030" s="5" t="s">
        <v>14465</v>
      </c>
      <c r="J2030" s="5" t="s">
        <v>14466</v>
      </c>
      <c r="K2030" s="5" t="str">
        <f t="shared" si="62"/>
        <v>https://www.google.com/maps?q=-12.080875, -41.097157</v>
      </c>
      <c r="L2030" s="5" t="str">
        <f t="shared" si="63"/>
        <v>Abrir no Maps</v>
      </c>
      <c r="M2030" t="s">
        <v>14467</v>
      </c>
      <c r="N2030" s="5"/>
      <c r="O2030" t="str">
        <f>VLOOKUP(G2030,'[1]CONFIG.'!$B:$C,2,0)</f>
        <v>DANIEL</v>
      </c>
      <c r="P2030" t="str">
        <f>VLOOKUP(O2030,'[1]CONFIG.'!$C:$D,2,0)</f>
        <v>74 99461824</v>
      </c>
    </row>
    <row r="2031" spans="1:16" x14ac:dyDescent="0.3">
      <c r="A2031" t="s">
        <v>14468</v>
      </c>
      <c r="B2031" t="s">
        <v>14469</v>
      </c>
      <c r="C2031" t="s">
        <v>14470</v>
      </c>
      <c r="D2031" t="s">
        <v>3225</v>
      </c>
      <c r="E2031" t="s">
        <v>14471</v>
      </c>
      <c r="F2031" t="s">
        <v>137</v>
      </c>
      <c r="G2031">
        <v>213</v>
      </c>
      <c r="H2031">
        <v>300</v>
      </c>
      <c r="I2031" s="5" t="s">
        <v>14472</v>
      </c>
      <c r="J2031" s="5" t="s">
        <v>14473</v>
      </c>
      <c r="K2031" s="5" t="str">
        <f t="shared" si="62"/>
        <v>https://www.google.com/maps?q=-12.079795, -41.095950</v>
      </c>
      <c r="L2031" s="5" t="str">
        <f t="shared" si="63"/>
        <v>Abrir no Maps</v>
      </c>
      <c r="M2031" t="s">
        <v>14474</v>
      </c>
      <c r="N2031" s="5"/>
      <c r="O2031" t="str">
        <f>VLOOKUP(G2031,'[1]CONFIG.'!$B:$C,2,0)</f>
        <v>DANIEL</v>
      </c>
      <c r="P2031" t="str">
        <f>VLOOKUP(O2031,'[1]CONFIG.'!$C:$D,2,0)</f>
        <v>74 99461824</v>
      </c>
    </row>
    <row r="2032" spans="1:16" x14ac:dyDescent="0.3">
      <c r="A2032" t="s">
        <v>14475</v>
      </c>
      <c r="B2032" t="s">
        <v>14476</v>
      </c>
      <c r="C2032" t="s">
        <v>14477</v>
      </c>
      <c r="D2032" t="s">
        <v>3225</v>
      </c>
      <c r="E2032" t="s">
        <v>14478</v>
      </c>
      <c r="F2032" t="s">
        <v>14401</v>
      </c>
      <c r="G2032">
        <v>213</v>
      </c>
      <c r="H2032">
        <v>300</v>
      </c>
      <c r="I2032" s="5" t="s">
        <v>14479</v>
      </c>
      <c r="J2032" s="5" t="s">
        <v>14480</v>
      </c>
      <c r="K2032" s="5" t="str">
        <f t="shared" si="62"/>
        <v>https://www.google.com/maps?q=-12.077255, -41.091476</v>
      </c>
      <c r="L2032" s="5" t="str">
        <f t="shared" si="63"/>
        <v>Abrir no Maps</v>
      </c>
      <c r="M2032" t="s">
        <v>14481</v>
      </c>
      <c r="N2032" s="5"/>
      <c r="O2032" t="str">
        <f>VLOOKUP(G2032,'[1]CONFIG.'!$B:$C,2,0)</f>
        <v>DANIEL</v>
      </c>
      <c r="P2032" t="str">
        <f>VLOOKUP(O2032,'[1]CONFIG.'!$C:$D,2,0)</f>
        <v>74 99461824</v>
      </c>
    </row>
    <row r="2033" spans="1:16" x14ac:dyDescent="0.3">
      <c r="A2033" t="s">
        <v>14482</v>
      </c>
      <c r="B2033" t="s">
        <v>14483</v>
      </c>
      <c r="C2033" t="s">
        <v>14484</v>
      </c>
      <c r="D2033" t="s">
        <v>3225</v>
      </c>
      <c r="E2033" t="s">
        <v>14485</v>
      </c>
      <c r="F2033" t="s">
        <v>137</v>
      </c>
      <c r="G2033">
        <v>213</v>
      </c>
      <c r="H2033">
        <v>300</v>
      </c>
      <c r="I2033" s="5" t="s">
        <v>14486</v>
      </c>
      <c r="J2033" s="5" t="s">
        <v>14487</v>
      </c>
      <c r="K2033" s="5" t="str">
        <f t="shared" si="62"/>
        <v>https://www.google.com/maps?q=-12.077456, -41.093117</v>
      </c>
      <c r="L2033" s="5" t="str">
        <f t="shared" si="63"/>
        <v>Abrir no Maps</v>
      </c>
      <c r="M2033" t="s">
        <v>14488</v>
      </c>
      <c r="N2033" s="5"/>
      <c r="O2033" t="str">
        <f>VLOOKUP(G2033,'[1]CONFIG.'!$B:$C,2,0)</f>
        <v>DANIEL</v>
      </c>
      <c r="P2033" t="str">
        <f>VLOOKUP(O2033,'[1]CONFIG.'!$C:$D,2,0)</f>
        <v>74 99461824</v>
      </c>
    </row>
    <row r="2034" spans="1:16" x14ac:dyDescent="0.3">
      <c r="A2034" t="s">
        <v>14489</v>
      </c>
      <c r="B2034" t="s">
        <v>14490</v>
      </c>
      <c r="C2034" t="s">
        <v>14491</v>
      </c>
      <c r="D2034" t="s">
        <v>3225</v>
      </c>
      <c r="E2034" t="s">
        <v>14492</v>
      </c>
      <c r="F2034" t="s">
        <v>137</v>
      </c>
      <c r="G2034">
        <v>213</v>
      </c>
      <c r="H2034">
        <v>300</v>
      </c>
      <c r="I2034" s="5" t="s">
        <v>14493</v>
      </c>
      <c r="J2034" s="5" t="s">
        <v>14494</v>
      </c>
      <c r="K2034" s="5" t="str">
        <f t="shared" si="62"/>
        <v>https://www.google.com/maps?q=-12.082455, -41.099236</v>
      </c>
      <c r="L2034" s="5" t="str">
        <f t="shared" si="63"/>
        <v>Abrir no Maps</v>
      </c>
      <c r="M2034" t="s">
        <v>14495</v>
      </c>
      <c r="N2034" s="5"/>
      <c r="O2034" t="str">
        <f>VLOOKUP(G2034,'[1]CONFIG.'!$B:$C,2,0)</f>
        <v>DANIEL</v>
      </c>
      <c r="P2034" t="str">
        <f>VLOOKUP(O2034,'[1]CONFIG.'!$C:$D,2,0)</f>
        <v>74 99461824</v>
      </c>
    </row>
    <row r="2035" spans="1:16" x14ac:dyDescent="0.3">
      <c r="A2035" t="s">
        <v>14496</v>
      </c>
      <c r="B2035" t="s">
        <v>14497</v>
      </c>
      <c r="C2035" t="s">
        <v>14498</v>
      </c>
      <c r="D2035" t="s">
        <v>3225</v>
      </c>
      <c r="E2035" t="s">
        <v>14499</v>
      </c>
      <c r="F2035" t="s">
        <v>137</v>
      </c>
      <c r="G2035">
        <v>213</v>
      </c>
      <c r="H2035">
        <v>300</v>
      </c>
      <c r="I2035" s="5" t="s">
        <v>14500</v>
      </c>
      <c r="J2035" s="5" t="s">
        <v>14501</v>
      </c>
      <c r="K2035" s="5" t="str">
        <f t="shared" si="62"/>
        <v>https://www.google.com/maps?q=-12.080620, -41.098610</v>
      </c>
      <c r="L2035" s="5" t="str">
        <f t="shared" si="63"/>
        <v>Abrir no Maps</v>
      </c>
      <c r="M2035" t="s">
        <v>14502</v>
      </c>
      <c r="N2035" s="5"/>
      <c r="O2035" t="str">
        <f>VLOOKUP(G2035,'[1]CONFIG.'!$B:$C,2,0)</f>
        <v>DANIEL</v>
      </c>
      <c r="P2035" t="str">
        <f>VLOOKUP(O2035,'[1]CONFIG.'!$C:$D,2,0)</f>
        <v>74 99461824</v>
      </c>
    </row>
    <row r="2036" spans="1:16" x14ac:dyDescent="0.3">
      <c r="A2036" t="s">
        <v>14503</v>
      </c>
      <c r="B2036" t="s">
        <v>14504</v>
      </c>
      <c r="C2036" t="s">
        <v>14505</v>
      </c>
      <c r="D2036" t="s">
        <v>3225</v>
      </c>
      <c r="E2036" t="s">
        <v>14506</v>
      </c>
      <c r="F2036" t="s">
        <v>137</v>
      </c>
      <c r="G2036">
        <v>213</v>
      </c>
      <c r="H2036">
        <v>300</v>
      </c>
      <c r="I2036" s="5" t="s">
        <v>14507</v>
      </c>
      <c r="J2036" s="5" t="s">
        <v>14508</v>
      </c>
      <c r="K2036" s="5" t="str">
        <f t="shared" si="62"/>
        <v>https://www.google.com/maps?q=-12.080730, -41.099674</v>
      </c>
      <c r="L2036" s="5" t="str">
        <f t="shared" si="63"/>
        <v>Abrir no Maps</v>
      </c>
      <c r="M2036" t="s">
        <v>14509</v>
      </c>
      <c r="N2036" s="5"/>
      <c r="O2036" t="str">
        <f>VLOOKUP(G2036,'[1]CONFIG.'!$B:$C,2,0)</f>
        <v>DANIEL</v>
      </c>
      <c r="P2036" t="str">
        <f>VLOOKUP(O2036,'[1]CONFIG.'!$C:$D,2,0)</f>
        <v>74 99461824</v>
      </c>
    </row>
    <row r="2037" spans="1:16" x14ac:dyDescent="0.3">
      <c r="A2037" t="s">
        <v>14510</v>
      </c>
      <c r="B2037" t="s">
        <v>14511</v>
      </c>
      <c r="C2037" t="s">
        <v>14512</v>
      </c>
      <c r="D2037" t="s">
        <v>14513</v>
      </c>
      <c r="E2037" t="s">
        <v>14514</v>
      </c>
      <c r="F2037" t="s">
        <v>137</v>
      </c>
      <c r="G2037">
        <v>213</v>
      </c>
      <c r="H2037">
        <v>300</v>
      </c>
      <c r="I2037" s="5" t="s">
        <v>14515</v>
      </c>
      <c r="J2037" s="5" t="s">
        <v>14516</v>
      </c>
      <c r="K2037" s="5" t="str">
        <f t="shared" si="62"/>
        <v>https://www.google.com/maps?q=-12.286963, -41.169730</v>
      </c>
      <c r="L2037" s="5" t="str">
        <f t="shared" si="63"/>
        <v>Abrir no Maps</v>
      </c>
      <c r="M2037" t="s">
        <v>14517</v>
      </c>
      <c r="N2037" s="5"/>
      <c r="O2037" t="str">
        <f>VLOOKUP(G2037,'[1]CONFIG.'!$B:$C,2,0)</f>
        <v>DANIEL</v>
      </c>
      <c r="P2037" t="str">
        <f>VLOOKUP(O2037,'[1]CONFIG.'!$C:$D,2,0)</f>
        <v>74 99461824</v>
      </c>
    </row>
    <row r="2038" spans="1:16" x14ac:dyDescent="0.3">
      <c r="A2038" t="s">
        <v>14518</v>
      </c>
      <c r="B2038" t="s">
        <v>14519</v>
      </c>
      <c r="C2038" t="s">
        <v>14520</v>
      </c>
      <c r="D2038" t="s">
        <v>3225</v>
      </c>
      <c r="E2038" t="s">
        <v>14521</v>
      </c>
      <c r="F2038" t="s">
        <v>137</v>
      </c>
      <c r="G2038">
        <v>213</v>
      </c>
      <c r="H2038">
        <v>300</v>
      </c>
      <c r="I2038" s="5" t="s">
        <v>14522</v>
      </c>
      <c r="J2038" s="5" t="s">
        <v>14523</v>
      </c>
      <c r="K2038" s="5" t="str">
        <f t="shared" si="62"/>
        <v>https://www.google.com/maps?q=-12.082200, -41.098995</v>
      </c>
      <c r="L2038" s="5" t="str">
        <f t="shared" si="63"/>
        <v>Abrir no Maps</v>
      </c>
      <c r="M2038" t="s">
        <v>14524</v>
      </c>
      <c r="N2038" s="5"/>
      <c r="O2038" t="str">
        <f>VLOOKUP(G2038,'[1]CONFIG.'!$B:$C,2,0)</f>
        <v>DANIEL</v>
      </c>
      <c r="P2038" t="str">
        <f>VLOOKUP(O2038,'[1]CONFIG.'!$C:$D,2,0)</f>
        <v>74 99461824</v>
      </c>
    </row>
    <row r="2039" spans="1:16" x14ac:dyDescent="0.3">
      <c r="A2039" t="s">
        <v>14525</v>
      </c>
      <c r="B2039" t="s">
        <v>14526</v>
      </c>
      <c r="C2039" t="s">
        <v>14527</v>
      </c>
      <c r="D2039" t="s">
        <v>429</v>
      </c>
      <c r="E2039" t="s">
        <v>14528</v>
      </c>
      <c r="F2039" t="s">
        <v>137</v>
      </c>
      <c r="G2039">
        <v>201</v>
      </c>
      <c r="H2039">
        <v>300</v>
      </c>
      <c r="I2039" s="5" t="s">
        <v>14529</v>
      </c>
      <c r="J2039" s="5" t="s">
        <v>14530</v>
      </c>
      <c r="K2039" s="5" t="str">
        <f t="shared" si="62"/>
        <v>https://www.google.com/maps?q=-11.548995, -41.159540</v>
      </c>
      <c r="L2039" s="5" t="str">
        <f t="shared" si="63"/>
        <v>Abrir no Maps</v>
      </c>
      <c r="M2039" t="s">
        <v>14531</v>
      </c>
      <c r="N2039" s="5"/>
      <c r="O2039" t="str">
        <f>VLOOKUP(G2039,'[1]CONFIG.'!$B:$C,2,0)</f>
        <v>EDSON</v>
      </c>
      <c r="P2039" t="str">
        <f>VLOOKUP(O2039,'[1]CONFIG.'!$C:$D,2,0)</f>
        <v>74 99403278</v>
      </c>
    </row>
    <row r="2040" spans="1:16" x14ac:dyDescent="0.3">
      <c r="A2040" t="s">
        <v>14532</v>
      </c>
      <c r="B2040" t="s">
        <v>14533</v>
      </c>
      <c r="C2040" t="s">
        <v>14534</v>
      </c>
      <c r="D2040" t="s">
        <v>3225</v>
      </c>
      <c r="E2040" t="s">
        <v>14535</v>
      </c>
      <c r="F2040" t="s">
        <v>137</v>
      </c>
      <c r="G2040">
        <v>213</v>
      </c>
      <c r="H2040">
        <v>300</v>
      </c>
      <c r="I2040" s="5" t="s">
        <v>14536</v>
      </c>
      <c r="J2040" s="5" t="s">
        <v>14537</v>
      </c>
      <c r="K2040" s="5" t="str">
        <f t="shared" si="62"/>
        <v>https://www.google.com/maps?q=-12.082810, -41.094685</v>
      </c>
      <c r="L2040" s="5" t="str">
        <f t="shared" si="63"/>
        <v>Abrir no Maps</v>
      </c>
      <c r="M2040" t="s">
        <v>14538</v>
      </c>
      <c r="N2040" s="5"/>
      <c r="O2040" t="str">
        <f>VLOOKUP(G2040,'[1]CONFIG.'!$B:$C,2,0)</f>
        <v>DANIEL</v>
      </c>
      <c r="P2040" t="str">
        <f>VLOOKUP(O2040,'[1]CONFIG.'!$C:$D,2,0)</f>
        <v>74 99461824</v>
      </c>
    </row>
    <row r="2041" spans="1:16" x14ac:dyDescent="0.3">
      <c r="A2041" t="s">
        <v>14539</v>
      </c>
      <c r="B2041" t="s">
        <v>14540</v>
      </c>
      <c r="C2041" t="s">
        <v>14541</v>
      </c>
      <c r="D2041" t="s">
        <v>3225</v>
      </c>
      <c r="E2041" t="s">
        <v>14542</v>
      </c>
      <c r="F2041" t="s">
        <v>431</v>
      </c>
      <c r="G2041">
        <v>213</v>
      </c>
      <c r="H2041">
        <v>300</v>
      </c>
      <c r="I2041" s="5" t="s">
        <v>14543</v>
      </c>
      <c r="J2041" s="5" t="s">
        <v>14544</v>
      </c>
      <c r="K2041" s="5" t="str">
        <f t="shared" si="62"/>
        <v>https://www.google.com/maps?q=-12.077279, -41.090088</v>
      </c>
      <c r="L2041" s="5" t="str">
        <f t="shared" si="63"/>
        <v>Abrir no Maps</v>
      </c>
      <c r="M2041" t="s">
        <v>14545</v>
      </c>
      <c r="N2041" s="5"/>
      <c r="O2041" t="str">
        <f>VLOOKUP(G2041,'[1]CONFIG.'!$B:$C,2,0)</f>
        <v>DANIEL</v>
      </c>
      <c r="P2041" t="str">
        <f>VLOOKUP(O2041,'[1]CONFIG.'!$C:$D,2,0)</f>
        <v>74 99461824</v>
      </c>
    </row>
    <row r="2042" spans="1:16" x14ac:dyDescent="0.3">
      <c r="A2042" t="s">
        <v>14546</v>
      </c>
      <c r="B2042" t="s">
        <v>14547</v>
      </c>
      <c r="C2042" t="s">
        <v>14548</v>
      </c>
      <c r="D2042" t="s">
        <v>3225</v>
      </c>
      <c r="E2042" t="s">
        <v>14549</v>
      </c>
      <c r="F2042" t="s">
        <v>137</v>
      </c>
      <c r="G2042">
        <v>213</v>
      </c>
      <c r="H2042">
        <v>300</v>
      </c>
      <c r="I2042" s="5" t="s">
        <v>14550</v>
      </c>
      <c r="J2042" s="5" t="s">
        <v>14551</v>
      </c>
      <c r="K2042" s="5" t="str">
        <f t="shared" si="62"/>
        <v>https://www.google.com/maps?q=-12.080680, -41.096510</v>
      </c>
      <c r="L2042" s="5" t="str">
        <f t="shared" si="63"/>
        <v>Abrir no Maps</v>
      </c>
      <c r="M2042" t="s">
        <v>14552</v>
      </c>
      <c r="N2042" s="5"/>
      <c r="O2042" t="str">
        <f>VLOOKUP(G2042,'[1]CONFIG.'!$B:$C,2,0)</f>
        <v>DANIEL</v>
      </c>
      <c r="P2042" t="str">
        <f>VLOOKUP(O2042,'[1]CONFIG.'!$C:$D,2,0)</f>
        <v>74 99461824</v>
      </c>
    </row>
    <row r="2043" spans="1:16" x14ac:dyDescent="0.3">
      <c r="A2043" t="s">
        <v>14553</v>
      </c>
      <c r="B2043" t="s">
        <v>14554</v>
      </c>
      <c r="C2043" t="s">
        <v>14555</v>
      </c>
      <c r="D2043" t="s">
        <v>3225</v>
      </c>
      <c r="E2043" t="s">
        <v>14556</v>
      </c>
      <c r="F2043" t="s">
        <v>137</v>
      </c>
      <c r="G2043">
        <v>213</v>
      </c>
      <c r="H2043">
        <v>300</v>
      </c>
      <c r="I2043" s="5" t="s">
        <v>14557</v>
      </c>
      <c r="J2043" s="5" t="s">
        <v>14558</v>
      </c>
      <c r="K2043" s="5" t="str">
        <f t="shared" si="62"/>
        <v>https://www.google.com/maps?q=-12.077547, -41.092472</v>
      </c>
      <c r="L2043" s="5" t="str">
        <f t="shared" si="63"/>
        <v>Abrir no Maps</v>
      </c>
      <c r="M2043" t="s">
        <v>14559</v>
      </c>
      <c r="N2043" s="5"/>
      <c r="O2043" t="str">
        <f>VLOOKUP(G2043,'[1]CONFIG.'!$B:$C,2,0)</f>
        <v>DANIEL</v>
      </c>
      <c r="P2043" t="str">
        <f>VLOOKUP(O2043,'[1]CONFIG.'!$C:$D,2,0)</f>
        <v>74 99461824</v>
      </c>
    </row>
    <row r="2044" spans="1:16" x14ac:dyDescent="0.3">
      <c r="A2044" t="s">
        <v>14560</v>
      </c>
      <c r="B2044" t="s">
        <v>14561</v>
      </c>
      <c r="C2044" t="s">
        <v>14562</v>
      </c>
      <c r="D2044" t="s">
        <v>3225</v>
      </c>
      <c r="E2044" t="s">
        <v>14563</v>
      </c>
      <c r="F2044" t="s">
        <v>137</v>
      </c>
      <c r="G2044">
        <v>213</v>
      </c>
      <c r="H2044">
        <v>300</v>
      </c>
      <c r="I2044" s="5" t="s">
        <v>14564</v>
      </c>
      <c r="J2044" s="5" t="s">
        <v>14565</v>
      </c>
      <c r="K2044" s="5" t="str">
        <f t="shared" si="62"/>
        <v>https://www.google.com/maps?q=-12.083540, -41.096250</v>
      </c>
      <c r="L2044" s="5" t="str">
        <f t="shared" si="63"/>
        <v>Abrir no Maps</v>
      </c>
      <c r="M2044" t="s">
        <v>14566</v>
      </c>
      <c r="N2044" s="5"/>
      <c r="O2044" t="str">
        <f>VLOOKUP(G2044,'[1]CONFIG.'!$B:$C,2,0)</f>
        <v>DANIEL</v>
      </c>
      <c r="P2044" t="str">
        <f>VLOOKUP(O2044,'[1]CONFIG.'!$C:$D,2,0)</f>
        <v>74 99461824</v>
      </c>
    </row>
    <row r="2045" spans="1:16" x14ac:dyDescent="0.3">
      <c r="A2045" t="s">
        <v>14567</v>
      </c>
      <c r="B2045" t="s">
        <v>14568</v>
      </c>
      <c r="C2045" t="s">
        <v>14569</v>
      </c>
      <c r="D2045" t="s">
        <v>3225</v>
      </c>
      <c r="E2045" t="s">
        <v>14570</v>
      </c>
      <c r="F2045" t="s">
        <v>137</v>
      </c>
      <c r="G2045">
        <v>213</v>
      </c>
      <c r="H2045">
        <v>300</v>
      </c>
      <c r="I2045" s="5" t="s">
        <v>14571</v>
      </c>
      <c r="J2045" s="5" t="s">
        <v>14572</v>
      </c>
      <c r="K2045" s="5" t="str">
        <f t="shared" si="62"/>
        <v>https://www.google.com/maps?q=-12.082530, -41.097576</v>
      </c>
      <c r="L2045" s="5" t="str">
        <f t="shared" si="63"/>
        <v>Abrir no Maps</v>
      </c>
      <c r="M2045" t="s">
        <v>14573</v>
      </c>
      <c r="N2045" s="5"/>
      <c r="O2045" t="str">
        <f>VLOOKUP(G2045,'[1]CONFIG.'!$B:$C,2,0)</f>
        <v>DANIEL</v>
      </c>
      <c r="P2045" t="str">
        <f>VLOOKUP(O2045,'[1]CONFIG.'!$C:$D,2,0)</f>
        <v>74 99461824</v>
      </c>
    </row>
    <row r="2046" spans="1:16" x14ac:dyDescent="0.3">
      <c r="A2046" t="s">
        <v>14574</v>
      </c>
      <c r="B2046" t="s">
        <v>14575</v>
      </c>
      <c r="C2046" t="s">
        <v>14576</v>
      </c>
      <c r="D2046" t="s">
        <v>3225</v>
      </c>
      <c r="E2046" t="s">
        <v>14577</v>
      </c>
      <c r="F2046" t="s">
        <v>137</v>
      </c>
      <c r="G2046">
        <v>213</v>
      </c>
      <c r="H2046">
        <v>300</v>
      </c>
      <c r="I2046" s="5" t="s">
        <v>14578</v>
      </c>
      <c r="J2046" s="5" t="s">
        <v>14579</v>
      </c>
      <c r="K2046" s="5" t="str">
        <f t="shared" si="62"/>
        <v>https://www.google.com/maps?q=-12.082016, -41.098255</v>
      </c>
      <c r="L2046" s="5" t="str">
        <f t="shared" si="63"/>
        <v>Abrir no Maps</v>
      </c>
      <c r="M2046" t="s">
        <v>14580</v>
      </c>
      <c r="N2046" s="5"/>
      <c r="O2046" t="str">
        <f>VLOOKUP(G2046,'[1]CONFIG.'!$B:$C,2,0)</f>
        <v>DANIEL</v>
      </c>
      <c r="P2046" t="str">
        <f>VLOOKUP(O2046,'[1]CONFIG.'!$C:$D,2,0)</f>
        <v>74 99461824</v>
      </c>
    </row>
    <row r="2047" spans="1:16" x14ac:dyDescent="0.3">
      <c r="A2047" t="s">
        <v>14581</v>
      </c>
      <c r="B2047" t="s">
        <v>14582</v>
      </c>
      <c r="C2047" t="s">
        <v>14583</v>
      </c>
      <c r="D2047" t="s">
        <v>3225</v>
      </c>
      <c r="E2047" t="s">
        <v>14584</v>
      </c>
      <c r="F2047" t="s">
        <v>137</v>
      </c>
      <c r="G2047">
        <v>213</v>
      </c>
      <c r="H2047">
        <v>300</v>
      </c>
      <c r="I2047" s="5" t="s">
        <v>14585</v>
      </c>
      <c r="J2047" s="5" t="s">
        <v>14586</v>
      </c>
      <c r="K2047" s="5" t="str">
        <f t="shared" si="62"/>
        <v>https://www.google.com/maps?q=-12.080294, -41.099384</v>
      </c>
      <c r="L2047" s="5" t="str">
        <f t="shared" si="63"/>
        <v>Abrir no Maps</v>
      </c>
      <c r="M2047" t="s">
        <v>14587</v>
      </c>
      <c r="N2047" s="5"/>
      <c r="O2047" t="str">
        <f>VLOOKUP(G2047,'[1]CONFIG.'!$B:$C,2,0)</f>
        <v>DANIEL</v>
      </c>
      <c r="P2047" t="str">
        <f>VLOOKUP(O2047,'[1]CONFIG.'!$C:$D,2,0)</f>
        <v>74 99461824</v>
      </c>
    </row>
    <row r="2048" spans="1:16" x14ac:dyDescent="0.3">
      <c r="A2048" t="s">
        <v>14588</v>
      </c>
      <c r="B2048" t="s">
        <v>14589</v>
      </c>
      <c r="C2048" t="s">
        <v>14590</v>
      </c>
      <c r="D2048" t="s">
        <v>3225</v>
      </c>
      <c r="E2048" t="s">
        <v>14591</v>
      </c>
      <c r="F2048" t="s">
        <v>137</v>
      </c>
      <c r="G2048">
        <v>213</v>
      </c>
      <c r="H2048">
        <v>300</v>
      </c>
      <c r="I2048" s="5" t="s">
        <v>14592</v>
      </c>
      <c r="J2048" s="5" t="s">
        <v>14593</v>
      </c>
      <c r="K2048" s="5" t="str">
        <f t="shared" si="62"/>
        <v>https://www.google.com/maps?q=-12.083211, -41.097122</v>
      </c>
      <c r="L2048" s="5" t="str">
        <f t="shared" si="63"/>
        <v>Abrir no Maps</v>
      </c>
      <c r="M2048" t="s">
        <v>14594</v>
      </c>
      <c r="N2048" s="5"/>
      <c r="O2048" t="str">
        <f>VLOOKUP(G2048,'[1]CONFIG.'!$B:$C,2,0)</f>
        <v>DANIEL</v>
      </c>
      <c r="P2048" t="str">
        <f>VLOOKUP(O2048,'[1]CONFIG.'!$C:$D,2,0)</f>
        <v>74 99461824</v>
      </c>
    </row>
    <row r="2049" spans="1:16" x14ac:dyDescent="0.3">
      <c r="A2049" t="s">
        <v>14595</v>
      </c>
      <c r="B2049" t="s">
        <v>14596</v>
      </c>
      <c r="C2049" t="s">
        <v>14597</v>
      </c>
      <c r="D2049" t="s">
        <v>3225</v>
      </c>
      <c r="E2049" t="s">
        <v>14598</v>
      </c>
      <c r="F2049" t="s">
        <v>137</v>
      </c>
      <c r="G2049">
        <v>213</v>
      </c>
      <c r="H2049">
        <v>300</v>
      </c>
      <c r="I2049" s="5" t="s">
        <v>14599</v>
      </c>
      <c r="J2049" s="5" t="s">
        <v>14600</v>
      </c>
      <c r="K2049" s="5" t="str">
        <f t="shared" si="62"/>
        <v>https://www.google.com/maps?q=-12.083236, -41.094350</v>
      </c>
      <c r="L2049" s="5" t="str">
        <f t="shared" si="63"/>
        <v>Abrir no Maps</v>
      </c>
      <c r="M2049" t="s">
        <v>14601</v>
      </c>
      <c r="N2049" s="5"/>
      <c r="O2049" t="str">
        <f>VLOOKUP(G2049,'[1]CONFIG.'!$B:$C,2,0)</f>
        <v>DANIEL</v>
      </c>
      <c r="P2049" t="str">
        <f>VLOOKUP(O2049,'[1]CONFIG.'!$C:$D,2,0)</f>
        <v>74 99461824</v>
      </c>
    </row>
    <row r="2050" spans="1:16" x14ac:dyDescent="0.3">
      <c r="A2050" t="s">
        <v>14602</v>
      </c>
      <c r="B2050" t="s">
        <v>14603</v>
      </c>
      <c r="C2050" t="s">
        <v>14604</v>
      </c>
      <c r="D2050" t="s">
        <v>3225</v>
      </c>
      <c r="E2050" t="s">
        <v>14605</v>
      </c>
      <c r="F2050" t="s">
        <v>14401</v>
      </c>
      <c r="G2050">
        <v>213</v>
      </c>
      <c r="H2050">
        <v>300</v>
      </c>
      <c r="I2050" s="5" t="s">
        <v>14606</v>
      </c>
      <c r="J2050" s="5" t="s">
        <v>14607</v>
      </c>
      <c r="K2050" s="5" t="str">
        <f t="shared" si="62"/>
        <v>https://www.google.com/maps?q=-12.074237, -41.091652</v>
      </c>
      <c r="L2050" s="5" t="str">
        <f t="shared" si="63"/>
        <v>Abrir no Maps</v>
      </c>
      <c r="M2050" t="s">
        <v>14608</v>
      </c>
      <c r="N2050" s="5"/>
      <c r="O2050" t="str">
        <f>VLOOKUP(G2050,'[1]CONFIG.'!$B:$C,2,0)</f>
        <v>DANIEL</v>
      </c>
      <c r="P2050" t="str">
        <f>VLOOKUP(O2050,'[1]CONFIG.'!$C:$D,2,0)</f>
        <v>74 99461824</v>
      </c>
    </row>
    <row r="2051" spans="1:16" x14ac:dyDescent="0.3">
      <c r="A2051" t="s">
        <v>14609</v>
      </c>
      <c r="B2051" t="s">
        <v>14610</v>
      </c>
      <c r="C2051" t="s">
        <v>14611</v>
      </c>
      <c r="D2051" t="s">
        <v>3225</v>
      </c>
      <c r="E2051" t="s">
        <v>14612</v>
      </c>
      <c r="F2051" t="s">
        <v>14401</v>
      </c>
      <c r="G2051">
        <v>213</v>
      </c>
      <c r="H2051">
        <v>300</v>
      </c>
      <c r="I2051" s="5" t="s">
        <v>14613</v>
      </c>
      <c r="J2051" s="5" t="s">
        <v>14614</v>
      </c>
      <c r="K2051" s="5" t="str">
        <f t="shared" si="62"/>
        <v>https://www.google.com/maps?q=-12.082749, -41.094721</v>
      </c>
      <c r="L2051" s="5" t="str">
        <f t="shared" si="63"/>
        <v>Abrir no Maps</v>
      </c>
      <c r="M2051" t="s">
        <v>14615</v>
      </c>
      <c r="N2051" s="5"/>
      <c r="O2051" t="str">
        <f>VLOOKUP(G2051,'[1]CONFIG.'!$B:$C,2,0)</f>
        <v>DANIEL</v>
      </c>
      <c r="P2051" t="str">
        <f>VLOOKUP(O2051,'[1]CONFIG.'!$C:$D,2,0)</f>
        <v>74 99461824</v>
      </c>
    </row>
    <row r="2052" spans="1:16" x14ac:dyDescent="0.3">
      <c r="A2052" t="s">
        <v>14616</v>
      </c>
      <c r="B2052" t="s">
        <v>14617</v>
      </c>
      <c r="C2052" t="s">
        <v>14618</v>
      </c>
      <c r="D2052" t="s">
        <v>3225</v>
      </c>
      <c r="E2052" t="s">
        <v>14619</v>
      </c>
      <c r="F2052" t="s">
        <v>14386</v>
      </c>
      <c r="G2052">
        <v>213</v>
      </c>
      <c r="H2052">
        <v>300</v>
      </c>
      <c r="I2052" s="5" t="s">
        <v>14620</v>
      </c>
      <c r="J2052" s="5" t="s">
        <v>14621</v>
      </c>
      <c r="K2052" s="5" t="str">
        <f t="shared" ref="K2052:K2115" si="64">"https://www.google.com/maps?q="&amp;""&amp;LEFT(I2052,3)&amp;"."&amp;RIGHT(I2052,6)&amp;", "&amp;LEFT(J2052,3)&amp;"."&amp;RIGHT(J2052,6)</f>
        <v>https://www.google.com/maps?q=-12.096389, -41.105556</v>
      </c>
      <c r="L2052" s="5" t="str">
        <f t="shared" ref="L2052:L2115" si="65">HYPERLINK(K2052,"Abrir no Maps")</f>
        <v>Abrir no Maps</v>
      </c>
      <c r="M2052" t="s">
        <v>14622</v>
      </c>
      <c r="N2052" s="5"/>
      <c r="O2052" t="str">
        <f>VLOOKUP(G2052,'[1]CONFIG.'!$B:$C,2,0)</f>
        <v>DANIEL</v>
      </c>
      <c r="P2052" t="str">
        <f>VLOOKUP(O2052,'[1]CONFIG.'!$C:$D,2,0)</f>
        <v>74 99461824</v>
      </c>
    </row>
    <row r="2053" spans="1:16" x14ac:dyDescent="0.3">
      <c r="A2053" t="s">
        <v>14623</v>
      </c>
      <c r="B2053" t="s">
        <v>14624</v>
      </c>
      <c r="C2053" t="s">
        <v>14625</v>
      </c>
      <c r="D2053" t="s">
        <v>3225</v>
      </c>
      <c r="E2053" t="s">
        <v>14626</v>
      </c>
      <c r="F2053" t="s">
        <v>137</v>
      </c>
      <c r="G2053">
        <v>213</v>
      </c>
      <c r="H2053">
        <v>300</v>
      </c>
      <c r="I2053" s="5" t="s">
        <v>14627</v>
      </c>
      <c r="J2053" s="5" t="s">
        <v>14628</v>
      </c>
      <c r="K2053" s="5" t="str">
        <f t="shared" si="64"/>
        <v>https://www.google.com/maps?q=-12.082273, -41.098194</v>
      </c>
      <c r="L2053" s="5" t="str">
        <f t="shared" si="65"/>
        <v>Abrir no Maps</v>
      </c>
      <c r="M2053" t="s">
        <v>14629</v>
      </c>
      <c r="N2053" s="5"/>
      <c r="O2053" t="str">
        <f>VLOOKUP(G2053,'[1]CONFIG.'!$B:$C,2,0)</f>
        <v>DANIEL</v>
      </c>
      <c r="P2053" t="str">
        <f>VLOOKUP(O2053,'[1]CONFIG.'!$C:$D,2,0)</f>
        <v>74 99461824</v>
      </c>
    </row>
    <row r="2054" spans="1:16" x14ac:dyDescent="0.3">
      <c r="A2054" t="s">
        <v>14630</v>
      </c>
      <c r="B2054" t="s">
        <v>14631</v>
      </c>
      <c r="C2054" t="s">
        <v>14632</v>
      </c>
      <c r="D2054" t="s">
        <v>3225</v>
      </c>
      <c r="E2054" t="s">
        <v>14633</v>
      </c>
      <c r="F2054" t="s">
        <v>137</v>
      </c>
      <c r="G2054">
        <v>213</v>
      </c>
      <c r="H2054">
        <v>300</v>
      </c>
      <c r="I2054" s="5" t="s">
        <v>14634</v>
      </c>
      <c r="J2054" s="5" t="s">
        <v>14635</v>
      </c>
      <c r="K2054" s="5" t="str">
        <f t="shared" si="64"/>
        <v>https://www.google.com/maps?q=-12.083027, -41.095516</v>
      </c>
      <c r="L2054" s="5" t="str">
        <f t="shared" si="65"/>
        <v>Abrir no Maps</v>
      </c>
      <c r="M2054" t="s">
        <v>14636</v>
      </c>
      <c r="N2054" s="5"/>
      <c r="O2054" t="str">
        <f>VLOOKUP(G2054,'[1]CONFIG.'!$B:$C,2,0)</f>
        <v>DANIEL</v>
      </c>
      <c r="P2054" t="str">
        <f>VLOOKUP(O2054,'[1]CONFIG.'!$C:$D,2,0)</f>
        <v>74 99461824</v>
      </c>
    </row>
    <row r="2055" spans="1:16" x14ac:dyDescent="0.3">
      <c r="A2055" t="s">
        <v>14637</v>
      </c>
      <c r="B2055" t="s">
        <v>14638</v>
      </c>
      <c r="C2055" t="s">
        <v>14639</v>
      </c>
      <c r="D2055" t="s">
        <v>3225</v>
      </c>
      <c r="E2055" t="s">
        <v>14640</v>
      </c>
      <c r="F2055" t="s">
        <v>14641</v>
      </c>
      <c r="G2055">
        <v>213</v>
      </c>
      <c r="H2055">
        <v>300</v>
      </c>
      <c r="I2055" s="5" t="s">
        <v>14642</v>
      </c>
      <c r="J2055" s="5" t="s">
        <v>14643</v>
      </c>
      <c r="K2055" s="5" t="str">
        <f t="shared" si="64"/>
        <v>https://www.google.com/maps?q=-12.087759, -41.105568</v>
      </c>
      <c r="L2055" s="5" t="str">
        <f t="shared" si="65"/>
        <v>Abrir no Maps</v>
      </c>
      <c r="M2055" t="s">
        <v>14644</v>
      </c>
      <c r="N2055" s="5"/>
      <c r="O2055" t="str">
        <f>VLOOKUP(G2055,'[1]CONFIG.'!$B:$C,2,0)</f>
        <v>DANIEL</v>
      </c>
      <c r="P2055" t="str">
        <f>VLOOKUP(O2055,'[1]CONFIG.'!$C:$D,2,0)</f>
        <v>74 99461824</v>
      </c>
    </row>
    <row r="2056" spans="1:16" x14ac:dyDescent="0.3">
      <c r="A2056" t="s">
        <v>14645</v>
      </c>
      <c r="B2056" t="s">
        <v>14646</v>
      </c>
      <c r="C2056" t="s">
        <v>14647</v>
      </c>
      <c r="D2056" t="s">
        <v>3225</v>
      </c>
      <c r="E2056" t="s">
        <v>14648</v>
      </c>
      <c r="F2056" t="s">
        <v>14401</v>
      </c>
      <c r="G2056">
        <v>213</v>
      </c>
      <c r="H2056">
        <v>300</v>
      </c>
      <c r="I2056" s="5" t="s">
        <v>14649</v>
      </c>
      <c r="J2056" s="5" t="s">
        <v>14650</v>
      </c>
      <c r="K2056" s="5" t="str">
        <f t="shared" si="64"/>
        <v>https://www.google.com/maps?q=-12.077302, -41.093456</v>
      </c>
      <c r="L2056" s="5" t="str">
        <f t="shared" si="65"/>
        <v>Abrir no Maps</v>
      </c>
      <c r="M2056" t="s">
        <v>14651</v>
      </c>
      <c r="N2056" s="5"/>
      <c r="O2056" t="str">
        <f>VLOOKUP(G2056,'[1]CONFIG.'!$B:$C,2,0)</f>
        <v>DANIEL</v>
      </c>
      <c r="P2056" t="str">
        <f>VLOOKUP(O2056,'[1]CONFIG.'!$C:$D,2,0)</f>
        <v>74 99461824</v>
      </c>
    </row>
    <row r="2057" spans="1:16" x14ac:dyDescent="0.3">
      <c r="A2057" t="s">
        <v>14652</v>
      </c>
      <c r="B2057" t="s">
        <v>14653</v>
      </c>
      <c r="C2057" t="s">
        <v>14654</v>
      </c>
      <c r="D2057" t="s">
        <v>3225</v>
      </c>
      <c r="E2057" t="s">
        <v>14655</v>
      </c>
      <c r="F2057" t="s">
        <v>14401</v>
      </c>
      <c r="G2057">
        <v>213</v>
      </c>
      <c r="H2057">
        <v>300</v>
      </c>
      <c r="I2057" s="5" t="s">
        <v>14656</v>
      </c>
      <c r="J2057" s="5" t="s">
        <v>14657</v>
      </c>
      <c r="K2057" s="5" t="str">
        <f t="shared" si="64"/>
        <v>https://www.google.com/maps?q=-12.074980, -41.089024</v>
      </c>
      <c r="L2057" s="5" t="str">
        <f t="shared" si="65"/>
        <v>Abrir no Maps</v>
      </c>
      <c r="M2057" t="s">
        <v>14658</v>
      </c>
      <c r="N2057" s="5"/>
      <c r="O2057" t="str">
        <f>VLOOKUP(G2057,'[1]CONFIG.'!$B:$C,2,0)</f>
        <v>DANIEL</v>
      </c>
      <c r="P2057" t="str">
        <f>VLOOKUP(O2057,'[1]CONFIG.'!$C:$D,2,0)</f>
        <v>74 99461824</v>
      </c>
    </row>
    <row r="2058" spans="1:16" x14ac:dyDescent="0.3">
      <c r="A2058" t="s">
        <v>14659</v>
      </c>
      <c r="B2058" t="s">
        <v>14660</v>
      </c>
      <c r="C2058" t="s">
        <v>14661</v>
      </c>
      <c r="D2058" t="s">
        <v>3225</v>
      </c>
      <c r="E2058" t="s">
        <v>14662</v>
      </c>
      <c r="F2058" t="s">
        <v>137</v>
      </c>
      <c r="G2058">
        <v>213</v>
      </c>
      <c r="H2058">
        <v>300</v>
      </c>
      <c r="I2058" s="5" t="s">
        <v>14663</v>
      </c>
      <c r="J2058" s="5" t="s">
        <v>14664</v>
      </c>
      <c r="K2058" s="5" t="str">
        <f t="shared" si="64"/>
        <v>https://www.google.com/maps?q=-12.083462, -41.095387</v>
      </c>
      <c r="L2058" s="5" t="str">
        <f t="shared" si="65"/>
        <v>Abrir no Maps</v>
      </c>
      <c r="M2058" t="s">
        <v>14665</v>
      </c>
      <c r="N2058" s="5"/>
      <c r="O2058" t="str">
        <f>VLOOKUP(G2058,'[1]CONFIG.'!$B:$C,2,0)</f>
        <v>DANIEL</v>
      </c>
      <c r="P2058" t="str">
        <f>VLOOKUP(O2058,'[1]CONFIG.'!$C:$D,2,0)</f>
        <v>74 99461824</v>
      </c>
    </row>
    <row r="2059" spans="1:16" x14ac:dyDescent="0.3">
      <c r="A2059" t="s">
        <v>14666</v>
      </c>
      <c r="B2059" t="s">
        <v>14667</v>
      </c>
      <c r="C2059" t="s">
        <v>14668</v>
      </c>
      <c r="D2059" t="s">
        <v>3225</v>
      </c>
      <c r="E2059" t="s">
        <v>14669</v>
      </c>
      <c r="F2059" t="s">
        <v>14401</v>
      </c>
      <c r="G2059">
        <v>213</v>
      </c>
      <c r="H2059">
        <v>300</v>
      </c>
      <c r="I2059" s="5" t="s">
        <v>14670</v>
      </c>
      <c r="J2059" s="5" t="s">
        <v>14671</v>
      </c>
      <c r="K2059" s="5" t="str">
        <f t="shared" si="64"/>
        <v>https://www.google.com/maps?q=-12.073693, -41.094201</v>
      </c>
      <c r="L2059" s="5" t="str">
        <f t="shared" si="65"/>
        <v>Abrir no Maps</v>
      </c>
      <c r="M2059" t="s">
        <v>14672</v>
      </c>
      <c r="N2059" s="5"/>
      <c r="O2059" t="str">
        <f>VLOOKUP(G2059,'[1]CONFIG.'!$B:$C,2,0)</f>
        <v>DANIEL</v>
      </c>
      <c r="P2059" t="str">
        <f>VLOOKUP(O2059,'[1]CONFIG.'!$C:$D,2,0)</f>
        <v>74 99461824</v>
      </c>
    </row>
    <row r="2060" spans="1:16" x14ac:dyDescent="0.3">
      <c r="A2060" t="s">
        <v>14673</v>
      </c>
      <c r="B2060" t="s">
        <v>14674</v>
      </c>
      <c r="C2060" t="s">
        <v>14675</v>
      </c>
      <c r="D2060" t="s">
        <v>3225</v>
      </c>
      <c r="E2060" t="s">
        <v>14676</v>
      </c>
      <c r="F2060" t="s">
        <v>14401</v>
      </c>
      <c r="G2060">
        <v>213</v>
      </c>
      <c r="H2060">
        <v>300</v>
      </c>
      <c r="I2060" s="5" t="s">
        <v>14677</v>
      </c>
      <c r="J2060" s="5" t="s">
        <v>14678</v>
      </c>
      <c r="K2060" s="5" t="str">
        <f t="shared" si="64"/>
        <v>https://www.google.com/maps?q=-12.073143, -41.091911</v>
      </c>
      <c r="L2060" s="5" t="str">
        <f t="shared" si="65"/>
        <v>Abrir no Maps</v>
      </c>
      <c r="M2060" t="s">
        <v>14679</v>
      </c>
      <c r="N2060" s="5"/>
      <c r="O2060" t="str">
        <f>VLOOKUP(G2060,'[1]CONFIG.'!$B:$C,2,0)</f>
        <v>DANIEL</v>
      </c>
      <c r="P2060" t="str">
        <f>VLOOKUP(O2060,'[1]CONFIG.'!$C:$D,2,0)</f>
        <v>74 99461824</v>
      </c>
    </row>
    <row r="2061" spans="1:16" x14ac:dyDescent="0.3">
      <c r="A2061" t="s">
        <v>14680</v>
      </c>
      <c r="B2061" t="s">
        <v>14681</v>
      </c>
      <c r="C2061" t="s">
        <v>14682</v>
      </c>
      <c r="D2061" t="s">
        <v>3225</v>
      </c>
      <c r="E2061" t="s">
        <v>14683</v>
      </c>
      <c r="F2061" t="s">
        <v>14684</v>
      </c>
      <c r="G2061">
        <v>213</v>
      </c>
      <c r="H2061">
        <v>300</v>
      </c>
      <c r="I2061" s="5" t="s">
        <v>14685</v>
      </c>
      <c r="J2061" s="5" t="s">
        <v>14686</v>
      </c>
      <c r="K2061" s="5" t="str">
        <f t="shared" si="64"/>
        <v>https://www.google.com/maps?q=-12.081741, -41.096621</v>
      </c>
      <c r="L2061" s="5" t="str">
        <f t="shared" si="65"/>
        <v>Abrir no Maps</v>
      </c>
      <c r="M2061" t="s">
        <v>14687</v>
      </c>
      <c r="N2061" s="5"/>
      <c r="O2061" t="str">
        <f>VLOOKUP(G2061,'[1]CONFIG.'!$B:$C,2,0)</f>
        <v>DANIEL</v>
      </c>
      <c r="P2061" t="str">
        <f>VLOOKUP(O2061,'[1]CONFIG.'!$C:$D,2,0)</f>
        <v>74 99461824</v>
      </c>
    </row>
    <row r="2062" spans="1:16" x14ac:dyDescent="0.3">
      <c r="A2062" t="s">
        <v>14688</v>
      </c>
      <c r="B2062" t="s">
        <v>14689</v>
      </c>
      <c r="C2062" t="s">
        <v>14690</v>
      </c>
      <c r="D2062" t="s">
        <v>3225</v>
      </c>
      <c r="E2062" t="s">
        <v>14691</v>
      </c>
      <c r="F2062" t="s">
        <v>137</v>
      </c>
      <c r="G2062">
        <v>213</v>
      </c>
      <c r="H2062">
        <v>300</v>
      </c>
      <c r="I2062" s="5" t="s">
        <v>14692</v>
      </c>
      <c r="J2062" s="5" t="s">
        <v>14693</v>
      </c>
      <c r="K2062" s="5" t="str">
        <f t="shared" si="64"/>
        <v>https://www.google.com/maps?q=-12.082044, -41.096349</v>
      </c>
      <c r="L2062" s="5" t="str">
        <f t="shared" si="65"/>
        <v>Abrir no Maps</v>
      </c>
      <c r="M2062" t="s">
        <v>14694</v>
      </c>
      <c r="N2062" s="5"/>
      <c r="O2062" t="str">
        <f>VLOOKUP(G2062,'[1]CONFIG.'!$B:$C,2,0)</f>
        <v>DANIEL</v>
      </c>
      <c r="P2062" t="str">
        <f>VLOOKUP(O2062,'[1]CONFIG.'!$C:$D,2,0)</f>
        <v>74 99461824</v>
      </c>
    </row>
    <row r="2063" spans="1:16" x14ac:dyDescent="0.3">
      <c r="A2063" t="s">
        <v>14695</v>
      </c>
      <c r="B2063" t="s">
        <v>14696</v>
      </c>
      <c r="C2063" t="s">
        <v>14697</v>
      </c>
      <c r="D2063" t="s">
        <v>3225</v>
      </c>
      <c r="E2063" t="s">
        <v>14698</v>
      </c>
      <c r="F2063" t="s">
        <v>137</v>
      </c>
      <c r="G2063">
        <v>213</v>
      </c>
      <c r="H2063">
        <v>300</v>
      </c>
      <c r="I2063" s="5" t="s">
        <v>14699</v>
      </c>
      <c r="J2063" s="5" t="s">
        <v>14700</v>
      </c>
      <c r="K2063" s="5" t="str">
        <f t="shared" si="64"/>
        <v>https://www.google.com/maps?q=-12.082969, -41.095148</v>
      </c>
      <c r="L2063" s="5" t="str">
        <f t="shared" si="65"/>
        <v>Abrir no Maps</v>
      </c>
      <c r="M2063" t="s">
        <v>14701</v>
      </c>
      <c r="N2063" s="5"/>
      <c r="O2063" t="str">
        <f>VLOOKUP(G2063,'[1]CONFIG.'!$B:$C,2,0)</f>
        <v>DANIEL</v>
      </c>
      <c r="P2063" t="str">
        <f>VLOOKUP(O2063,'[1]CONFIG.'!$C:$D,2,0)</f>
        <v>74 99461824</v>
      </c>
    </row>
    <row r="2064" spans="1:16" x14ac:dyDescent="0.3">
      <c r="A2064" t="s">
        <v>14702</v>
      </c>
      <c r="B2064" t="s">
        <v>14703</v>
      </c>
      <c r="C2064" t="s">
        <v>14704</v>
      </c>
      <c r="D2064" t="s">
        <v>3225</v>
      </c>
      <c r="E2064" t="s">
        <v>14705</v>
      </c>
      <c r="F2064" t="s">
        <v>137</v>
      </c>
      <c r="G2064">
        <v>213</v>
      </c>
      <c r="H2064">
        <v>300</v>
      </c>
      <c r="I2064" s="5" t="s">
        <v>14706</v>
      </c>
      <c r="J2064" s="5" t="s">
        <v>14707</v>
      </c>
      <c r="K2064" s="5" t="str">
        <f t="shared" si="64"/>
        <v>https://www.google.com/maps?q=-12.082508, -41.097384</v>
      </c>
      <c r="L2064" s="5" t="str">
        <f t="shared" si="65"/>
        <v>Abrir no Maps</v>
      </c>
      <c r="M2064" t="s">
        <v>14708</v>
      </c>
      <c r="N2064" s="5"/>
      <c r="O2064" t="str">
        <f>VLOOKUP(G2064,'[1]CONFIG.'!$B:$C,2,0)</f>
        <v>DANIEL</v>
      </c>
      <c r="P2064" t="str">
        <f>VLOOKUP(O2064,'[1]CONFIG.'!$C:$D,2,0)</f>
        <v>74 99461824</v>
      </c>
    </row>
    <row r="2065" spans="1:16" x14ac:dyDescent="0.3">
      <c r="A2065" t="s">
        <v>14709</v>
      </c>
      <c r="B2065" t="s">
        <v>14710</v>
      </c>
      <c r="C2065" t="s">
        <v>14711</v>
      </c>
      <c r="D2065" t="s">
        <v>3225</v>
      </c>
      <c r="E2065" t="s">
        <v>14712</v>
      </c>
      <c r="F2065" t="s">
        <v>137</v>
      </c>
      <c r="G2065">
        <v>213</v>
      </c>
      <c r="H2065">
        <v>300</v>
      </c>
      <c r="I2065" s="5" t="s">
        <v>14713</v>
      </c>
      <c r="J2065" s="5" t="s">
        <v>14714</v>
      </c>
      <c r="K2065" s="5" t="str">
        <f t="shared" si="64"/>
        <v>https://www.google.com/maps?q=-12.074525, -41.089491</v>
      </c>
      <c r="L2065" s="5" t="str">
        <f t="shared" si="65"/>
        <v>Abrir no Maps</v>
      </c>
      <c r="M2065" t="s">
        <v>14715</v>
      </c>
      <c r="N2065" s="5"/>
      <c r="O2065" t="str">
        <f>VLOOKUP(G2065,'[1]CONFIG.'!$B:$C,2,0)</f>
        <v>DANIEL</v>
      </c>
      <c r="P2065" t="str">
        <f>VLOOKUP(O2065,'[1]CONFIG.'!$C:$D,2,0)</f>
        <v>74 99461824</v>
      </c>
    </row>
    <row r="2066" spans="1:16" x14ac:dyDescent="0.3">
      <c r="A2066" t="s">
        <v>14716</v>
      </c>
      <c r="B2066" t="s">
        <v>14717</v>
      </c>
      <c r="C2066" t="s">
        <v>14718</v>
      </c>
      <c r="D2066" t="s">
        <v>3217</v>
      </c>
      <c r="E2066" t="s">
        <v>14719</v>
      </c>
      <c r="F2066" t="s">
        <v>14720</v>
      </c>
      <c r="G2066">
        <v>215</v>
      </c>
      <c r="H2066">
        <v>300</v>
      </c>
      <c r="I2066" s="5" t="s">
        <v>14721</v>
      </c>
      <c r="J2066" s="5" t="s">
        <v>14722</v>
      </c>
      <c r="K2066" s="5" t="str">
        <f t="shared" si="64"/>
        <v>https://www.google.com/maps?q=-11.052404, -40.780580</v>
      </c>
      <c r="L2066" s="5" t="str">
        <f t="shared" si="65"/>
        <v>Abrir no Maps</v>
      </c>
      <c r="M2066" t="s">
        <v>14723</v>
      </c>
      <c r="N2066" s="5"/>
      <c r="O2066" t="s">
        <v>11509</v>
      </c>
      <c r="P2066" t="e">
        <f>VLOOKUP(O2066,'[1]CONFIG.'!$C:$D,2,0)</f>
        <v>#N/A</v>
      </c>
    </row>
    <row r="2067" spans="1:16" x14ac:dyDescent="0.3">
      <c r="A2067" t="s">
        <v>14724</v>
      </c>
      <c r="B2067" t="s">
        <v>14725</v>
      </c>
      <c r="C2067" t="s">
        <v>14726</v>
      </c>
      <c r="D2067" t="s">
        <v>3217</v>
      </c>
      <c r="E2067" t="s">
        <v>14727</v>
      </c>
      <c r="F2067" t="s">
        <v>14728</v>
      </c>
      <c r="G2067">
        <v>215</v>
      </c>
      <c r="H2067">
        <v>300</v>
      </c>
      <c r="I2067" s="5" t="s">
        <v>14729</v>
      </c>
      <c r="J2067" s="5" t="s">
        <v>14730</v>
      </c>
      <c r="K2067" s="5" t="str">
        <f t="shared" si="64"/>
        <v>https://www.google.com/maps?q=-11.052871, -40.780422</v>
      </c>
      <c r="L2067" s="5" t="str">
        <f t="shared" si="65"/>
        <v>Abrir no Maps</v>
      </c>
      <c r="M2067" t="s">
        <v>14731</v>
      </c>
      <c r="N2067" s="5"/>
      <c r="O2067" t="s">
        <v>11509</v>
      </c>
      <c r="P2067" t="e">
        <f>VLOOKUP(O2067,'[1]CONFIG.'!$C:$D,2,0)</f>
        <v>#N/A</v>
      </c>
    </row>
    <row r="2068" spans="1:16" x14ac:dyDescent="0.3">
      <c r="A2068" t="s">
        <v>14732</v>
      </c>
      <c r="B2068" t="s">
        <v>14733</v>
      </c>
      <c r="C2068" t="s">
        <v>14734</v>
      </c>
      <c r="D2068" t="s">
        <v>3217</v>
      </c>
      <c r="E2068" t="s">
        <v>14735</v>
      </c>
      <c r="F2068" t="s">
        <v>137</v>
      </c>
      <c r="G2068">
        <v>205</v>
      </c>
      <c r="H2068">
        <v>300</v>
      </c>
      <c r="I2068" s="5" t="s">
        <v>14736</v>
      </c>
      <c r="J2068" s="5" t="s">
        <v>14737</v>
      </c>
      <c r="K2068" s="5" t="str">
        <f t="shared" si="64"/>
        <v>https://www.google.com/maps?q=-11.259370, -40.941680</v>
      </c>
      <c r="L2068" s="5" t="str">
        <f t="shared" si="65"/>
        <v>Abrir no Maps</v>
      </c>
      <c r="M2068" t="s">
        <v>14738</v>
      </c>
      <c r="N2068" s="5"/>
      <c r="O2068" t="str">
        <f>VLOOKUP(G2068,'[1]CONFIG.'!$B:$C,2,0)</f>
        <v>EMETIO</v>
      </c>
      <c r="P2068" t="str">
        <f>VLOOKUP(O2068,'[1]CONFIG.'!$C:$D,2,0)</f>
        <v>74 98039589</v>
      </c>
    </row>
    <row r="2069" spans="1:16" x14ac:dyDescent="0.3">
      <c r="A2069" t="s">
        <v>14739</v>
      </c>
      <c r="B2069" t="s">
        <v>14740</v>
      </c>
      <c r="C2069" t="s">
        <v>14741</v>
      </c>
      <c r="D2069" t="s">
        <v>3217</v>
      </c>
      <c r="E2069" t="s">
        <v>14742</v>
      </c>
      <c r="F2069" t="s">
        <v>14720</v>
      </c>
      <c r="G2069">
        <v>215</v>
      </c>
      <c r="H2069">
        <v>300</v>
      </c>
      <c r="I2069" s="5" t="s">
        <v>14743</v>
      </c>
      <c r="J2069" s="5" t="s">
        <v>14744</v>
      </c>
      <c r="K2069" s="5" t="str">
        <f t="shared" si="64"/>
        <v>https://www.google.com/maps?q=-11.052395, -40.781170</v>
      </c>
      <c r="L2069" s="5" t="str">
        <f t="shared" si="65"/>
        <v>Abrir no Maps</v>
      </c>
      <c r="M2069" t="s">
        <v>14745</v>
      </c>
      <c r="N2069" s="5"/>
      <c r="O2069" t="s">
        <v>11509</v>
      </c>
      <c r="P2069" t="e">
        <f>VLOOKUP(O2069,'[1]CONFIG.'!$C:$D,2,0)</f>
        <v>#N/A</v>
      </c>
    </row>
    <row r="2070" spans="1:16" x14ac:dyDescent="0.3">
      <c r="A2070" t="s">
        <v>14746</v>
      </c>
      <c r="B2070" t="s">
        <v>14747</v>
      </c>
      <c r="C2070" t="s">
        <v>14748</v>
      </c>
      <c r="D2070" t="s">
        <v>3217</v>
      </c>
      <c r="E2070" t="s">
        <v>14749</v>
      </c>
      <c r="F2070" t="s">
        <v>14720</v>
      </c>
      <c r="G2070">
        <v>215</v>
      </c>
      <c r="H2070">
        <v>300</v>
      </c>
      <c r="I2070" s="5" t="s">
        <v>14750</v>
      </c>
      <c r="J2070" s="5" t="s">
        <v>14751</v>
      </c>
      <c r="K2070" s="5" t="str">
        <f t="shared" si="64"/>
        <v>https://www.google.com/maps?q=-11.052080, -40.781550</v>
      </c>
      <c r="L2070" s="5" t="str">
        <f t="shared" si="65"/>
        <v>Abrir no Maps</v>
      </c>
      <c r="M2070" t="s">
        <v>14752</v>
      </c>
      <c r="N2070" s="5"/>
      <c r="O2070" t="s">
        <v>11509</v>
      </c>
      <c r="P2070" t="e">
        <f>VLOOKUP(O2070,'[1]CONFIG.'!$C:$D,2,0)</f>
        <v>#N/A</v>
      </c>
    </row>
    <row r="2071" spans="1:16" x14ac:dyDescent="0.3">
      <c r="A2071" t="s">
        <v>14753</v>
      </c>
      <c r="B2071" t="s">
        <v>14754</v>
      </c>
      <c r="C2071" t="s">
        <v>14755</v>
      </c>
      <c r="D2071" t="s">
        <v>3217</v>
      </c>
      <c r="E2071" t="s">
        <v>14756</v>
      </c>
      <c r="F2071" t="s">
        <v>137</v>
      </c>
      <c r="G2071">
        <v>205</v>
      </c>
      <c r="H2071">
        <v>300</v>
      </c>
      <c r="I2071" s="5" t="s">
        <v>14757</v>
      </c>
      <c r="J2071" s="5" t="s">
        <v>14758</v>
      </c>
      <c r="K2071" s="5" t="str">
        <f t="shared" si="64"/>
        <v>https://www.google.com/maps?q=-11.255417, -40.943085</v>
      </c>
      <c r="L2071" s="5" t="str">
        <f t="shared" si="65"/>
        <v>Abrir no Maps</v>
      </c>
      <c r="M2071" t="s">
        <v>14759</v>
      </c>
      <c r="N2071" s="5"/>
      <c r="O2071" t="str">
        <f>VLOOKUP(G2071,'[1]CONFIG.'!$B:$C,2,0)</f>
        <v>EMETIO</v>
      </c>
      <c r="P2071" t="str">
        <f>VLOOKUP(O2071,'[1]CONFIG.'!$C:$D,2,0)</f>
        <v>74 98039589</v>
      </c>
    </row>
    <row r="2072" spans="1:16" x14ac:dyDescent="0.3">
      <c r="A2072" t="s">
        <v>14760</v>
      </c>
      <c r="B2072" t="s">
        <v>14761</v>
      </c>
      <c r="C2072" t="s">
        <v>14762</v>
      </c>
      <c r="D2072" t="s">
        <v>3217</v>
      </c>
      <c r="E2072" t="s">
        <v>14763</v>
      </c>
      <c r="F2072" t="s">
        <v>14764</v>
      </c>
      <c r="G2072">
        <v>205</v>
      </c>
      <c r="H2072">
        <v>300</v>
      </c>
      <c r="I2072" s="5" t="s">
        <v>14765</v>
      </c>
      <c r="J2072" s="5" t="s">
        <v>14766</v>
      </c>
      <c r="K2072" s="5" t="str">
        <f t="shared" si="64"/>
        <v>https://www.google.com/maps?q=-11.260674, -40.942780</v>
      </c>
      <c r="L2072" s="5" t="str">
        <f t="shared" si="65"/>
        <v>Abrir no Maps</v>
      </c>
      <c r="M2072" t="s">
        <v>14767</v>
      </c>
      <c r="N2072" s="5"/>
      <c r="O2072" t="str">
        <f>VLOOKUP(G2072,'[1]CONFIG.'!$B:$C,2,0)</f>
        <v>EMETIO</v>
      </c>
      <c r="P2072" t="str">
        <f>VLOOKUP(O2072,'[1]CONFIG.'!$C:$D,2,0)</f>
        <v>74 98039589</v>
      </c>
    </row>
    <row r="2073" spans="1:16" x14ac:dyDescent="0.3">
      <c r="A2073" t="s">
        <v>14768</v>
      </c>
      <c r="B2073" t="s">
        <v>14769</v>
      </c>
      <c r="C2073" t="s">
        <v>14770</v>
      </c>
      <c r="D2073" t="s">
        <v>3217</v>
      </c>
      <c r="E2073" t="s">
        <v>14771</v>
      </c>
      <c r="F2073" t="s">
        <v>14720</v>
      </c>
      <c r="G2073">
        <v>215</v>
      </c>
      <c r="H2073">
        <v>300</v>
      </c>
      <c r="I2073" s="5" t="s">
        <v>14772</v>
      </c>
      <c r="J2073" s="5" t="s">
        <v>14773</v>
      </c>
      <c r="K2073" s="5" t="str">
        <f t="shared" si="64"/>
        <v>https://www.google.com/maps?q=-11.052758, -40.781540</v>
      </c>
      <c r="L2073" s="5" t="str">
        <f t="shared" si="65"/>
        <v>Abrir no Maps</v>
      </c>
      <c r="M2073" t="s">
        <v>14774</v>
      </c>
      <c r="N2073" s="5"/>
      <c r="O2073" t="s">
        <v>11509</v>
      </c>
      <c r="P2073" t="e">
        <f>VLOOKUP(O2073,'[1]CONFIG.'!$C:$D,2,0)</f>
        <v>#N/A</v>
      </c>
    </row>
    <row r="2074" spans="1:16" x14ac:dyDescent="0.3">
      <c r="A2074" t="s">
        <v>14775</v>
      </c>
      <c r="B2074" t="s">
        <v>14776</v>
      </c>
      <c r="C2074" t="s">
        <v>14777</v>
      </c>
      <c r="D2074" t="s">
        <v>3217</v>
      </c>
      <c r="E2074" t="s">
        <v>14778</v>
      </c>
      <c r="F2074" t="s">
        <v>137</v>
      </c>
      <c r="G2074">
        <v>205</v>
      </c>
      <c r="H2074">
        <v>300</v>
      </c>
      <c r="I2074" s="5" t="s">
        <v>14779</v>
      </c>
      <c r="J2074" s="5" t="s">
        <v>14780</v>
      </c>
      <c r="K2074" s="5" t="str">
        <f t="shared" si="64"/>
        <v>https://www.google.com/maps?q=-11.256775, -40.942207</v>
      </c>
      <c r="L2074" s="5" t="str">
        <f t="shared" si="65"/>
        <v>Abrir no Maps</v>
      </c>
      <c r="M2074" t="s">
        <v>14781</v>
      </c>
      <c r="N2074" s="5"/>
      <c r="O2074" t="str">
        <f>VLOOKUP(G2074,'[1]CONFIG.'!$B:$C,2,0)</f>
        <v>EMETIO</v>
      </c>
      <c r="P2074" t="str">
        <f>VLOOKUP(O2074,'[1]CONFIG.'!$C:$D,2,0)</f>
        <v>74 98039589</v>
      </c>
    </row>
    <row r="2075" spans="1:16" x14ac:dyDescent="0.3">
      <c r="A2075" t="s">
        <v>14782</v>
      </c>
      <c r="B2075" t="s">
        <v>14783</v>
      </c>
      <c r="C2075" t="s">
        <v>14784</v>
      </c>
      <c r="D2075" t="s">
        <v>14785</v>
      </c>
      <c r="E2075" t="s">
        <v>14786</v>
      </c>
      <c r="F2075" t="s">
        <v>11784</v>
      </c>
      <c r="G2075">
        <v>215</v>
      </c>
      <c r="H2075">
        <v>300</v>
      </c>
      <c r="I2075" s="5" t="s">
        <v>14787</v>
      </c>
      <c r="J2075" s="5" t="s">
        <v>14788</v>
      </c>
      <c r="K2075" s="5" t="str">
        <f t="shared" si="64"/>
        <v>https://www.google.com/maps?q=-10.973227, -40.767403</v>
      </c>
      <c r="L2075" s="5" t="str">
        <f t="shared" si="65"/>
        <v>Abrir no Maps</v>
      </c>
      <c r="M2075" t="s">
        <v>14789</v>
      </c>
      <c r="N2075" s="5"/>
      <c r="O2075" t="s">
        <v>11509</v>
      </c>
      <c r="P2075" t="e">
        <f>VLOOKUP(O2075,'[1]CONFIG.'!$C:$D,2,0)</f>
        <v>#N/A</v>
      </c>
    </row>
    <row r="2076" spans="1:16" x14ac:dyDescent="0.3">
      <c r="A2076" t="s">
        <v>14790</v>
      </c>
      <c r="B2076" t="s">
        <v>14791</v>
      </c>
      <c r="C2076" t="s">
        <v>14792</v>
      </c>
      <c r="D2076" t="s">
        <v>3217</v>
      </c>
      <c r="E2076" t="s">
        <v>14793</v>
      </c>
      <c r="F2076" t="s">
        <v>14728</v>
      </c>
      <c r="G2076">
        <v>215</v>
      </c>
      <c r="H2076">
        <v>300</v>
      </c>
      <c r="I2076" s="5" t="s">
        <v>14794</v>
      </c>
      <c r="J2076" s="5" t="s">
        <v>14795</v>
      </c>
      <c r="K2076" s="5" t="str">
        <f t="shared" si="64"/>
        <v>https://www.google.com/maps?q=-11.051855, -40.781845</v>
      </c>
      <c r="L2076" s="5" t="str">
        <f t="shared" si="65"/>
        <v>Abrir no Maps</v>
      </c>
      <c r="M2076" t="s">
        <v>14796</v>
      </c>
      <c r="N2076" s="5"/>
      <c r="O2076" t="s">
        <v>11509</v>
      </c>
      <c r="P2076" t="e">
        <f>VLOOKUP(O2076,'[1]CONFIG.'!$C:$D,2,0)</f>
        <v>#N/A</v>
      </c>
    </row>
    <row r="2077" spans="1:16" x14ac:dyDescent="0.3">
      <c r="A2077" t="s">
        <v>14797</v>
      </c>
      <c r="B2077" t="s">
        <v>14798</v>
      </c>
      <c r="C2077" t="s">
        <v>14799</v>
      </c>
      <c r="D2077" t="s">
        <v>3217</v>
      </c>
      <c r="E2077" t="s">
        <v>14800</v>
      </c>
      <c r="F2077" t="s">
        <v>14728</v>
      </c>
      <c r="G2077">
        <v>215</v>
      </c>
      <c r="H2077">
        <v>300</v>
      </c>
      <c r="I2077" s="5" t="s">
        <v>14801</v>
      </c>
      <c r="J2077" s="5" t="s">
        <v>14802</v>
      </c>
      <c r="K2077" s="5" t="str">
        <f t="shared" si="64"/>
        <v>https://www.google.com/maps?q=-11.052478, -40.780518</v>
      </c>
      <c r="L2077" s="5" t="str">
        <f t="shared" si="65"/>
        <v>Abrir no Maps</v>
      </c>
      <c r="M2077" t="s">
        <v>14803</v>
      </c>
      <c r="N2077" s="5"/>
      <c r="O2077" t="s">
        <v>11509</v>
      </c>
      <c r="P2077" t="e">
        <f>VLOOKUP(O2077,'[1]CONFIG.'!$C:$D,2,0)</f>
        <v>#N/A</v>
      </c>
    </row>
    <row r="2078" spans="1:16" x14ac:dyDescent="0.3">
      <c r="A2078" t="s">
        <v>14804</v>
      </c>
      <c r="B2078" t="s">
        <v>14805</v>
      </c>
      <c r="C2078" t="s">
        <v>14806</v>
      </c>
      <c r="D2078" t="s">
        <v>3217</v>
      </c>
      <c r="E2078" t="s">
        <v>14807</v>
      </c>
      <c r="F2078" t="s">
        <v>14808</v>
      </c>
      <c r="G2078">
        <v>215</v>
      </c>
      <c r="H2078">
        <v>300</v>
      </c>
      <c r="I2078" s="5" t="s">
        <v>14809</v>
      </c>
      <c r="J2078" s="5" t="s">
        <v>14810</v>
      </c>
      <c r="K2078" s="5" t="str">
        <f t="shared" si="64"/>
        <v>https://www.google.com/maps?q=-11.051694, -40.781822</v>
      </c>
      <c r="L2078" s="5" t="str">
        <f t="shared" si="65"/>
        <v>Abrir no Maps</v>
      </c>
      <c r="M2078" t="s">
        <v>14811</v>
      </c>
      <c r="N2078" s="5"/>
      <c r="O2078" t="s">
        <v>11509</v>
      </c>
      <c r="P2078" t="e">
        <f>VLOOKUP(O2078,'[1]CONFIG.'!$C:$D,2,0)</f>
        <v>#N/A</v>
      </c>
    </row>
    <row r="2079" spans="1:16" x14ac:dyDescent="0.3">
      <c r="A2079" t="s">
        <v>14812</v>
      </c>
      <c r="B2079" t="s">
        <v>14813</v>
      </c>
      <c r="C2079" t="s">
        <v>14814</v>
      </c>
      <c r="D2079" t="s">
        <v>3217</v>
      </c>
      <c r="E2079" t="s">
        <v>14815</v>
      </c>
      <c r="F2079" t="s">
        <v>137</v>
      </c>
      <c r="G2079">
        <v>205</v>
      </c>
      <c r="H2079">
        <v>300</v>
      </c>
      <c r="I2079" s="5" t="s">
        <v>14816</v>
      </c>
      <c r="J2079" s="5" t="s">
        <v>14817</v>
      </c>
      <c r="K2079" s="5" t="str">
        <f t="shared" si="64"/>
        <v>https://www.google.com/maps?q=-11.253214, -40.946465</v>
      </c>
      <c r="L2079" s="5" t="str">
        <f t="shared" si="65"/>
        <v>Abrir no Maps</v>
      </c>
      <c r="M2079" t="s">
        <v>14818</v>
      </c>
      <c r="N2079" s="5"/>
      <c r="O2079" t="str">
        <f>VLOOKUP(G2079,'[1]CONFIG.'!$B:$C,2,0)</f>
        <v>EMETIO</v>
      </c>
      <c r="P2079" t="str">
        <f>VLOOKUP(O2079,'[1]CONFIG.'!$C:$D,2,0)</f>
        <v>74 98039589</v>
      </c>
    </row>
    <row r="2080" spans="1:16" x14ac:dyDescent="0.3">
      <c r="A2080" t="s">
        <v>14819</v>
      </c>
      <c r="B2080" t="s">
        <v>14820</v>
      </c>
      <c r="C2080" t="s">
        <v>14821</v>
      </c>
      <c r="D2080" t="s">
        <v>3217</v>
      </c>
      <c r="E2080" t="s">
        <v>14822</v>
      </c>
      <c r="F2080" t="s">
        <v>14728</v>
      </c>
      <c r="G2080">
        <v>215</v>
      </c>
      <c r="H2080">
        <v>300</v>
      </c>
      <c r="I2080" s="5" t="s">
        <v>14823</v>
      </c>
      <c r="J2080" s="5" t="s">
        <v>14824</v>
      </c>
      <c r="K2080" s="5" t="str">
        <f t="shared" si="64"/>
        <v>https://www.google.com/maps?q=-11.055237, -40.783028</v>
      </c>
      <c r="L2080" s="5" t="str">
        <f t="shared" si="65"/>
        <v>Abrir no Maps</v>
      </c>
      <c r="M2080" t="s">
        <v>14825</v>
      </c>
      <c r="N2080" s="5"/>
      <c r="O2080" t="s">
        <v>11509</v>
      </c>
      <c r="P2080" t="e">
        <f>VLOOKUP(O2080,'[1]CONFIG.'!$C:$D,2,0)</f>
        <v>#N/A</v>
      </c>
    </row>
    <row r="2081" spans="1:16" x14ac:dyDescent="0.3">
      <c r="A2081" t="s">
        <v>14826</v>
      </c>
      <c r="B2081" t="s">
        <v>14827</v>
      </c>
      <c r="C2081" t="s">
        <v>14828</v>
      </c>
      <c r="D2081" t="s">
        <v>3217</v>
      </c>
      <c r="E2081" t="s">
        <v>14829</v>
      </c>
      <c r="F2081" t="s">
        <v>10763</v>
      </c>
      <c r="G2081">
        <v>205</v>
      </c>
      <c r="H2081">
        <v>300</v>
      </c>
      <c r="I2081" s="5" t="s">
        <v>14830</v>
      </c>
      <c r="J2081" s="5" t="s">
        <v>14831</v>
      </c>
      <c r="K2081" s="5" t="str">
        <f t="shared" si="64"/>
        <v>https://www.google.com/maps?q=-11.273125, -41.019540</v>
      </c>
      <c r="L2081" s="5" t="str">
        <f t="shared" si="65"/>
        <v>Abrir no Maps</v>
      </c>
      <c r="M2081" t="s">
        <v>14832</v>
      </c>
      <c r="N2081" s="5"/>
      <c r="O2081" t="str">
        <f>VLOOKUP(G2081,'[1]CONFIG.'!$B:$C,2,0)</f>
        <v>EMETIO</v>
      </c>
      <c r="P2081" t="str">
        <f>VLOOKUP(O2081,'[1]CONFIG.'!$C:$D,2,0)</f>
        <v>74 98039589</v>
      </c>
    </row>
    <row r="2082" spans="1:16" x14ac:dyDescent="0.3">
      <c r="A2082" t="s">
        <v>14833</v>
      </c>
      <c r="B2082" t="s">
        <v>14834</v>
      </c>
      <c r="C2082" t="s">
        <v>14835</v>
      </c>
      <c r="D2082" t="s">
        <v>3217</v>
      </c>
      <c r="E2082" t="s">
        <v>14836</v>
      </c>
      <c r="F2082" t="s">
        <v>137</v>
      </c>
      <c r="G2082">
        <v>205</v>
      </c>
      <c r="H2082">
        <v>300</v>
      </c>
      <c r="I2082" s="5" t="s">
        <v>14837</v>
      </c>
      <c r="J2082" s="5" t="s">
        <v>14838</v>
      </c>
      <c r="K2082" s="5" t="str">
        <f t="shared" si="64"/>
        <v>https://www.google.com/maps?q=-11.257112, -40.942130</v>
      </c>
      <c r="L2082" s="5" t="str">
        <f t="shared" si="65"/>
        <v>Abrir no Maps</v>
      </c>
      <c r="M2082" t="s">
        <v>14839</v>
      </c>
      <c r="N2082" s="5"/>
      <c r="O2082" t="str">
        <f>VLOOKUP(G2082,'[1]CONFIG.'!$B:$C,2,0)</f>
        <v>EMETIO</v>
      </c>
      <c r="P2082" t="str">
        <f>VLOOKUP(O2082,'[1]CONFIG.'!$C:$D,2,0)</f>
        <v>74 98039589</v>
      </c>
    </row>
    <row r="2083" spans="1:16" x14ac:dyDescent="0.3">
      <c r="A2083" t="s">
        <v>14840</v>
      </c>
      <c r="B2083" t="s">
        <v>14841</v>
      </c>
      <c r="C2083" t="s">
        <v>14842</v>
      </c>
      <c r="D2083" t="s">
        <v>3217</v>
      </c>
      <c r="E2083" t="s">
        <v>14843</v>
      </c>
      <c r="F2083" t="s">
        <v>14844</v>
      </c>
      <c r="G2083">
        <v>215</v>
      </c>
      <c r="H2083">
        <v>300</v>
      </c>
      <c r="I2083" s="5" t="s">
        <v>14845</v>
      </c>
      <c r="J2083" s="5" t="s">
        <v>14846</v>
      </c>
      <c r="K2083" s="5" t="str">
        <f t="shared" si="64"/>
        <v>https://www.google.com/maps?q=-11.052443, -40.781036</v>
      </c>
      <c r="L2083" s="5" t="str">
        <f t="shared" si="65"/>
        <v>Abrir no Maps</v>
      </c>
      <c r="M2083" t="s">
        <v>14847</v>
      </c>
      <c r="N2083" s="5"/>
      <c r="O2083" t="s">
        <v>11509</v>
      </c>
      <c r="P2083" t="e">
        <f>VLOOKUP(O2083,'[1]CONFIG.'!$C:$D,2,0)</f>
        <v>#N/A</v>
      </c>
    </row>
    <row r="2084" spans="1:16" x14ac:dyDescent="0.3">
      <c r="A2084" t="s">
        <v>14848</v>
      </c>
      <c r="B2084" t="s">
        <v>14849</v>
      </c>
      <c r="C2084" t="s">
        <v>14850</v>
      </c>
      <c r="D2084" t="s">
        <v>3217</v>
      </c>
      <c r="E2084" t="s">
        <v>14851</v>
      </c>
      <c r="F2084" t="s">
        <v>14852</v>
      </c>
      <c r="G2084">
        <v>215</v>
      </c>
      <c r="H2084">
        <v>300</v>
      </c>
      <c r="I2084" s="5" t="s">
        <v>14853</v>
      </c>
      <c r="J2084" s="5" t="s">
        <v>14854</v>
      </c>
      <c r="K2084" s="5" t="str">
        <f t="shared" si="64"/>
        <v>https://www.google.com/maps?q=-11.053213, -40.779640</v>
      </c>
      <c r="L2084" s="5" t="str">
        <f t="shared" si="65"/>
        <v>Abrir no Maps</v>
      </c>
      <c r="M2084" t="s">
        <v>14855</v>
      </c>
      <c r="N2084" s="5"/>
      <c r="O2084" t="s">
        <v>11509</v>
      </c>
      <c r="P2084" t="e">
        <f>VLOOKUP(O2084,'[1]CONFIG.'!$C:$D,2,0)</f>
        <v>#N/A</v>
      </c>
    </row>
    <row r="2085" spans="1:16" x14ac:dyDescent="0.3">
      <c r="A2085" t="s">
        <v>14856</v>
      </c>
      <c r="B2085" t="s">
        <v>14857</v>
      </c>
      <c r="C2085" t="s">
        <v>14858</v>
      </c>
      <c r="D2085" t="s">
        <v>3217</v>
      </c>
      <c r="E2085" t="s">
        <v>14859</v>
      </c>
      <c r="F2085" t="s">
        <v>10763</v>
      </c>
      <c r="G2085">
        <v>205</v>
      </c>
      <c r="H2085">
        <v>300</v>
      </c>
      <c r="I2085" s="5" t="s">
        <v>14860</v>
      </c>
      <c r="J2085" s="5" t="s">
        <v>14861</v>
      </c>
      <c r="K2085" s="5" t="str">
        <f t="shared" si="64"/>
        <v>https://www.google.com/maps?q=-11.275556, -41.020557</v>
      </c>
      <c r="L2085" s="5" t="str">
        <f t="shared" si="65"/>
        <v>Abrir no Maps</v>
      </c>
      <c r="M2085" t="s">
        <v>14862</v>
      </c>
      <c r="N2085" s="5"/>
      <c r="O2085" t="str">
        <f>VLOOKUP(G2085,'[1]CONFIG.'!$B:$C,2,0)</f>
        <v>EMETIO</v>
      </c>
      <c r="P2085" t="str">
        <f>VLOOKUP(O2085,'[1]CONFIG.'!$C:$D,2,0)</f>
        <v>74 98039589</v>
      </c>
    </row>
    <row r="2086" spans="1:16" x14ac:dyDescent="0.3">
      <c r="A2086" t="s">
        <v>14863</v>
      </c>
      <c r="B2086" t="s">
        <v>14864</v>
      </c>
      <c r="C2086" t="s">
        <v>14865</v>
      </c>
      <c r="D2086" t="s">
        <v>14866</v>
      </c>
      <c r="E2086" t="s">
        <v>14867</v>
      </c>
      <c r="F2086" t="s">
        <v>137</v>
      </c>
      <c r="G2086">
        <v>215</v>
      </c>
      <c r="H2086">
        <v>300</v>
      </c>
      <c r="I2086" s="5" t="s">
        <v>14868</v>
      </c>
      <c r="J2086" s="5" t="s">
        <v>14869</v>
      </c>
      <c r="K2086" s="5" t="str">
        <f t="shared" si="64"/>
        <v>https://www.google.com/maps?q=-10.955061, -40.575462</v>
      </c>
      <c r="L2086" s="5" t="str">
        <f t="shared" si="65"/>
        <v>Abrir no Maps</v>
      </c>
      <c r="M2086" t="s">
        <v>14870</v>
      </c>
      <c r="N2086" s="5"/>
      <c r="O2086" t="s">
        <v>11509</v>
      </c>
      <c r="P2086" t="e">
        <f>VLOOKUP(O2086,'[1]CONFIG.'!$C:$D,2,0)</f>
        <v>#N/A</v>
      </c>
    </row>
    <row r="2087" spans="1:16" x14ac:dyDescent="0.3">
      <c r="A2087" t="s">
        <v>14871</v>
      </c>
      <c r="B2087" t="s">
        <v>14872</v>
      </c>
      <c r="C2087" t="s">
        <v>14873</v>
      </c>
      <c r="D2087" t="s">
        <v>14866</v>
      </c>
      <c r="E2087" t="s">
        <v>14874</v>
      </c>
      <c r="F2087" t="s">
        <v>14875</v>
      </c>
      <c r="G2087">
        <v>215</v>
      </c>
      <c r="H2087">
        <v>300</v>
      </c>
      <c r="I2087" s="5" t="s">
        <v>14876</v>
      </c>
      <c r="J2087" s="5" t="s">
        <v>14877</v>
      </c>
      <c r="K2087" s="5" t="str">
        <f t="shared" si="64"/>
        <v>https://www.google.com/maps?q=-10.954463, -40.575690</v>
      </c>
      <c r="L2087" s="5" t="str">
        <f t="shared" si="65"/>
        <v>Abrir no Maps</v>
      </c>
      <c r="M2087" t="s">
        <v>14878</v>
      </c>
      <c r="N2087" s="5"/>
      <c r="O2087" t="s">
        <v>11509</v>
      </c>
      <c r="P2087" t="e">
        <f>VLOOKUP(O2087,'[1]CONFIG.'!$C:$D,2,0)</f>
        <v>#N/A</v>
      </c>
    </row>
    <row r="2088" spans="1:16" x14ac:dyDescent="0.3">
      <c r="A2088" t="s">
        <v>14879</v>
      </c>
      <c r="B2088" t="s">
        <v>14880</v>
      </c>
      <c r="C2088" t="s">
        <v>14881</v>
      </c>
      <c r="D2088" t="s">
        <v>14866</v>
      </c>
      <c r="E2088" t="s">
        <v>14882</v>
      </c>
      <c r="F2088" t="s">
        <v>137</v>
      </c>
      <c r="G2088">
        <v>215</v>
      </c>
      <c r="H2088">
        <v>300</v>
      </c>
      <c r="I2088" s="5" t="s">
        <v>14883</v>
      </c>
      <c r="J2088" s="5" t="s">
        <v>14884</v>
      </c>
      <c r="K2088" s="5" t="str">
        <f t="shared" si="64"/>
        <v>https://www.google.com/maps?q=-10.954304, -40.575700</v>
      </c>
      <c r="L2088" s="5" t="str">
        <f t="shared" si="65"/>
        <v>Abrir no Maps</v>
      </c>
      <c r="M2088" t="s">
        <v>14885</v>
      </c>
      <c r="N2088" s="5"/>
      <c r="O2088" t="s">
        <v>11509</v>
      </c>
      <c r="P2088" t="e">
        <f>VLOOKUP(O2088,'[1]CONFIG.'!$C:$D,2,0)</f>
        <v>#N/A</v>
      </c>
    </row>
    <row r="2089" spans="1:16" x14ac:dyDescent="0.3">
      <c r="A2089" t="s">
        <v>14886</v>
      </c>
      <c r="B2089" t="s">
        <v>14887</v>
      </c>
      <c r="C2089" t="s">
        <v>14888</v>
      </c>
      <c r="D2089" t="s">
        <v>14866</v>
      </c>
      <c r="E2089" t="s">
        <v>14889</v>
      </c>
      <c r="F2089" t="s">
        <v>137</v>
      </c>
      <c r="G2089">
        <v>215</v>
      </c>
      <c r="H2089">
        <v>300</v>
      </c>
      <c r="I2089" s="5" t="s">
        <v>14890</v>
      </c>
      <c r="J2089" s="5" t="s">
        <v>14891</v>
      </c>
      <c r="K2089" s="5" t="str">
        <f t="shared" si="64"/>
        <v>https://www.google.com/maps?q=-10.954056, -40.576090</v>
      </c>
      <c r="L2089" s="5" t="str">
        <f t="shared" si="65"/>
        <v>Abrir no Maps</v>
      </c>
      <c r="M2089" t="s">
        <v>14892</v>
      </c>
      <c r="N2089" s="5"/>
      <c r="O2089" t="s">
        <v>11509</v>
      </c>
      <c r="P2089" t="e">
        <f>VLOOKUP(O2089,'[1]CONFIG.'!$C:$D,2,0)</f>
        <v>#N/A</v>
      </c>
    </row>
    <row r="2090" spans="1:16" x14ac:dyDescent="0.3">
      <c r="A2090" t="s">
        <v>14893</v>
      </c>
      <c r="B2090" t="s">
        <v>14894</v>
      </c>
      <c r="C2090" t="s">
        <v>14895</v>
      </c>
      <c r="D2090" t="s">
        <v>14866</v>
      </c>
      <c r="E2090" t="s">
        <v>14896</v>
      </c>
      <c r="F2090" t="s">
        <v>14897</v>
      </c>
      <c r="G2090">
        <v>215</v>
      </c>
      <c r="H2090">
        <v>300</v>
      </c>
      <c r="I2090" s="5" t="s">
        <v>14898</v>
      </c>
      <c r="J2090" s="5" t="s">
        <v>14899</v>
      </c>
      <c r="K2090" s="5" t="str">
        <f t="shared" si="64"/>
        <v>https://www.google.com/maps?q=-10.890620, -40.701077</v>
      </c>
      <c r="L2090" s="5" t="str">
        <f t="shared" si="65"/>
        <v>Abrir no Maps</v>
      </c>
      <c r="M2090" t="s">
        <v>14900</v>
      </c>
      <c r="N2090" s="5"/>
      <c r="O2090" t="s">
        <v>11509</v>
      </c>
      <c r="P2090" t="e">
        <f>VLOOKUP(O2090,'[1]CONFIG.'!$C:$D,2,0)</f>
        <v>#N/A</v>
      </c>
    </row>
    <row r="2091" spans="1:16" x14ac:dyDescent="0.3">
      <c r="A2091" t="s">
        <v>14901</v>
      </c>
      <c r="B2091" t="s">
        <v>14902</v>
      </c>
      <c r="C2091" t="s">
        <v>14903</v>
      </c>
      <c r="D2091" t="s">
        <v>14785</v>
      </c>
      <c r="E2091" t="s">
        <v>14904</v>
      </c>
      <c r="F2091" t="s">
        <v>14852</v>
      </c>
      <c r="G2091">
        <v>215</v>
      </c>
      <c r="H2091">
        <v>300</v>
      </c>
      <c r="I2091" s="5" t="s">
        <v>14905</v>
      </c>
      <c r="J2091" s="5" t="s">
        <v>14906</v>
      </c>
      <c r="K2091" s="5" t="str">
        <f t="shared" si="64"/>
        <v>https://www.google.com/maps?q=-11.052513, -40.780350</v>
      </c>
      <c r="L2091" s="5" t="str">
        <f t="shared" si="65"/>
        <v>Abrir no Maps</v>
      </c>
      <c r="M2091" t="s">
        <v>14907</v>
      </c>
      <c r="N2091" s="5"/>
      <c r="O2091" t="s">
        <v>11509</v>
      </c>
      <c r="P2091" t="e">
        <f>VLOOKUP(O2091,'[1]CONFIG.'!$C:$D,2,0)</f>
        <v>#N/A</v>
      </c>
    </row>
    <row r="2092" spans="1:16" x14ac:dyDescent="0.3">
      <c r="A2092" t="s">
        <v>14908</v>
      </c>
      <c r="B2092" t="s">
        <v>14909</v>
      </c>
      <c r="C2092" t="s">
        <v>14910</v>
      </c>
      <c r="D2092" t="s">
        <v>14866</v>
      </c>
      <c r="E2092" t="s">
        <v>14911</v>
      </c>
      <c r="F2092" t="s">
        <v>137</v>
      </c>
      <c r="G2092">
        <v>215</v>
      </c>
      <c r="H2092">
        <v>300</v>
      </c>
      <c r="I2092" s="5" t="s">
        <v>14912</v>
      </c>
      <c r="J2092" s="5" t="s">
        <v>14913</v>
      </c>
      <c r="K2092" s="5" t="str">
        <f t="shared" si="64"/>
        <v>https://www.google.com/maps?q=-10.954783, -40.575264</v>
      </c>
      <c r="L2092" s="5" t="str">
        <f t="shared" si="65"/>
        <v>Abrir no Maps</v>
      </c>
      <c r="M2092" t="s">
        <v>14914</v>
      </c>
      <c r="N2092" s="5"/>
      <c r="O2092" t="s">
        <v>11509</v>
      </c>
      <c r="P2092" t="e">
        <f>VLOOKUP(O2092,'[1]CONFIG.'!$C:$D,2,0)</f>
        <v>#N/A</v>
      </c>
    </row>
    <row r="2093" spans="1:16" x14ac:dyDescent="0.3">
      <c r="A2093" t="s">
        <v>14915</v>
      </c>
      <c r="B2093" t="s">
        <v>14916</v>
      </c>
      <c r="C2093" t="s">
        <v>14917</v>
      </c>
      <c r="D2093" t="s">
        <v>3217</v>
      </c>
      <c r="E2093" t="s">
        <v>14918</v>
      </c>
      <c r="F2093" t="s">
        <v>14919</v>
      </c>
      <c r="G2093">
        <v>205</v>
      </c>
      <c r="H2093">
        <v>300</v>
      </c>
      <c r="I2093" s="5" t="s">
        <v>14920</v>
      </c>
      <c r="J2093" s="5" t="s">
        <v>14921</v>
      </c>
      <c r="K2093" s="5" t="str">
        <f t="shared" si="64"/>
        <v>https://www.google.com/maps?q=-11.201623, -41.028110</v>
      </c>
      <c r="L2093" s="5" t="str">
        <f t="shared" si="65"/>
        <v>Abrir no Maps</v>
      </c>
      <c r="M2093" t="s">
        <v>14922</v>
      </c>
      <c r="N2093" s="5"/>
      <c r="O2093" t="str">
        <f>VLOOKUP(G2093,'[1]CONFIG.'!$B:$C,2,0)</f>
        <v>EMETIO</v>
      </c>
      <c r="P2093" t="str">
        <f>VLOOKUP(O2093,'[1]CONFIG.'!$C:$D,2,0)</f>
        <v>74 98039589</v>
      </c>
    </row>
    <row r="2094" spans="1:16" x14ac:dyDescent="0.3">
      <c r="A2094" t="s">
        <v>14923</v>
      </c>
      <c r="B2094" t="s">
        <v>14924</v>
      </c>
      <c r="C2094" t="s">
        <v>14925</v>
      </c>
      <c r="D2094" t="s">
        <v>3217</v>
      </c>
      <c r="E2094" t="s">
        <v>14926</v>
      </c>
      <c r="F2094" t="s">
        <v>14919</v>
      </c>
      <c r="G2094">
        <v>205</v>
      </c>
      <c r="H2094">
        <v>300</v>
      </c>
      <c r="I2094" s="5" t="s">
        <v>14927</v>
      </c>
      <c r="J2094" s="5" t="s">
        <v>14928</v>
      </c>
      <c r="K2094" s="5" t="str">
        <f t="shared" si="64"/>
        <v>https://www.google.com/maps?q=-11.202880, -41.028313</v>
      </c>
      <c r="L2094" s="5" t="str">
        <f t="shared" si="65"/>
        <v>Abrir no Maps</v>
      </c>
      <c r="M2094" t="s">
        <v>14929</v>
      </c>
      <c r="N2094" s="5"/>
      <c r="O2094" t="str">
        <f>VLOOKUP(G2094,'[1]CONFIG.'!$B:$C,2,0)</f>
        <v>EMETIO</v>
      </c>
      <c r="P2094" t="str">
        <f>VLOOKUP(O2094,'[1]CONFIG.'!$C:$D,2,0)</f>
        <v>74 98039589</v>
      </c>
    </row>
    <row r="2095" spans="1:16" x14ac:dyDescent="0.3">
      <c r="A2095" t="s">
        <v>14930</v>
      </c>
      <c r="B2095" t="s">
        <v>14931</v>
      </c>
      <c r="C2095" t="s">
        <v>14932</v>
      </c>
      <c r="D2095" t="s">
        <v>14866</v>
      </c>
      <c r="E2095" t="s">
        <v>14933</v>
      </c>
      <c r="F2095" t="s">
        <v>137</v>
      </c>
      <c r="G2095">
        <v>215</v>
      </c>
      <c r="H2095">
        <v>300</v>
      </c>
      <c r="I2095" s="5" t="s">
        <v>14934</v>
      </c>
      <c r="J2095" s="5" t="s">
        <v>14935</v>
      </c>
      <c r="K2095" s="5" t="str">
        <f t="shared" si="64"/>
        <v>https://www.google.com/maps?q=-10.956116, -40.574936</v>
      </c>
      <c r="L2095" s="5" t="str">
        <f t="shared" si="65"/>
        <v>Abrir no Maps</v>
      </c>
      <c r="M2095" t="s">
        <v>14936</v>
      </c>
      <c r="N2095" s="5"/>
      <c r="O2095" t="s">
        <v>11509</v>
      </c>
      <c r="P2095" t="e">
        <f>VLOOKUP(O2095,'[1]CONFIG.'!$C:$D,2,0)</f>
        <v>#N/A</v>
      </c>
    </row>
    <row r="2096" spans="1:16" x14ac:dyDescent="0.3">
      <c r="A2096" t="s">
        <v>14937</v>
      </c>
      <c r="B2096" t="s">
        <v>14938</v>
      </c>
      <c r="C2096" t="s">
        <v>14939</v>
      </c>
      <c r="D2096" t="s">
        <v>14866</v>
      </c>
      <c r="E2096" t="s">
        <v>14940</v>
      </c>
      <c r="F2096" t="s">
        <v>14897</v>
      </c>
      <c r="G2096">
        <v>215</v>
      </c>
      <c r="H2096">
        <v>300</v>
      </c>
      <c r="I2096" s="5" t="s">
        <v>14941</v>
      </c>
      <c r="J2096" s="5" t="s">
        <v>14942</v>
      </c>
      <c r="K2096" s="5" t="str">
        <f t="shared" si="64"/>
        <v>https://www.google.com/maps?q=-10.890352, -40.698612</v>
      </c>
      <c r="L2096" s="5" t="str">
        <f t="shared" si="65"/>
        <v>Abrir no Maps</v>
      </c>
      <c r="M2096" t="s">
        <v>14943</v>
      </c>
      <c r="N2096" s="5"/>
      <c r="O2096" t="s">
        <v>11509</v>
      </c>
      <c r="P2096" t="e">
        <f>VLOOKUP(O2096,'[1]CONFIG.'!$C:$D,2,0)</f>
        <v>#N/A</v>
      </c>
    </row>
    <row r="2097" spans="1:16" x14ac:dyDescent="0.3">
      <c r="A2097" t="s">
        <v>14944</v>
      </c>
      <c r="B2097" t="s">
        <v>14945</v>
      </c>
      <c r="C2097" t="s">
        <v>14946</v>
      </c>
      <c r="D2097" t="s">
        <v>14866</v>
      </c>
      <c r="E2097" t="s">
        <v>14947</v>
      </c>
      <c r="F2097" t="s">
        <v>11784</v>
      </c>
      <c r="G2097">
        <v>215</v>
      </c>
      <c r="H2097">
        <v>300</v>
      </c>
      <c r="I2097" s="5" t="s">
        <v>14948</v>
      </c>
      <c r="J2097" s="5" t="s">
        <v>14949</v>
      </c>
      <c r="K2097" s="5" t="str">
        <f t="shared" si="64"/>
        <v>https://www.google.com/maps?q=-10.975185, -40.765340</v>
      </c>
      <c r="L2097" s="5" t="str">
        <f t="shared" si="65"/>
        <v>Abrir no Maps</v>
      </c>
      <c r="M2097">
        <v>0</v>
      </c>
      <c r="N2097" s="5"/>
      <c r="O2097" t="s">
        <v>11509</v>
      </c>
      <c r="P2097" t="e">
        <f>VLOOKUP(O2097,'[1]CONFIG.'!$C:$D,2,0)</f>
        <v>#N/A</v>
      </c>
    </row>
    <row r="2098" spans="1:16" x14ac:dyDescent="0.3">
      <c r="A2098" t="s">
        <v>14950</v>
      </c>
      <c r="B2098" t="s">
        <v>14951</v>
      </c>
      <c r="C2098" t="s">
        <v>14952</v>
      </c>
      <c r="D2098" t="s">
        <v>3217</v>
      </c>
      <c r="E2098" t="s">
        <v>14953</v>
      </c>
      <c r="F2098" t="s">
        <v>14852</v>
      </c>
      <c r="G2098">
        <v>215</v>
      </c>
      <c r="H2098">
        <v>300</v>
      </c>
      <c r="I2098" s="5" t="s">
        <v>14954</v>
      </c>
      <c r="J2098" s="5" t="s">
        <v>14955</v>
      </c>
      <c r="K2098" s="5" t="str">
        <f t="shared" si="64"/>
        <v>https://www.google.com/maps?q=-11.053275, -40.781944</v>
      </c>
      <c r="L2098" s="5" t="str">
        <f t="shared" si="65"/>
        <v>Abrir no Maps</v>
      </c>
      <c r="M2098" t="s">
        <v>14956</v>
      </c>
      <c r="N2098" s="5"/>
      <c r="O2098" t="s">
        <v>11509</v>
      </c>
      <c r="P2098" t="e">
        <f>VLOOKUP(O2098,'[1]CONFIG.'!$C:$D,2,0)</f>
        <v>#N/A</v>
      </c>
    </row>
    <row r="2099" spans="1:16" x14ac:dyDescent="0.3">
      <c r="A2099" t="s">
        <v>14957</v>
      </c>
      <c r="B2099" t="s">
        <v>14958</v>
      </c>
      <c r="C2099" t="s">
        <v>14959</v>
      </c>
      <c r="D2099" t="s">
        <v>3217</v>
      </c>
      <c r="E2099" t="s">
        <v>14960</v>
      </c>
      <c r="F2099" t="s">
        <v>14852</v>
      </c>
      <c r="G2099">
        <v>215</v>
      </c>
      <c r="H2099">
        <v>300</v>
      </c>
      <c r="I2099" s="5" t="s">
        <v>14961</v>
      </c>
      <c r="J2099" s="5" t="s">
        <v>14962</v>
      </c>
      <c r="K2099" s="5" t="str">
        <f t="shared" si="64"/>
        <v>https://www.google.com/maps?q=-11.053531, -40.781178</v>
      </c>
      <c r="L2099" s="5" t="str">
        <f t="shared" si="65"/>
        <v>Abrir no Maps</v>
      </c>
      <c r="M2099" t="s">
        <v>14963</v>
      </c>
      <c r="N2099" s="5"/>
      <c r="O2099" t="s">
        <v>11509</v>
      </c>
      <c r="P2099" t="e">
        <f>VLOOKUP(O2099,'[1]CONFIG.'!$C:$D,2,0)</f>
        <v>#N/A</v>
      </c>
    </row>
    <row r="2100" spans="1:16" x14ac:dyDescent="0.3">
      <c r="A2100" t="s">
        <v>14964</v>
      </c>
      <c r="B2100" t="s">
        <v>14965</v>
      </c>
      <c r="C2100" t="s">
        <v>14966</v>
      </c>
      <c r="D2100" t="s">
        <v>3217</v>
      </c>
      <c r="E2100" t="s">
        <v>14967</v>
      </c>
      <c r="F2100" t="s">
        <v>14852</v>
      </c>
      <c r="G2100">
        <v>215</v>
      </c>
      <c r="H2100">
        <v>300</v>
      </c>
      <c r="I2100" s="5" t="s">
        <v>14968</v>
      </c>
      <c r="J2100" s="5" t="s">
        <v>14969</v>
      </c>
      <c r="K2100" s="5" t="str">
        <f t="shared" si="64"/>
        <v>https://www.google.com/maps?q=-11.054474, -40.783530</v>
      </c>
      <c r="L2100" s="5" t="str">
        <f t="shared" si="65"/>
        <v>Abrir no Maps</v>
      </c>
      <c r="M2100" t="s">
        <v>14970</v>
      </c>
      <c r="N2100" s="5"/>
      <c r="O2100" t="s">
        <v>11509</v>
      </c>
      <c r="P2100" t="e">
        <f>VLOOKUP(O2100,'[1]CONFIG.'!$C:$D,2,0)</f>
        <v>#N/A</v>
      </c>
    </row>
    <row r="2101" spans="1:16" x14ac:dyDescent="0.3">
      <c r="A2101" t="s">
        <v>14971</v>
      </c>
      <c r="B2101" t="s">
        <v>14972</v>
      </c>
      <c r="C2101" t="s">
        <v>14973</v>
      </c>
      <c r="D2101" t="s">
        <v>3217</v>
      </c>
      <c r="E2101" t="s">
        <v>14974</v>
      </c>
      <c r="F2101" t="s">
        <v>137</v>
      </c>
      <c r="G2101">
        <v>205</v>
      </c>
      <c r="H2101">
        <v>300</v>
      </c>
      <c r="I2101" s="5" t="s">
        <v>14975</v>
      </c>
      <c r="J2101" s="5" t="s">
        <v>14976</v>
      </c>
      <c r="K2101" s="5" t="str">
        <f t="shared" si="64"/>
        <v>https://www.google.com/maps?q=-11.255832, -40.944073</v>
      </c>
      <c r="L2101" s="5" t="str">
        <f t="shared" si="65"/>
        <v>Abrir no Maps</v>
      </c>
      <c r="M2101" t="s">
        <v>14977</v>
      </c>
      <c r="N2101" s="5"/>
      <c r="O2101" t="str">
        <f>VLOOKUP(G2101,'[1]CONFIG.'!$B:$C,2,0)</f>
        <v>EMETIO</v>
      </c>
      <c r="P2101" t="str">
        <f>VLOOKUP(O2101,'[1]CONFIG.'!$C:$D,2,0)</f>
        <v>74 98039589</v>
      </c>
    </row>
    <row r="2102" spans="1:16" x14ac:dyDescent="0.3">
      <c r="A2102" t="s">
        <v>14978</v>
      </c>
      <c r="B2102" t="s">
        <v>14979</v>
      </c>
      <c r="C2102" t="s">
        <v>14980</v>
      </c>
      <c r="D2102" t="s">
        <v>11338</v>
      </c>
      <c r="E2102" t="s">
        <v>14981</v>
      </c>
      <c r="F2102" t="s">
        <v>137</v>
      </c>
      <c r="G2102">
        <v>215</v>
      </c>
      <c r="H2102">
        <v>300</v>
      </c>
      <c r="I2102" s="5" t="s">
        <v>14982</v>
      </c>
      <c r="J2102" s="5" t="s">
        <v>14983</v>
      </c>
      <c r="K2102" s="5" t="str">
        <f t="shared" si="64"/>
        <v>https://www.google.com/maps?q=-10.728121, -41.321957</v>
      </c>
      <c r="L2102" s="5" t="str">
        <f t="shared" si="65"/>
        <v>Abrir no Maps</v>
      </c>
      <c r="M2102" t="s">
        <v>14984</v>
      </c>
      <c r="N2102" s="5"/>
      <c r="O2102" t="s">
        <v>11509</v>
      </c>
      <c r="P2102" t="e">
        <f>VLOOKUP(O2102,'[1]CONFIG.'!$C:$D,2,0)</f>
        <v>#N/A</v>
      </c>
    </row>
    <row r="2103" spans="1:16" x14ac:dyDescent="0.3">
      <c r="A2103" t="s">
        <v>14985</v>
      </c>
      <c r="B2103" t="s">
        <v>14986</v>
      </c>
      <c r="C2103" t="s">
        <v>14987</v>
      </c>
      <c r="D2103" t="s">
        <v>3217</v>
      </c>
      <c r="E2103" t="s">
        <v>14988</v>
      </c>
      <c r="F2103" t="s">
        <v>14989</v>
      </c>
      <c r="G2103">
        <v>215</v>
      </c>
      <c r="H2103">
        <v>300</v>
      </c>
      <c r="I2103" s="5" t="s">
        <v>14990</v>
      </c>
      <c r="J2103" s="5" t="s">
        <v>14991</v>
      </c>
      <c r="K2103" s="5" t="str">
        <f t="shared" si="64"/>
        <v>https://www.google.com/maps?q=-11.071306, -41.118720</v>
      </c>
      <c r="L2103" s="5" t="str">
        <f t="shared" si="65"/>
        <v>Abrir no Maps</v>
      </c>
      <c r="M2103" t="s">
        <v>14992</v>
      </c>
      <c r="N2103" s="5"/>
      <c r="O2103" t="s">
        <v>11509</v>
      </c>
      <c r="P2103" t="e">
        <f>VLOOKUP(O2103,'[1]CONFIG.'!$C:$D,2,0)</f>
        <v>#N/A</v>
      </c>
    </row>
    <row r="2104" spans="1:16" x14ac:dyDescent="0.3">
      <c r="A2104" t="s">
        <v>14993</v>
      </c>
      <c r="B2104" t="s">
        <v>14994</v>
      </c>
      <c r="C2104" t="s">
        <v>14995</v>
      </c>
      <c r="D2104" t="s">
        <v>3217</v>
      </c>
      <c r="E2104" t="s">
        <v>14996</v>
      </c>
      <c r="F2104" t="s">
        <v>137</v>
      </c>
      <c r="G2104">
        <v>205</v>
      </c>
      <c r="H2104">
        <v>300</v>
      </c>
      <c r="I2104" s="5" t="s">
        <v>14997</v>
      </c>
      <c r="J2104" s="5" t="s">
        <v>14998</v>
      </c>
      <c r="K2104" s="5" t="str">
        <f t="shared" si="64"/>
        <v>https://www.google.com/maps?q=-11.257067, -40.942673</v>
      </c>
      <c r="L2104" s="5" t="str">
        <f t="shared" si="65"/>
        <v>Abrir no Maps</v>
      </c>
      <c r="M2104" t="s">
        <v>14999</v>
      </c>
      <c r="N2104" s="5"/>
      <c r="O2104" t="str">
        <f>VLOOKUP(G2104,'[1]CONFIG.'!$B:$C,2,0)</f>
        <v>EMETIO</v>
      </c>
      <c r="P2104" t="str">
        <f>VLOOKUP(O2104,'[1]CONFIG.'!$C:$D,2,0)</f>
        <v>74 98039589</v>
      </c>
    </row>
    <row r="2105" spans="1:16" x14ac:dyDescent="0.3">
      <c r="A2105" t="s">
        <v>15000</v>
      </c>
      <c r="B2105" t="s">
        <v>15001</v>
      </c>
      <c r="C2105" t="s">
        <v>15002</v>
      </c>
      <c r="D2105" t="s">
        <v>3217</v>
      </c>
      <c r="E2105" t="s">
        <v>15003</v>
      </c>
      <c r="F2105" t="s">
        <v>137</v>
      </c>
      <c r="G2105">
        <v>205</v>
      </c>
      <c r="H2105">
        <v>300</v>
      </c>
      <c r="I2105" s="5" t="s">
        <v>15004</v>
      </c>
      <c r="J2105" s="5" t="s">
        <v>15005</v>
      </c>
      <c r="K2105" s="5" t="str">
        <f t="shared" si="64"/>
        <v>https://www.google.com/maps?q=-11.259678, -40.944060</v>
      </c>
      <c r="L2105" s="5" t="str">
        <f t="shared" si="65"/>
        <v>Abrir no Maps</v>
      </c>
      <c r="M2105" t="s">
        <v>15006</v>
      </c>
      <c r="N2105" s="5"/>
      <c r="O2105" t="str">
        <f>VLOOKUP(G2105,'[1]CONFIG.'!$B:$C,2,0)</f>
        <v>EMETIO</v>
      </c>
      <c r="P2105" t="str">
        <f>VLOOKUP(O2105,'[1]CONFIG.'!$C:$D,2,0)</f>
        <v>74 98039589</v>
      </c>
    </row>
    <row r="2106" spans="1:16" x14ac:dyDescent="0.3">
      <c r="A2106" t="s">
        <v>15007</v>
      </c>
      <c r="B2106" t="s">
        <v>15008</v>
      </c>
      <c r="C2106" t="s">
        <v>15009</v>
      </c>
      <c r="D2106" t="s">
        <v>3217</v>
      </c>
      <c r="E2106" t="s">
        <v>15010</v>
      </c>
      <c r="F2106" t="s">
        <v>137</v>
      </c>
      <c r="G2106">
        <v>205</v>
      </c>
      <c r="H2106">
        <v>300</v>
      </c>
      <c r="I2106" s="5" t="s">
        <v>15011</v>
      </c>
      <c r="J2106" s="5" t="s">
        <v>15012</v>
      </c>
      <c r="K2106" s="5" t="str">
        <f t="shared" si="64"/>
        <v>https://www.google.com/maps?q=-11.252533, -40.946568</v>
      </c>
      <c r="L2106" s="5" t="str">
        <f t="shared" si="65"/>
        <v>Abrir no Maps</v>
      </c>
      <c r="M2106" t="s">
        <v>15013</v>
      </c>
      <c r="N2106" s="5"/>
      <c r="O2106" t="str">
        <f>VLOOKUP(G2106,'[1]CONFIG.'!$B:$C,2,0)</f>
        <v>EMETIO</v>
      </c>
      <c r="P2106" t="str">
        <f>VLOOKUP(O2106,'[1]CONFIG.'!$C:$D,2,0)</f>
        <v>74 98039589</v>
      </c>
    </row>
    <row r="2107" spans="1:16" x14ac:dyDescent="0.3">
      <c r="A2107" t="s">
        <v>15014</v>
      </c>
      <c r="B2107" t="s">
        <v>15015</v>
      </c>
      <c r="C2107" t="s">
        <v>15016</v>
      </c>
      <c r="D2107" t="s">
        <v>3217</v>
      </c>
      <c r="E2107" t="s">
        <v>15017</v>
      </c>
      <c r="F2107" t="s">
        <v>137</v>
      </c>
      <c r="G2107">
        <v>205</v>
      </c>
      <c r="H2107">
        <v>300</v>
      </c>
      <c r="I2107" s="5" t="s">
        <v>15018</v>
      </c>
      <c r="J2107" s="5" t="s">
        <v>15019</v>
      </c>
      <c r="K2107" s="5" t="str">
        <f t="shared" si="64"/>
        <v>https://www.google.com/maps?q=-11.257845, -40.945780</v>
      </c>
      <c r="L2107" s="5" t="str">
        <f t="shared" si="65"/>
        <v>Abrir no Maps</v>
      </c>
      <c r="M2107" t="s">
        <v>15020</v>
      </c>
      <c r="N2107" s="5"/>
      <c r="O2107" t="str">
        <f>VLOOKUP(G2107,'[1]CONFIG.'!$B:$C,2,0)</f>
        <v>EMETIO</v>
      </c>
      <c r="P2107" t="str">
        <f>VLOOKUP(O2107,'[1]CONFIG.'!$C:$D,2,0)</f>
        <v>74 98039589</v>
      </c>
    </row>
    <row r="2108" spans="1:16" x14ac:dyDescent="0.3">
      <c r="A2108" t="s">
        <v>15021</v>
      </c>
      <c r="B2108" t="s">
        <v>15022</v>
      </c>
      <c r="C2108" t="s">
        <v>15023</v>
      </c>
      <c r="D2108" t="s">
        <v>3217</v>
      </c>
      <c r="E2108" t="s">
        <v>15024</v>
      </c>
      <c r="F2108" t="s">
        <v>137</v>
      </c>
      <c r="G2108">
        <v>205</v>
      </c>
      <c r="H2108">
        <v>300</v>
      </c>
      <c r="I2108" s="5" t="s">
        <v>15025</v>
      </c>
      <c r="J2108" s="5" t="s">
        <v>15026</v>
      </c>
      <c r="K2108" s="5" t="str">
        <f t="shared" si="64"/>
        <v>https://www.google.com/maps?q=-11.251528, -40.945810</v>
      </c>
      <c r="L2108" s="5" t="str">
        <f t="shared" si="65"/>
        <v>Abrir no Maps</v>
      </c>
      <c r="M2108" t="s">
        <v>15027</v>
      </c>
      <c r="N2108" s="5"/>
      <c r="O2108" t="str">
        <f>VLOOKUP(G2108,'[1]CONFIG.'!$B:$C,2,0)</f>
        <v>EMETIO</v>
      </c>
      <c r="P2108" t="str">
        <f>VLOOKUP(O2108,'[1]CONFIG.'!$C:$D,2,0)</f>
        <v>74 98039589</v>
      </c>
    </row>
    <row r="2109" spans="1:16" x14ac:dyDescent="0.3">
      <c r="A2109" t="s">
        <v>15028</v>
      </c>
      <c r="B2109" t="s">
        <v>15029</v>
      </c>
      <c r="C2109" t="s">
        <v>15030</v>
      </c>
      <c r="D2109" t="s">
        <v>3217</v>
      </c>
      <c r="E2109" t="s">
        <v>15031</v>
      </c>
      <c r="F2109" t="s">
        <v>137</v>
      </c>
      <c r="G2109">
        <v>205</v>
      </c>
      <c r="H2109">
        <v>300</v>
      </c>
      <c r="I2109" s="5" t="s">
        <v>15032</v>
      </c>
      <c r="J2109" s="5" t="s">
        <v>15033</v>
      </c>
      <c r="K2109" s="5" t="str">
        <f t="shared" si="64"/>
        <v>https://www.google.com/maps?q=-11.257749, -40.942850</v>
      </c>
      <c r="L2109" s="5" t="str">
        <f t="shared" si="65"/>
        <v>Abrir no Maps</v>
      </c>
      <c r="M2109" t="s">
        <v>15034</v>
      </c>
      <c r="N2109" s="5"/>
      <c r="O2109" t="str">
        <f>VLOOKUP(G2109,'[1]CONFIG.'!$B:$C,2,0)</f>
        <v>EMETIO</v>
      </c>
      <c r="P2109" t="str">
        <f>VLOOKUP(O2109,'[1]CONFIG.'!$C:$D,2,0)</f>
        <v>74 98039589</v>
      </c>
    </row>
    <row r="2110" spans="1:16" x14ac:dyDescent="0.3">
      <c r="A2110" t="s">
        <v>15035</v>
      </c>
      <c r="B2110" t="s">
        <v>15036</v>
      </c>
      <c r="C2110" t="s">
        <v>15037</v>
      </c>
      <c r="D2110" t="s">
        <v>3217</v>
      </c>
      <c r="E2110" t="s">
        <v>15038</v>
      </c>
      <c r="F2110" t="s">
        <v>137</v>
      </c>
      <c r="G2110">
        <v>205</v>
      </c>
      <c r="H2110">
        <v>300</v>
      </c>
      <c r="I2110" s="5" t="s">
        <v>15039</v>
      </c>
      <c r="J2110" s="5" t="s">
        <v>15040</v>
      </c>
      <c r="K2110" s="5" t="str">
        <f t="shared" si="64"/>
        <v>https://www.google.com/maps?q=-11.252872, -40.946150</v>
      </c>
      <c r="L2110" s="5" t="str">
        <f t="shared" si="65"/>
        <v>Abrir no Maps</v>
      </c>
      <c r="M2110" t="s">
        <v>15041</v>
      </c>
      <c r="N2110" s="5"/>
      <c r="O2110" t="str">
        <f>VLOOKUP(G2110,'[1]CONFIG.'!$B:$C,2,0)</f>
        <v>EMETIO</v>
      </c>
      <c r="P2110" t="str">
        <f>VLOOKUP(O2110,'[1]CONFIG.'!$C:$D,2,0)</f>
        <v>74 98039589</v>
      </c>
    </row>
    <row r="2111" spans="1:16" x14ac:dyDescent="0.3">
      <c r="A2111" t="s">
        <v>15042</v>
      </c>
      <c r="B2111" t="s">
        <v>15043</v>
      </c>
      <c r="C2111" t="s">
        <v>15044</v>
      </c>
      <c r="D2111" t="s">
        <v>3217</v>
      </c>
      <c r="E2111" t="s">
        <v>15045</v>
      </c>
      <c r="F2111" t="s">
        <v>14720</v>
      </c>
      <c r="G2111">
        <v>215</v>
      </c>
      <c r="H2111">
        <v>300</v>
      </c>
      <c r="I2111" s="5" t="s">
        <v>15046</v>
      </c>
      <c r="J2111" s="5" t="s">
        <v>15047</v>
      </c>
      <c r="K2111" s="5" t="str">
        <f t="shared" si="64"/>
        <v>https://www.google.com/maps?q=-11.054606, -40.780960</v>
      </c>
      <c r="L2111" s="5" t="str">
        <f t="shared" si="65"/>
        <v>Abrir no Maps</v>
      </c>
      <c r="M2111" t="s">
        <v>15048</v>
      </c>
      <c r="N2111" s="5"/>
      <c r="O2111" t="s">
        <v>11509</v>
      </c>
      <c r="P2111" t="e">
        <f>VLOOKUP(O2111,'[1]CONFIG.'!$C:$D,2,0)</f>
        <v>#N/A</v>
      </c>
    </row>
    <row r="2112" spans="1:16" x14ac:dyDescent="0.3">
      <c r="A2112" t="s">
        <v>15049</v>
      </c>
      <c r="B2112" t="s">
        <v>15050</v>
      </c>
      <c r="C2112" t="s">
        <v>15051</v>
      </c>
      <c r="D2112" t="s">
        <v>3217</v>
      </c>
      <c r="E2112" t="s">
        <v>15052</v>
      </c>
      <c r="F2112" t="s">
        <v>137</v>
      </c>
      <c r="G2112">
        <v>205</v>
      </c>
      <c r="H2112">
        <v>300</v>
      </c>
      <c r="I2112" s="5" t="s">
        <v>15053</v>
      </c>
      <c r="J2112" s="5" t="s">
        <v>15054</v>
      </c>
      <c r="K2112" s="5" t="str">
        <f t="shared" si="64"/>
        <v>https://www.google.com/maps?q=-11.252160, -40.946323</v>
      </c>
      <c r="L2112" s="5" t="str">
        <f t="shared" si="65"/>
        <v>Abrir no Maps</v>
      </c>
      <c r="M2112" t="s">
        <v>15055</v>
      </c>
      <c r="N2112" s="5"/>
      <c r="O2112" t="str">
        <f>VLOOKUP(G2112,'[1]CONFIG.'!$B:$C,2,0)</f>
        <v>EMETIO</v>
      </c>
      <c r="P2112" t="str">
        <f>VLOOKUP(O2112,'[1]CONFIG.'!$C:$D,2,0)</f>
        <v>74 98039589</v>
      </c>
    </row>
    <row r="2113" spans="1:16" x14ac:dyDescent="0.3">
      <c r="A2113" t="s">
        <v>15056</v>
      </c>
      <c r="B2113" t="s">
        <v>15057</v>
      </c>
      <c r="C2113" t="s">
        <v>15058</v>
      </c>
      <c r="D2113" t="s">
        <v>3217</v>
      </c>
      <c r="E2113" t="s">
        <v>15059</v>
      </c>
      <c r="F2113" t="s">
        <v>137</v>
      </c>
      <c r="G2113">
        <v>205</v>
      </c>
      <c r="H2113">
        <v>300</v>
      </c>
      <c r="I2113" s="5" t="s">
        <v>15060</v>
      </c>
      <c r="J2113" s="5" t="s">
        <v>15061</v>
      </c>
      <c r="K2113" s="5" t="str">
        <f t="shared" si="64"/>
        <v>https://www.google.com/maps?q=-11.249537, -40.949272</v>
      </c>
      <c r="L2113" s="5" t="str">
        <f t="shared" si="65"/>
        <v>Abrir no Maps</v>
      </c>
      <c r="M2113" t="s">
        <v>15062</v>
      </c>
      <c r="N2113" s="5"/>
      <c r="O2113" t="str">
        <f>VLOOKUP(G2113,'[1]CONFIG.'!$B:$C,2,0)</f>
        <v>EMETIO</v>
      </c>
      <c r="P2113" t="str">
        <f>VLOOKUP(O2113,'[1]CONFIG.'!$C:$D,2,0)</f>
        <v>74 98039589</v>
      </c>
    </row>
    <row r="2114" spans="1:16" x14ac:dyDescent="0.3">
      <c r="A2114" t="s">
        <v>15063</v>
      </c>
      <c r="B2114" t="s">
        <v>15064</v>
      </c>
      <c r="C2114" t="s">
        <v>15065</v>
      </c>
      <c r="D2114" t="s">
        <v>3217</v>
      </c>
      <c r="E2114" t="s">
        <v>15066</v>
      </c>
      <c r="F2114" t="s">
        <v>137</v>
      </c>
      <c r="G2114">
        <v>205</v>
      </c>
      <c r="H2114">
        <v>300</v>
      </c>
      <c r="I2114" s="5" t="s">
        <v>15067</v>
      </c>
      <c r="J2114" s="5" t="s">
        <v>15068</v>
      </c>
      <c r="K2114" s="5" t="str">
        <f t="shared" si="64"/>
        <v>https://www.google.com/maps?q=-11.252629, -40.945960</v>
      </c>
      <c r="L2114" s="5" t="str">
        <f t="shared" si="65"/>
        <v>Abrir no Maps</v>
      </c>
      <c r="M2114" t="s">
        <v>15069</v>
      </c>
      <c r="N2114" s="5"/>
      <c r="O2114" t="str">
        <f>VLOOKUP(G2114,'[1]CONFIG.'!$B:$C,2,0)</f>
        <v>EMETIO</v>
      </c>
      <c r="P2114" t="str">
        <f>VLOOKUP(O2114,'[1]CONFIG.'!$C:$D,2,0)</f>
        <v>74 98039589</v>
      </c>
    </row>
    <row r="2115" spans="1:16" x14ac:dyDescent="0.3">
      <c r="A2115" t="s">
        <v>15070</v>
      </c>
      <c r="B2115" t="s">
        <v>15071</v>
      </c>
      <c r="C2115" t="s">
        <v>15072</v>
      </c>
      <c r="D2115" t="s">
        <v>3217</v>
      </c>
      <c r="E2115" t="s">
        <v>15073</v>
      </c>
      <c r="F2115" t="s">
        <v>137</v>
      </c>
      <c r="G2115">
        <v>205</v>
      </c>
      <c r="H2115">
        <v>300</v>
      </c>
      <c r="I2115" s="5" t="s">
        <v>15074</v>
      </c>
      <c r="J2115" s="5" t="s">
        <v>15075</v>
      </c>
      <c r="K2115" s="5" t="str">
        <f t="shared" si="64"/>
        <v>https://www.google.com/maps?q=-11.264023, -40.940136</v>
      </c>
      <c r="L2115" s="5" t="str">
        <f t="shared" si="65"/>
        <v>Abrir no Maps</v>
      </c>
      <c r="M2115" t="s">
        <v>15076</v>
      </c>
      <c r="N2115" s="5"/>
      <c r="O2115" t="str">
        <f>VLOOKUP(G2115,'[1]CONFIG.'!$B:$C,2,0)</f>
        <v>EMETIO</v>
      </c>
      <c r="P2115" t="str">
        <f>VLOOKUP(O2115,'[1]CONFIG.'!$C:$D,2,0)</f>
        <v>74 98039589</v>
      </c>
    </row>
    <row r="2116" spans="1:16" x14ac:dyDescent="0.3">
      <c r="A2116" t="s">
        <v>15077</v>
      </c>
      <c r="B2116" t="s">
        <v>15078</v>
      </c>
      <c r="C2116" t="s">
        <v>15079</v>
      </c>
      <c r="D2116" t="s">
        <v>3217</v>
      </c>
      <c r="E2116" t="s">
        <v>15080</v>
      </c>
      <c r="F2116" t="s">
        <v>137</v>
      </c>
      <c r="G2116">
        <v>205</v>
      </c>
      <c r="H2116">
        <v>300</v>
      </c>
      <c r="I2116" s="5" t="s">
        <v>15081</v>
      </c>
      <c r="J2116" s="5" t="s">
        <v>15082</v>
      </c>
      <c r="K2116" s="5" t="str">
        <f t="shared" ref="K2116:K2179" si="66">"https://www.google.com/maps?q="&amp;""&amp;LEFT(I2116,3)&amp;"."&amp;RIGHT(I2116,6)&amp;", "&amp;LEFT(J2116,3)&amp;"."&amp;RIGHT(J2116,6)</f>
        <v>https://www.google.com/maps?q=-11.252876, -40.946808</v>
      </c>
      <c r="L2116" s="5" t="str">
        <f t="shared" ref="L2116:L2179" si="67">HYPERLINK(K2116,"Abrir no Maps")</f>
        <v>Abrir no Maps</v>
      </c>
      <c r="M2116" t="s">
        <v>15083</v>
      </c>
      <c r="N2116" s="5"/>
      <c r="O2116" t="str">
        <f>VLOOKUP(G2116,'[1]CONFIG.'!$B:$C,2,0)</f>
        <v>EMETIO</v>
      </c>
      <c r="P2116" t="str">
        <f>VLOOKUP(O2116,'[1]CONFIG.'!$C:$D,2,0)</f>
        <v>74 98039589</v>
      </c>
    </row>
    <row r="2117" spans="1:16" x14ac:dyDescent="0.3">
      <c r="A2117" t="s">
        <v>15084</v>
      </c>
      <c r="B2117" t="s">
        <v>15085</v>
      </c>
      <c r="C2117" t="s">
        <v>15086</v>
      </c>
      <c r="D2117" t="s">
        <v>3217</v>
      </c>
      <c r="E2117" t="s">
        <v>15087</v>
      </c>
      <c r="F2117" t="s">
        <v>137</v>
      </c>
      <c r="G2117">
        <v>205</v>
      </c>
      <c r="H2117">
        <v>300</v>
      </c>
      <c r="I2117" s="5" t="s">
        <v>15088</v>
      </c>
      <c r="J2117" s="5" t="s">
        <v>15089</v>
      </c>
      <c r="K2117" s="5" t="str">
        <f t="shared" si="66"/>
        <v>https://www.google.com/maps?q=-11.263056, -40.942223</v>
      </c>
      <c r="L2117" s="5" t="str">
        <f t="shared" si="67"/>
        <v>Abrir no Maps</v>
      </c>
      <c r="M2117" t="s">
        <v>15090</v>
      </c>
      <c r="N2117" s="5"/>
      <c r="O2117" t="str">
        <f>VLOOKUP(G2117,'[1]CONFIG.'!$B:$C,2,0)</f>
        <v>EMETIO</v>
      </c>
      <c r="P2117" t="str">
        <f>VLOOKUP(O2117,'[1]CONFIG.'!$C:$D,2,0)</f>
        <v>74 98039589</v>
      </c>
    </row>
    <row r="2118" spans="1:16" x14ac:dyDescent="0.3">
      <c r="A2118" t="s">
        <v>15091</v>
      </c>
      <c r="B2118" t="s">
        <v>15092</v>
      </c>
      <c r="C2118" t="s">
        <v>15093</v>
      </c>
      <c r="D2118" t="s">
        <v>3217</v>
      </c>
      <c r="E2118" t="s">
        <v>15094</v>
      </c>
      <c r="F2118" t="s">
        <v>14720</v>
      </c>
      <c r="G2118">
        <v>215</v>
      </c>
      <c r="H2118">
        <v>300</v>
      </c>
      <c r="I2118" s="5" t="s">
        <v>15095</v>
      </c>
      <c r="J2118" s="5" t="s">
        <v>15096</v>
      </c>
      <c r="K2118" s="5" t="str">
        <f t="shared" si="66"/>
        <v>https://www.google.com/maps?q=-11.053014, -40.781145</v>
      </c>
      <c r="L2118" s="5" t="str">
        <f t="shared" si="67"/>
        <v>Abrir no Maps</v>
      </c>
      <c r="M2118" t="s">
        <v>15097</v>
      </c>
      <c r="N2118" s="5"/>
      <c r="O2118" t="s">
        <v>11509</v>
      </c>
      <c r="P2118" t="e">
        <f>VLOOKUP(O2118,'[1]CONFIG.'!$C:$D,2,0)</f>
        <v>#N/A</v>
      </c>
    </row>
    <row r="2119" spans="1:16" x14ac:dyDescent="0.3">
      <c r="A2119" t="s">
        <v>15098</v>
      </c>
      <c r="B2119" t="s">
        <v>15099</v>
      </c>
      <c r="C2119" t="s">
        <v>15100</v>
      </c>
      <c r="D2119" t="s">
        <v>3217</v>
      </c>
      <c r="E2119" t="s">
        <v>15101</v>
      </c>
      <c r="F2119" t="s">
        <v>137</v>
      </c>
      <c r="G2119">
        <v>205</v>
      </c>
      <c r="H2119">
        <v>300</v>
      </c>
      <c r="I2119" s="5" t="s">
        <v>15102</v>
      </c>
      <c r="J2119" s="5" t="s">
        <v>15103</v>
      </c>
      <c r="K2119" s="5" t="str">
        <f t="shared" si="66"/>
        <v>https://www.google.com/maps?q=-11.254581, -40.943825</v>
      </c>
      <c r="L2119" s="5" t="str">
        <f t="shared" si="67"/>
        <v>Abrir no Maps</v>
      </c>
      <c r="M2119" t="s">
        <v>15104</v>
      </c>
      <c r="N2119" s="5"/>
      <c r="O2119" t="str">
        <f>VLOOKUP(G2119,'[1]CONFIG.'!$B:$C,2,0)</f>
        <v>EMETIO</v>
      </c>
      <c r="P2119" t="str">
        <f>VLOOKUP(O2119,'[1]CONFIG.'!$C:$D,2,0)</f>
        <v>74 98039589</v>
      </c>
    </row>
    <row r="2120" spans="1:16" x14ac:dyDescent="0.3">
      <c r="A2120" t="s">
        <v>15105</v>
      </c>
      <c r="B2120" t="s">
        <v>15106</v>
      </c>
      <c r="C2120" t="s">
        <v>15107</v>
      </c>
      <c r="D2120" t="s">
        <v>3217</v>
      </c>
      <c r="E2120" t="s">
        <v>15108</v>
      </c>
      <c r="F2120" t="s">
        <v>137</v>
      </c>
      <c r="G2120">
        <v>205</v>
      </c>
      <c r="H2120">
        <v>300</v>
      </c>
      <c r="I2120" s="5" t="s">
        <v>15109</v>
      </c>
      <c r="J2120" s="5" t="s">
        <v>15110</v>
      </c>
      <c r="K2120" s="5" t="str">
        <f t="shared" si="66"/>
        <v>https://www.google.com/maps?q=-11.256720, -40.942272</v>
      </c>
      <c r="L2120" s="5" t="str">
        <f t="shared" si="67"/>
        <v>Abrir no Maps</v>
      </c>
      <c r="M2120" t="s">
        <v>15111</v>
      </c>
      <c r="N2120" s="5"/>
      <c r="O2120" t="str">
        <f>VLOOKUP(G2120,'[1]CONFIG.'!$B:$C,2,0)</f>
        <v>EMETIO</v>
      </c>
      <c r="P2120" t="str">
        <f>VLOOKUP(O2120,'[1]CONFIG.'!$C:$D,2,0)</f>
        <v>74 98039589</v>
      </c>
    </row>
    <row r="2121" spans="1:16" x14ac:dyDescent="0.3">
      <c r="A2121" t="s">
        <v>15112</v>
      </c>
      <c r="B2121" t="s">
        <v>15113</v>
      </c>
      <c r="C2121" t="s">
        <v>15114</v>
      </c>
      <c r="D2121" t="s">
        <v>3217</v>
      </c>
      <c r="E2121" t="s">
        <v>15115</v>
      </c>
      <c r="F2121" t="s">
        <v>137</v>
      </c>
      <c r="G2121">
        <v>205</v>
      </c>
      <c r="H2121">
        <v>300</v>
      </c>
      <c r="I2121" s="5" t="s">
        <v>15116</v>
      </c>
      <c r="J2121" s="5" t="s">
        <v>15117</v>
      </c>
      <c r="K2121" s="5" t="str">
        <f t="shared" si="66"/>
        <v>https://www.google.com/maps?q=-11.264524, -40.940690</v>
      </c>
      <c r="L2121" s="5" t="str">
        <f t="shared" si="67"/>
        <v>Abrir no Maps</v>
      </c>
      <c r="M2121" t="s">
        <v>15118</v>
      </c>
      <c r="N2121" s="5"/>
      <c r="O2121" t="str">
        <f>VLOOKUP(G2121,'[1]CONFIG.'!$B:$C,2,0)</f>
        <v>EMETIO</v>
      </c>
      <c r="P2121" t="str">
        <f>VLOOKUP(O2121,'[1]CONFIG.'!$C:$D,2,0)</f>
        <v>74 98039589</v>
      </c>
    </row>
    <row r="2122" spans="1:16" x14ac:dyDescent="0.3">
      <c r="A2122" t="s">
        <v>15119</v>
      </c>
      <c r="B2122" t="s">
        <v>15120</v>
      </c>
      <c r="C2122" t="s">
        <v>15121</v>
      </c>
      <c r="D2122" t="s">
        <v>3217</v>
      </c>
      <c r="E2122" t="s">
        <v>15122</v>
      </c>
      <c r="F2122" t="s">
        <v>137</v>
      </c>
      <c r="G2122">
        <v>205</v>
      </c>
      <c r="H2122">
        <v>300</v>
      </c>
      <c r="I2122" s="5" t="s">
        <v>15123</v>
      </c>
      <c r="J2122" s="5" t="s">
        <v>15124</v>
      </c>
      <c r="K2122" s="5" t="str">
        <f t="shared" si="66"/>
        <v>https://www.google.com/maps?q=-11.249510, -40.950180</v>
      </c>
      <c r="L2122" s="5" t="str">
        <f t="shared" si="67"/>
        <v>Abrir no Maps</v>
      </c>
      <c r="M2122" t="s">
        <v>15125</v>
      </c>
      <c r="N2122" s="5"/>
      <c r="O2122" t="str">
        <f>VLOOKUP(G2122,'[1]CONFIG.'!$B:$C,2,0)</f>
        <v>EMETIO</v>
      </c>
      <c r="P2122" t="str">
        <f>VLOOKUP(O2122,'[1]CONFIG.'!$C:$D,2,0)</f>
        <v>74 98039589</v>
      </c>
    </row>
    <row r="2123" spans="1:16" x14ac:dyDescent="0.3">
      <c r="A2123" t="s">
        <v>15126</v>
      </c>
      <c r="B2123" t="s">
        <v>15127</v>
      </c>
      <c r="C2123" t="s">
        <v>15128</v>
      </c>
      <c r="D2123" t="s">
        <v>3217</v>
      </c>
      <c r="E2123" t="s">
        <v>15129</v>
      </c>
      <c r="F2123" t="s">
        <v>14720</v>
      </c>
      <c r="G2123">
        <v>215</v>
      </c>
      <c r="H2123">
        <v>300</v>
      </c>
      <c r="I2123" s="5" t="s">
        <v>15130</v>
      </c>
      <c r="J2123" s="5" t="s">
        <v>15131</v>
      </c>
      <c r="K2123" s="5" t="str">
        <f t="shared" si="66"/>
        <v>https://www.google.com/maps?q=-11.052504, -40.780434</v>
      </c>
      <c r="L2123" s="5" t="str">
        <f t="shared" si="67"/>
        <v>Abrir no Maps</v>
      </c>
      <c r="M2123" t="s">
        <v>15132</v>
      </c>
      <c r="N2123" s="5"/>
      <c r="O2123" t="s">
        <v>11509</v>
      </c>
      <c r="P2123" t="e">
        <f>VLOOKUP(O2123,'[1]CONFIG.'!$C:$D,2,0)</f>
        <v>#N/A</v>
      </c>
    </row>
    <row r="2124" spans="1:16" x14ac:dyDescent="0.3">
      <c r="A2124" t="s">
        <v>15133</v>
      </c>
      <c r="B2124" t="s">
        <v>15134</v>
      </c>
      <c r="C2124" t="s">
        <v>15135</v>
      </c>
      <c r="D2124" t="s">
        <v>3217</v>
      </c>
      <c r="E2124" t="s">
        <v>15136</v>
      </c>
      <c r="F2124" t="s">
        <v>137</v>
      </c>
      <c r="G2124">
        <v>205</v>
      </c>
      <c r="H2124">
        <v>300</v>
      </c>
      <c r="I2124" s="5" t="s">
        <v>15137</v>
      </c>
      <c r="J2124" s="5" t="s">
        <v>15138</v>
      </c>
      <c r="K2124" s="5" t="str">
        <f t="shared" si="66"/>
        <v>https://www.google.com/maps?q=-11.255006, -40.943386</v>
      </c>
      <c r="L2124" s="5" t="str">
        <f t="shared" si="67"/>
        <v>Abrir no Maps</v>
      </c>
      <c r="M2124" t="s">
        <v>15139</v>
      </c>
      <c r="N2124" s="5"/>
      <c r="O2124" t="str">
        <f>VLOOKUP(G2124,'[1]CONFIG.'!$B:$C,2,0)</f>
        <v>EMETIO</v>
      </c>
      <c r="P2124" t="str">
        <f>VLOOKUP(O2124,'[1]CONFIG.'!$C:$D,2,0)</f>
        <v>74 98039589</v>
      </c>
    </row>
    <row r="2125" spans="1:16" x14ac:dyDescent="0.3">
      <c r="A2125" t="s">
        <v>15140</v>
      </c>
      <c r="B2125" t="s">
        <v>15141</v>
      </c>
      <c r="C2125" t="s">
        <v>15142</v>
      </c>
      <c r="D2125" t="s">
        <v>3217</v>
      </c>
      <c r="E2125" t="s">
        <v>15143</v>
      </c>
      <c r="F2125" t="s">
        <v>137</v>
      </c>
      <c r="G2125">
        <v>205</v>
      </c>
      <c r="H2125">
        <v>300</v>
      </c>
      <c r="I2125" s="5" t="s">
        <v>15144</v>
      </c>
      <c r="J2125" s="5" t="s">
        <v>15145</v>
      </c>
      <c r="K2125" s="5" t="str">
        <f t="shared" si="66"/>
        <v>https://www.google.com/maps?q=-11.259117, -40.942753</v>
      </c>
      <c r="L2125" s="5" t="str">
        <f t="shared" si="67"/>
        <v>Abrir no Maps</v>
      </c>
      <c r="M2125" t="s">
        <v>15146</v>
      </c>
      <c r="N2125" s="5"/>
      <c r="O2125" t="str">
        <f>VLOOKUP(G2125,'[1]CONFIG.'!$B:$C,2,0)</f>
        <v>EMETIO</v>
      </c>
      <c r="P2125" t="str">
        <f>VLOOKUP(O2125,'[1]CONFIG.'!$C:$D,2,0)</f>
        <v>74 98039589</v>
      </c>
    </row>
    <row r="2126" spans="1:16" x14ac:dyDescent="0.3">
      <c r="A2126" t="s">
        <v>15147</v>
      </c>
      <c r="B2126" t="s">
        <v>15148</v>
      </c>
      <c r="C2126" t="s">
        <v>15149</v>
      </c>
      <c r="D2126" t="s">
        <v>3217</v>
      </c>
      <c r="E2126" t="s">
        <v>15150</v>
      </c>
      <c r="F2126" t="s">
        <v>15151</v>
      </c>
      <c r="G2126">
        <v>205</v>
      </c>
      <c r="H2126">
        <v>300</v>
      </c>
      <c r="I2126" s="5" t="s">
        <v>15152</v>
      </c>
      <c r="J2126" s="5" t="s">
        <v>15153</v>
      </c>
      <c r="K2126" s="5" t="str">
        <f t="shared" si="66"/>
        <v>https://www.google.com/maps?q=-11.201575, -41.028340</v>
      </c>
      <c r="L2126" s="5" t="str">
        <f t="shared" si="67"/>
        <v>Abrir no Maps</v>
      </c>
      <c r="M2126" t="s">
        <v>15154</v>
      </c>
      <c r="N2126" s="5"/>
      <c r="O2126" t="str">
        <f>VLOOKUP(G2126,'[1]CONFIG.'!$B:$C,2,0)</f>
        <v>EMETIO</v>
      </c>
      <c r="P2126" t="str">
        <f>VLOOKUP(O2126,'[1]CONFIG.'!$C:$D,2,0)</f>
        <v>74 98039589</v>
      </c>
    </row>
    <row r="2127" spans="1:16" x14ac:dyDescent="0.3">
      <c r="A2127" t="s">
        <v>15155</v>
      </c>
      <c r="B2127" t="s">
        <v>15156</v>
      </c>
      <c r="C2127" t="s">
        <v>15157</v>
      </c>
      <c r="D2127" t="s">
        <v>3217</v>
      </c>
      <c r="E2127" t="s">
        <v>15158</v>
      </c>
      <c r="F2127" t="s">
        <v>137</v>
      </c>
      <c r="G2127">
        <v>205</v>
      </c>
      <c r="H2127">
        <v>300</v>
      </c>
      <c r="I2127" s="5" t="s">
        <v>15159</v>
      </c>
      <c r="J2127" s="5" t="s">
        <v>15160</v>
      </c>
      <c r="K2127" s="5" t="str">
        <f t="shared" si="66"/>
        <v>https://www.google.com/maps?q=-11.258060, -40.946316</v>
      </c>
      <c r="L2127" s="5" t="str">
        <f t="shared" si="67"/>
        <v>Abrir no Maps</v>
      </c>
      <c r="M2127" t="s">
        <v>15161</v>
      </c>
      <c r="N2127" s="5"/>
      <c r="O2127" t="str">
        <f>VLOOKUP(G2127,'[1]CONFIG.'!$B:$C,2,0)</f>
        <v>EMETIO</v>
      </c>
      <c r="P2127" t="str">
        <f>VLOOKUP(O2127,'[1]CONFIG.'!$C:$D,2,0)</f>
        <v>74 98039589</v>
      </c>
    </row>
    <row r="2128" spans="1:16" x14ac:dyDescent="0.3">
      <c r="A2128" t="s">
        <v>15162</v>
      </c>
      <c r="B2128" t="s">
        <v>15163</v>
      </c>
      <c r="C2128" t="s">
        <v>15164</v>
      </c>
      <c r="D2128" t="s">
        <v>3217</v>
      </c>
      <c r="E2128" t="s">
        <v>15165</v>
      </c>
      <c r="F2128" t="s">
        <v>137</v>
      </c>
      <c r="G2128">
        <v>205</v>
      </c>
      <c r="H2128">
        <v>300</v>
      </c>
      <c r="I2128" s="5" t="s">
        <v>15166</v>
      </c>
      <c r="J2128" s="5" t="s">
        <v>15167</v>
      </c>
      <c r="K2128" s="5" t="str">
        <f t="shared" si="66"/>
        <v>https://www.google.com/maps?q=-11.252111, -40.945675</v>
      </c>
      <c r="L2128" s="5" t="str">
        <f t="shared" si="67"/>
        <v>Abrir no Maps</v>
      </c>
      <c r="M2128" t="s">
        <v>15168</v>
      </c>
      <c r="N2128" s="5"/>
      <c r="O2128" t="str">
        <f>VLOOKUP(G2128,'[1]CONFIG.'!$B:$C,2,0)</f>
        <v>EMETIO</v>
      </c>
      <c r="P2128" t="str">
        <f>VLOOKUP(O2128,'[1]CONFIG.'!$C:$D,2,0)</f>
        <v>74 98039589</v>
      </c>
    </row>
    <row r="2129" spans="1:16" x14ac:dyDescent="0.3">
      <c r="A2129" t="s">
        <v>15169</v>
      </c>
      <c r="B2129" t="s">
        <v>15170</v>
      </c>
      <c r="C2129" t="s">
        <v>15171</v>
      </c>
      <c r="D2129" t="s">
        <v>3217</v>
      </c>
      <c r="E2129" t="s">
        <v>15172</v>
      </c>
      <c r="F2129" t="s">
        <v>137</v>
      </c>
      <c r="G2129">
        <v>205</v>
      </c>
      <c r="H2129">
        <v>300</v>
      </c>
      <c r="I2129" s="5" t="s">
        <v>15173</v>
      </c>
      <c r="J2129" s="5" t="s">
        <v>15174</v>
      </c>
      <c r="K2129" s="5" t="str">
        <f t="shared" si="66"/>
        <v>https://www.google.com/maps?q=-11.252114, -40.946480</v>
      </c>
      <c r="L2129" s="5" t="str">
        <f t="shared" si="67"/>
        <v>Abrir no Maps</v>
      </c>
      <c r="M2129" t="s">
        <v>15175</v>
      </c>
      <c r="N2129" s="5"/>
      <c r="O2129" t="str">
        <f>VLOOKUP(G2129,'[1]CONFIG.'!$B:$C,2,0)</f>
        <v>EMETIO</v>
      </c>
      <c r="P2129" t="str">
        <f>VLOOKUP(O2129,'[1]CONFIG.'!$C:$D,2,0)</f>
        <v>74 98039589</v>
      </c>
    </row>
    <row r="2130" spans="1:16" x14ac:dyDescent="0.3">
      <c r="A2130" t="s">
        <v>15176</v>
      </c>
      <c r="B2130" t="s">
        <v>15177</v>
      </c>
      <c r="C2130" t="s">
        <v>15178</v>
      </c>
      <c r="D2130" t="s">
        <v>3217</v>
      </c>
      <c r="E2130" t="s">
        <v>15179</v>
      </c>
      <c r="F2130" t="s">
        <v>137</v>
      </c>
      <c r="G2130">
        <v>205</v>
      </c>
      <c r="H2130">
        <v>300</v>
      </c>
      <c r="I2130" s="5" t="s">
        <v>15180</v>
      </c>
      <c r="J2130" s="5" t="s">
        <v>15181</v>
      </c>
      <c r="K2130" s="5" t="str">
        <f t="shared" si="66"/>
        <v>https://www.google.com/maps?q=-11.256563, -40.942513</v>
      </c>
      <c r="L2130" s="5" t="str">
        <f t="shared" si="67"/>
        <v>Abrir no Maps</v>
      </c>
      <c r="M2130" t="s">
        <v>15182</v>
      </c>
      <c r="N2130" s="5"/>
      <c r="O2130" t="str">
        <f>VLOOKUP(G2130,'[1]CONFIG.'!$B:$C,2,0)</f>
        <v>EMETIO</v>
      </c>
      <c r="P2130" t="str">
        <f>VLOOKUP(O2130,'[1]CONFIG.'!$C:$D,2,0)</f>
        <v>74 98039589</v>
      </c>
    </row>
    <row r="2131" spans="1:16" x14ac:dyDescent="0.3">
      <c r="A2131" t="s">
        <v>15183</v>
      </c>
      <c r="B2131" t="s">
        <v>15184</v>
      </c>
      <c r="C2131" t="s">
        <v>15185</v>
      </c>
      <c r="D2131" t="s">
        <v>3217</v>
      </c>
      <c r="E2131" t="s">
        <v>15186</v>
      </c>
      <c r="F2131" t="s">
        <v>137</v>
      </c>
      <c r="G2131">
        <v>205</v>
      </c>
      <c r="H2131">
        <v>300</v>
      </c>
      <c r="I2131" s="5" t="s">
        <v>15187</v>
      </c>
      <c r="J2131" s="5" t="s">
        <v>15188</v>
      </c>
      <c r="K2131" s="5" t="str">
        <f t="shared" si="66"/>
        <v>https://www.google.com/maps?q=-11.258324, -40.940575</v>
      </c>
      <c r="L2131" s="5" t="str">
        <f t="shared" si="67"/>
        <v>Abrir no Maps</v>
      </c>
      <c r="M2131" t="s">
        <v>15189</v>
      </c>
      <c r="N2131" s="5"/>
      <c r="O2131" t="str">
        <f>VLOOKUP(G2131,'[1]CONFIG.'!$B:$C,2,0)</f>
        <v>EMETIO</v>
      </c>
      <c r="P2131" t="str">
        <f>VLOOKUP(O2131,'[1]CONFIG.'!$C:$D,2,0)</f>
        <v>74 98039589</v>
      </c>
    </row>
    <row r="2132" spans="1:16" x14ac:dyDescent="0.3">
      <c r="A2132" t="s">
        <v>15190</v>
      </c>
      <c r="B2132" t="s">
        <v>15191</v>
      </c>
      <c r="C2132" t="s">
        <v>15192</v>
      </c>
      <c r="D2132" t="s">
        <v>3217</v>
      </c>
      <c r="E2132" t="s">
        <v>15193</v>
      </c>
      <c r="F2132" t="s">
        <v>137</v>
      </c>
      <c r="G2132">
        <v>205</v>
      </c>
      <c r="H2132">
        <v>300</v>
      </c>
      <c r="I2132" s="5" t="s">
        <v>15194</v>
      </c>
      <c r="J2132" s="5" t="s">
        <v>15195</v>
      </c>
      <c r="K2132" s="5" t="str">
        <f t="shared" si="66"/>
        <v>https://www.google.com/maps?q=-11.257796, -40.942870</v>
      </c>
      <c r="L2132" s="5" t="str">
        <f t="shared" si="67"/>
        <v>Abrir no Maps</v>
      </c>
      <c r="M2132" t="s">
        <v>15196</v>
      </c>
      <c r="N2132" s="5"/>
      <c r="O2132" t="str">
        <f>VLOOKUP(G2132,'[1]CONFIG.'!$B:$C,2,0)</f>
        <v>EMETIO</v>
      </c>
      <c r="P2132" t="str">
        <f>VLOOKUP(O2132,'[1]CONFIG.'!$C:$D,2,0)</f>
        <v>74 98039589</v>
      </c>
    </row>
    <row r="2133" spans="1:16" x14ac:dyDescent="0.3">
      <c r="A2133" t="s">
        <v>15197</v>
      </c>
      <c r="B2133" t="s">
        <v>15198</v>
      </c>
      <c r="C2133" t="s">
        <v>15199</v>
      </c>
      <c r="D2133" t="s">
        <v>3217</v>
      </c>
      <c r="E2133" t="s">
        <v>15200</v>
      </c>
      <c r="F2133" t="s">
        <v>137</v>
      </c>
      <c r="G2133">
        <v>205</v>
      </c>
      <c r="H2133">
        <v>300</v>
      </c>
      <c r="I2133" s="5" t="s">
        <v>15201</v>
      </c>
      <c r="J2133" s="5" t="s">
        <v>15202</v>
      </c>
      <c r="K2133" s="5" t="str">
        <f t="shared" si="66"/>
        <v>https://www.google.com/maps?q=-11.253063, -40.946304</v>
      </c>
      <c r="L2133" s="5" t="str">
        <f t="shared" si="67"/>
        <v>Abrir no Maps</v>
      </c>
      <c r="M2133" t="s">
        <v>15203</v>
      </c>
      <c r="N2133" s="5"/>
      <c r="O2133" t="str">
        <f>VLOOKUP(G2133,'[1]CONFIG.'!$B:$C,2,0)</f>
        <v>EMETIO</v>
      </c>
      <c r="P2133" t="str">
        <f>VLOOKUP(O2133,'[1]CONFIG.'!$C:$D,2,0)</f>
        <v>74 98039589</v>
      </c>
    </row>
    <row r="2134" spans="1:16" x14ac:dyDescent="0.3">
      <c r="A2134" t="s">
        <v>15204</v>
      </c>
      <c r="B2134" t="s">
        <v>15205</v>
      </c>
      <c r="C2134" t="s">
        <v>15206</v>
      </c>
      <c r="D2134" t="s">
        <v>3217</v>
      </c>
      <c r="E2134" t="s">
        <v>15207</v>
      </c>
      <c r="F2134" t="s">
        <v>137</v>
      </c>
      <c r="G2134">
        <v>205</v>
      </c>
      <c r="H2134">
        <v>300</v>
      </c>
      <c r="I2134" s="5" t="s">
        <v>15208</v>
      </c>
      <c r="J2134" s="5" t="s">
        <v>15209</v>
      </c>
      <c r="K2134" s="5" t="str">
        <f t="shared" si="66"/>
        <v>https://www.google.com/maps?q=-11.249992, -40.946712</v>
      </c>
      <c r="L2134" s="5" t="str">
        <f t="shared" si="67"/>
        <v>Abrir no Maps</v>
      </c>
      <c r="M2134" t="s">
        <v>15210</v>
      </c>
      <c r="N2134" s="5"/>
      <c r="O2134" t="str">
        <f>VLOOKUP(G2134,'[1]CONFIG.'!$B:$C,2,0)</f>
        <v>EMETIO</v>
      </c>
      <c r="P2134" t="str">
        <f>VLOOKUP(O2134,'[1]CONFIG.'!$C:$D,2,0)</f>
        <v>74 98039589</v>
      </c>
    </row>
    <row r="2135" spans="1:16" x14ac:dyDescent="0.3">
      <c r="A2135" t="s">
        <v>15211</v>
      </c>
      <c r="B2135" t="s">
        <v>15212</v>
      </c>
      <c r="C2135" t="s">
        <v>15213</v>
      </c>
      <c r="D2135" t="s">
        <v>3217</v>
      </c>
      <c r="E2135" t="s">
        <v>15214</v>
      </c>
      <c r="F2135" t="s">
        <v>137</v>
      </c>
      <c r="G2135">
        <v>205</v>
      </c>
      <c r="H2135">
        <v>300</v>
      </c>
      <c r="I2135" s="5" t="s">
        <v>15215</v>
      </c>
      <c r="J2135" s="5" t="s">
        <v>15216</v>
      </c>
      <c r="K2135" s="5" t="str">
        <f t="shared" si="66"/>
        <v>https://www.google.com/maps?q=-11.248734, -40.946850</v>
      </c>
      <c r="L2135" s="5" t="str">
        <f t="shared" si="67"/>
        <v>Abrir no Maps</v>
      </c>
      <c r="M2135" t="s">
        <v>15217</v>
      </c>
      <c r="N2135" s="5"/>
      <c r="O2135" t="str">
        <f>VLOOKUP(G2135,'[1]CONFIG.'!$B:$C,2,0)</f>
        <v>EMETIO</v>
      </c>
      <c r="P2135" t="str">
        <f>VLOOKUP(O2135,'[1]CONFIG.'!$C:$D,2,0)</f>
        <v>74 98039589</v>
      </c>
    </row>
    <row r="2136" spans="1:16" x14ac:dyDescent="0.3">
      <c r="A2136" t="s">
        <v>15218</v>
      </c>
      <c r="B2136" t="s">
        <v>15219</v>
      </c>
      <c r="C2136" t="s">
        <v>15220</v>
      </c>
      <c r="D2136" t="s">
        <v>3217</v>
      </c>
      <c r="E2136" t="s">
        <v>15221</v>
      </c>
      <c r="F2136" t="s">
        <v>137</v>
      </c>
      <c r="G2136">
        <v>205</v>
      </c>
      <c r="H2136">
        <v>300</v>
      </c>
      <c r="I2136" s="5" t="s">
        <v>15222</v>
      </c>
      <c r="J2136" s="5" t="s">
        <v>15223</v>
      </c>
      <c r="K2136" s="5" t="str">
        <f t="shared" si="66"/>
        <v>https://www.google.com/maps?q=-11.250248, -40.947277</v>
      </c>
      <c r="L2136" s="5" t="str">
        <f t="shared" si="67"/>
        <v>Abrir no Maps</v>
      </c>
      <c r="M2136" t="s">
        <v>15224</v>
      </c>
      <c r="N2136" s="5"/>
      <c r="O2136" t="str">
        <f>VLOOKUP(G2136,'[1]CONFIG.'!$B:$C,2,0)</f>
        <v>EMETIO</v>
      </c>
      <c r="P2136" t="str">
        <f>VLOOKUP(O2136,'[1]CONFIG.'!$C:$D,2,0)</f>
        <v>74 98039589</v>
      </c>
    </row>
    <row r="2137" spans="1:16" x14ac:dyDescent="0.3">
      <c r="A2137" t="s">
        <v>15225</v>
      </c>
      <c r="B2137" t="s">
        <v>15226</v>
      </c>
      <c r="C2137" t="s">
        <v>15227</v>
      </c>
      <c r="D2137" t="s">
        <v>3217</v>
      </c>
      <c r="E2137" t="s">
        <v>15228</v>
      </c>
      <c r="F2137" t="s">
        <v>137</v>
      </c>
      <c r="G2137">
        <v>205</v>
      </c>
      <c r="H2137">
        <v>300</v>
      </c>
      <c r="I2137" s="5" t="s">
        <v>15229</v>
      </c>
      <c r="J2137" s="5" t="s">
        <v>15230</v>
      </c>
      <c r="K2137" s="5" t="str">
        <f t="shared" si="66"/>
        <v>https://www.google.com/maps?q=-11.265000, -40.941420</v>
      </c>
      <c r="L2137" s="5" t="str">
        <f t="shared" si="67"/>
        <v>Abrir no Maps</v>
      </c>
      <c r="M2137" t="s">
        <v>15231</v>
      </c>
      <c r="N2137" s="5"/>
      <c r="O2137" t="str">
        <f>VLOOKUP(G2137,'[1]CONFIG.'!$B:$C,2,0)</f>
        <v>EMETIO</v>
      </c>
      <c r="P2137" t="str">
        <f>VLOOKUP(O2137,'[1]CONFIG.'!$C:$D,2,0)</f>
        <v>74 98039589</v>
      </c>
    </row>
    <row r="2138" spans="1:16" x14ac:dyDescent="0.3">
      <c r="A2138" t="s">
        <v>15232</v>
      </c>
      <c r="B2138" t="s">
        <v>15233</v>
      </c>
      <c r="C2138" t="s">
        <v>15234</v>
      </c>
      <c r="D2138" t="s">
        <v>3217</v>
      </c>
      <c r="E2138" t="s">
        <v>15235</v>
      </c>
      <c r="F2138" t="s">
        <v>137</v>
      </c>
      <c r="G2138">
        <v>205</v>
      </c>
      <c r="H2138">
        <v>300</v>
      </c>
      <c r="I2138" s="5" t="s">
        <v>15236</v>
      </c>
      <c r="J2138" s="5" t="s">
        <v>15237</v>
      </c>
      <c r="K2138" s="5" t="str">
        <f t="shared" si="66"/>
        <v>https://www.google.com/maps?q=-11.845946, -40.791490</v>
      </c>
      <c r="L2138" s="5" t="str">
        <f t="shared" si="67"/>
        <v>Abrir no Maps</v>
      </c>
      <c r="M2138" t="s">
        <v>15238</v>
      </c>
      <c r="N2138" s="5"/>
      <c r="O2138" t="str">
        <f>VLOOKUP(G2138,'[1]CONFIG.'!$B:$C,2,0)</f>
        <v>EMETIO</v>
      </c>
      <c r="P2138" t="str">
        <f>VLOOKUP(O2138,'[1]CONFIG.'!$C:$D,2,0)</f>
        <v>74 98039589</v>
      </c>
    </row>
    <row r="2139" spans="1:16" x14ac:dyDescent="0.3">
      <c r="A2139" t="s">
        <v>15239</v>
      </c>
      <c r="B2139" t="s">
        <v>15240</v>
      </c>
      <c r="C2139" t="s">
        <v>15241</v>
      </c>
      <c r="D2139" t="s">
        <v>3217</v>
      </c>
      <c r="E2139" t="s">
        <v>15242</v>
      </c>
      <c r="F2139" t="s">
        <v>137</v>
      </c>
      <c r="G2139">
        <v>205</v>
      </c>
      <c r="H2139">
        <v>300</v>
      </c>
      <c r="I2139" s="5" t="s">
        <v>15243</v>
      </c>
      <c r="J2139" s="5" t="s">
        <v>15244</v>
      </c>
      <c r="K2139" s="5" t="str">
        <f t="shared" si="66"/>
        <v>https://www.google.com/maps?q=-11.252688, -40.946484</v>
      </c>
      <c r="L2139" s="5" t="str">
        <f t="shared" si="67"/>
        <v>Abrir no Maps</v>
      </c>
      <c r="M2139" t="s">
        <v>15245</v>
      </c>
      <c r="N2139" s="5"/>
      <c r="O2139" t="str">
        <f>VLOOKUP(G2139,'[1]CONFIG.'!$B:$C,2,0)</f>
        <v>EMETIO</v>
      </c>
      <c r="P2139" t="str">
        <f>VLOOKUP(O2139,'[1]CONFIG.'!$C:$D,2,0)</f>
        <v>74 98039589</v>
      </c>
    </row>
    <row r="2140" spans="1:16" x14ac:dyDescent="0.3">
      <c r="A2140" t="s">
        <v>15246</v>
      </c>
      <c r="B2140" t="s">
        <v>15247</v>
      </c>
      <c r="C2140" t="s">
        <v>15248</v>
      </c>
      <c r="D2140" t="s">
        <v>3217</v>
      </c>
      <c r="E2140" t="s">
        <v>15249</v>
      </c>
      <c r="F2140" t="s">
        <v>137</v>
      </c>
      <c r="G2140">
        <v>205</v>
      </c>
      <c r="H2140">
        <v>300</v>
      </c>
      <c r="I2140" s="5" t="s">
        <v>15250</v>
      </c>
      <c r="J2140" s="5" t="s">
        <v>15251</v>
      </c>
      <c r="K2140" s="5" t="str">
        <f t="shared" si="66"/>
        <v>https://www.google.com/maps?q=-11.256404, -40.943608</v>
      </c>
      <c r="L2140" s="5" t="str">
        <f t="shared" si="67"/>
        <v>Abrir no Maps</v>
      </c>
      <c r="M2140" t="s">
        <v>15238</v>
      </c>
      <c r="N2140" s="5"/>
      <c r="O2140" t="str">
        <f>VLOOKUP(G2140,'[1]CONFIG.'!$B:$C,2,0)</f>
        <v>EMETIO</v>
      </c>
      <c r="P2140" t="str">
        <f>VLOOKUP(O2140,'[1]CONFIG.'!$C:$D,2,0)</f>
        <v>74 98039589</v>
      </c>
    </row>
    <row r="2141" spans="1:16" x14ac:dyDescent="0.3">
      <c r="A2141" t="s">
        <v>15252</v>
      </c>
      <c r="B2141" t="s">
        <v>15253</v>
      </c>
      <c r="C2141" t="s">
        <v>15254</v>
      </c>
      <c r="D2141" t="s">
        <v>3217</v>
      </c>
      <c r="E2141" t="s">
        <v>15255</v>
      </c>
      <c r="F2141" t="s">
        <v>137</v>
      </c>
      <c r="G2141">
        <v>205</v>
      </c>
      <c r="H2141">
        <v>300</v>
      </c>
      <c r="I2141" s="5" t="s">
        <v>15256</v>
      </c>
      <c r="J2141" s="5" t="s">
        <v>15257</v>
      </c>
      <c r="K2141" s="5" t="str">
        <f t="shared" si="66"/>
        <v>https://www.google.com/maps?q=-11.257798, -40.945597</v>
      </c>
      <c r="L2141" s="5" t="str">
        <f t="shared" si="67"/>
        <v>Abrir no Maps</v>
      </c>
      <c r="M2141" t="s">
        <v>15258</v>
      </c>
      <c r="N2141" s="5"/>
      <c r="O2141" t="str">
        <f>VLOOKUP(G2141,'[1]CONFIG.'!$B:$C,2,0)</f>
        <v>EMETIO</v>
      </c>
      <c r="P2141" t="str">
        <f>VLOOKUP(O2141,'[1]CONFIG.'!$C:$D,2,0)</f>
        <v>74 98039589</v>
      </c>
    </row>
    <row r="2142" spans="1:16" x14ac:dyDescent="0.3">
      <c r="A2142" t="s">
        <v>15259</v>
      </c>
      <c r="B2142" t="s">
        <v>15260</v>
      </c>
      <c r="C2142" t="s">
        <v>15261</v>
      </c>
      <c r="D2142" t="s">
        <v>3217</v>
      </c>
      <c r="E2142" t="s">
        <v>15262</v>
      </c>
      <c r="F2142" t="s">
        <v>3217</v>
      </c>
      <c r="G2142">
        <v>205</v>
      </c>
      <c r="H2142">
        <v>300</v>
      </c>
      <c r="I2142" s="5" t="s">
        <v>15263</v>
      </c>
      <c r="J2142" s="5" t="s">
        <v>15264</v>
      </c>
      <c r="K2142" s="5" t="str">
        <f t="shared" si="66"/>
        <v>https://www.google.com/maps?q=-11.250649, -40.951278</v>
      </c>
      <c r="L2142" s="5" t="str">
        <f t="shared" si="67"/>
        <v>Abrir no Maps</v>
      </c>
      <c r="M2142" t="s">
        <v>15265</v>
      </c>
      <c r="N2142" s="5"/>
      <c r="O2142" t="str">
        <f>VLOOKUP(G2142,'[1]CONFIG.'!$B:$C,2,0)</f>
        <v>EMETIO</v>
      </c>
      <c r="P2142" t="str">
        <f>VLOOKUP(O2142,'[1]CONFIG.'!$C:$D,2,0)</f>
        <v>74 98039589</v>
      </c>
    </row>
    <row r="2143" spans="1:16" x14ac:dyDescent="0.3">
      <c r="A2143" t="s">
        <v>15266</v>
      </c>
      <c r="B2143" t="s">
        <v>15267</v>
      </c>
      <c r="C2143" t="s">
        <v>15268</v>
      </c>
      <c r="D2143" t="s">
        <v>3217</v>
      </c>
      <c r="E2143" t="s">
        <v>15269</v>
      </c>
      <c r="F2143" t="s">
        <v>3217</v>
      </c>
      <c r="G2143">
        <v>205</v>
      </c>
      <c r="H2143">
        <v>300</v>
      </c>
      <c r="I2143" s="5" t="s">
        <v>15270</v>
      </c>
      <c r="J2143" s="5" t="s">
        <v>15271</v>
      </c>
      <c r="K2143" s="5" t="str">
        <f t="shared" si="66"/>
        <v>https://www.google.com/maps?q=-11.263274, -40.942492</v>
      </c>
      <c r="L2143" s="5" t="str">
        <f t="shared" si="67"/>
        <v>Abrir no Maps</v>
      </c>
      <c r="M2143" t="s">
        <v>15272</v>
      </c>
      <c r="N2143" s="5"/>
      <c r="O2143" t="str">
        <f>VLOOKUP(G2143,'[1]CONFIG.'!$B:$C,2,0)</f>
        <v>EMETIO</v>
      </c>
      <c r="P2143" t="str">
        <f>VLOOKUP(O2143,'[1]CONFIG.'!$C:$D,2,0)</f>
        <v>74 98039589</v>
      </c>
    </row>
    <row r="2144" spans="1:16" x14ac:dyDescent="0.3">
      <c r="A2144" t="s">
        <v>15273</v>
      </c>
      <c r="B2144" t="s">
        <v>15274</v>
      </c>
      <c r="C2144" t="s">
        <v>15275</v>
      </c>
      <c r="D2144" t="s">
        <v>3217</v>
      </c>
      <c r="E2144" t="s">
        <v>15276</v>
      </c>
      <c r="F2144" t="s">
        <v>15277</v>
      </c>
      <c r="G2144">
        <v>205</v>
      </c>
      <c r="H2144">
        <v>300</v>
      </c>
      <c r="I2144" s="5" t="s">
        <v>15278</v>
      </c>
      <c r="J2144" s="5" t="s">
        <v>15279</v>
      </c>
      <c r="K2144" s="5" t="str">
        <f t="shared" si="66"/>
        <v>https://www.google.com/maps?q=-11.251587, -40.949635</v>
      </c>
      <c r="L2144" s="5" t="str">
        <f t="shared" si="67"/>
        <v>Abrir no Maps</v>
      </c>
      <c r="M2144" t="s">
        <v>15280</v>
      </c>
      <c r="N2144" s="5"/>
      <c r="O2144" t="str">
        <f>VLOOKUP(G2144,'[1]CONFIG.'!$B:$C,2,0)</f>
        <v>EMETIO</v>
      </c>
      <c r="P2144" t="str">
        <f>VLOOKUP(O2144,'[1]CONFIG.'!$C:$D,2,0)</f>
        <v>74 98039589</v>
      </c>
    </row>
    <row r="2145" spans="1:16" x14ac:dyDescent="0.3">
      <c r="A2145" t="s">
        <v>15281</v>
      </c>
      <c r="B2145" t="s">
        <v>15282</v>
      </c>
      <c r="C2145" t="s">
        <v>15283</v>
      </c>
      <c r="D2145" t="s">
        <v>3217</v>
      </c>
      <c r="E2145" t="s">
        <v>15284</v>
      </c>
      <c r="F2145" t="s">
        <v>3217</v>
      </c>
      <c r="G2145">
        <v>205</v>
      </c>
      <c r="H2145">
        <v>300</v>
      </c>
      <c r="I2145" s="5" t="s">
        <v>15285</v>
      </c>
      <c r="J2145" s="5" t="s">
        <v>15286</v>
      </c>
      <c r="K2145" s="5" t="str">
        <f t="shared" si="66"/>
        <v>https://www.google.com/maps?q=-11.261920, -40.944310</v>
      </c>
      <c r="L2145" s="5" t="str">
        <f t="shared" si="67"/>
        <v>Abrir no Maps</v>
      </c>
      <c r="M2145" t="s">
        <v>15287</v>
      </c>
      <c r="N2145" s="5"/>
      <c r="O2145" t="str">
        <f>VLOOKUP(G2145,'[1]CONFIG.'!$B:$C,2,0)</f>
        <v>EMETIO</v>
      </c>
      <c r="P2145" t="str">
        <f>VLOOKUP(O2145,'[1]CONFIG.'!$C:$D,2,0)</f>
        <v>74 98039589</v>
      </c>
    </row>
    <row r="2146" spans="1:16" x14ac:dyDescent="0.3">
      <c r="A2146" t="s">
        <v>15288</v>
      </c>
      <c r="B2146" t="s">
        <v>15289</v>
      </c>
      <c r="C2146" t="s">
        <v>15290</v>
      </c>
      <c r="D2146" t="s">
        <v>3217</v>
      </c>
      <c r="E2146" t="s">
        <v>15291</v>
      </c>
      <c r="F2146" t="s">
        <v>137</v>
      </c>
      <c r="G2146">
        <v>205</v>
      </c>
      <c r="H2146">
        <v>300</v>
      </c>
      <c r="I2146" s="5" t="s">
        <v>15292</v>
      </c>
      <c r="J2146" s="5" t="s">
        <v>15293</v>
      </c>
      <c r="K2146" s="5" t="str">
        <f t="shared" si="66"/>
        <v>https://www.google.com/maps?q=-11.256621, -40.941671</v>
      </c>
      <c r="L2146" s="5" t="str">
        <f t="shared" si="67"/>
        <v>Abrir no Maps</v>
      </c>
      <c r="M2146" t="s">
        <v>15294</v>
      </c>
      <c r="N2146" s="5"/>
      <c r="O2146" t="str">
        <f>VLOOKUP(G2146,'[1]CONFIG.'!$B:$C,2,0)</f>
        <v>EMETIO</v>
      </c>
      <c r="P2146" t="str">
        <f>VLOOKUP(O2146,'[1]CONFIG.'!$C:$D,2,0)</f>
        <v>74 98039589</v>
      </c>
    </row>
    <row r="2147" spans="1:16" x14ac:dyDescent="0.3">
      <c r="A2147" t="s">
        <v>15295</v>
      </c>
      <c r="B2147" t="s">
        <v>15296</v>
      </c>
      <c r="C2147" t="s">
        <v>15297</v>
      </c>
      <c r="D2147" t="s">
        <v>3217</v>
      </c>
      <c r="E2147" t="s">
        <v>15298</v>
      </c>
      <c r="F2147" t="s">
        <v>137</v>
      </c>
      <c r="G2147">
        <v>205</v>
      </c>
      <c r="H2147">
        <v>300</v>
      </c>
      <c r="I2147" s="5" t="s">
        <v>15299</v>
      </c>
      <c r="J2147" s="5" t="s">
        <v>15300</v>
      </c>
      <c r="K2147" s="5" t="str">
        <f t="shared" si="66"/>
        <v>https://www.google.com/maps?q=-11.249903, -40.144661</v>
      </c>
      <c r="L2147" s="5" t="str">
        <f t="shared" si="67"/>
        <v>Abrir no Maps</v>
      </c>
      <c r="M2147" t="s">
        <v>15301</v>
      </c>
      <c r="N2147" s="5"/>
      <c r="O2147" t="str">
        <f>VLOOKUP(G2147,'[1]CONFIG.'!$B:$C,2,0)</f>
        <v>EMETIO</v>
      </c>
      <c r="P2147" t="str">
        <f>VLOOKUP(O2147,'[1]CONFIG.'!$C:$D,2,0)</f>
        <v>74 98039589</v>
      </c>
    </row>
    <row r="2148" spans="1:16" x14ac:dyDescent="0.3">
      <c r="A2148" t="s">
        <v>15302</v>
      </c>
      <c r="B2148" t="s">
        <v>15303</v>
      </c>
      <c r="C2148" t="s">
        <v>15304</v>
      </c>
      <c r="D2148" t="s">
        <v>3217</v>
      </c>
      <c r="E2148" t="s">
        <v>15305</v>
      </c>
      <c r="F2148" t="s">
        <v>137</v>
      </c>
      <c r="G2148">
        <v>205</v>
      </c>
      <c r="H2148">
        <v>300</v>
      </c>
      <c r="I2148" s="5" t="s">
        <v>15306</v>
      </c>
      <c r="J2148" s="5" t="s">
        <v>15307</v>
      </c>
      <c r="K2148" s="5" t="str">
        <f t="shared" si="66"/>
        <v>https://www.google.com/maps?q=-11.252144, -40.946537</v>
      </c>
      <c r="L2148" s="5" t="str">
        <f t="shared" si="67"/>
        <v>Abrir no Maps</v>
      </c>
      <c r="M2148" t="s">
        <v>15308</v>
      </c>
      <c r="N2148" s="5"/>
      <c r="O2148" t="str">
        <f>VLOOKUP(G2148,'[1]CONFIG.'!$B:$C,2,0)</f>
        <v>EMETIO</v>
      </c>
      <c r="P2148" t="str">
        <f>VLOOKUP(O2148,'[1]CONFIG.'!$C:$D,2,0)</f>
        <v>74 98039589</v>
      </c>
    </row>
    <row r="2149" spans="1:16" x14ac:dyDescent="0.3">
      <c r="A2149" t="s">
        <v>15309</v>
      </c>
      <c r="B2149" t="s">
        <v>15310</v>
      </c>
      <c r="C2149" t="s">
        <v>15311</v>
      </c>
      <c r="D2149" t="s">
        <v>3217</v>
      </c>
      <c r="E2149" t="s">
        <v>15312</v>
      </c>
      <c r="F2149" t="s">
        <v>137</v>
      </c>
      <c r="G2149">
        <v>205</v>
      </c>
      <c r="H2149">
        <v>300</v>
      </c>
      <c r="I2149" s="5" t="s">
        <v>15313</v>
      </c>
      <c r="J2149" s="5" t="s">
        <v>15314</v>
      </c>
      <c r="K2149" s="5" t="str">
        <f t="shared" si="66"/>
        <v>https://www.google.com/maps?q=-11.254196, -40.947805</v>
      </c>
      <c r="L2149" s="5" t="str">
        <f t="shared" si="67"/>
        <v>Abrir no Maps</v>
      </c>
      <c r="M2149" t="s">
        <v>15315</v>
      </c>
      <c r="N2149" s="5"/>
      <c r="O2149" t="str">
        <f>VLOOKUP(G2149,'[1]CONFIG.'!$B:$C,2,0)</f>
        <v>EMETIO</v>
      </c>
      <c r="P2149" t="str">
        <f>VLOOKUP(O2149,'[1]CONFIG.'!$C:$D,2,0)</f>
        <v>74 98039589</v>
      </c>
    </row>
    <row r="2150" spans="1:16" x14ac:dyDescent="0.3">
      <c r="A2150" t="s">
        <v>15316</v>
      </c>
      <c r="B2150" t="s">
        <v>15317</v>
      </c>
      <c r="C2150" t="s">
        <v>15318</v>
      </c>
      <c r="D2150" t="s">
        <v>3217</v>
      </c>
      <c r="E2150" t="s">
        <v>15319</v>
      </c>
      <c r="F2150" t="s">
        <v>137</v>
      </c>
      <c r="G2150">
        <v>205</v>
      </c>
      <c r="H2150">
        <v>300</v>
      </c>
      <c r="I2150" s="5" t="s">
        <v>15320</v>
      </c>
      <c r="J2150" s="5" t="s">
        <v>15103</v>
      </c>
      <c r="K2150" s="5" t="str">
        <f t="shared" si="66"/>
        <v>https://www.google.com/maps?q=-11.253937, -40.943825</v>
      </c>
      <c r="L2150" s="5" t="str">
        <f t="shared" si="67"/>
        <v>Abrir no Maps</v>
      </c>
      <c r="M2150" t="s">
        <v>10766</v>
      </c>
      <c r="N2150" s="5"/>
      <c r="O2150" t="str">
        <f>VLOOKUP(G2150,'[1]CONFIG.'!$B:$C,2,0)</f>
        <v>EMETIO</v>
      </c>
      <c r="P2150" t="str">
        <f>VLOOKUP(O2150,'[1]CONFIG.'!$C:$D,2,0)</f>
        <v>74 98039589</v>
      </c>
    </row>
    <row r="2151" spans="1:16" x14ac:dyDescent="0.3">
      <c r="A2151" t="s">
        <v>15321</v>
      </c>
      <c r="B2151" t="s">
        <v>15322</v>
      </c>
      <c r="C2151" t="s">
        <v>15323</v>
      </c>
      <c r="D2151" t="s">
        <v>14513</v>
      </c>
      <c r="E2151" t="s">
        <v>15324</v>
      </c>
      <c r="F2151" t="s">
        <v>137</v>
      </c>
      <c r="G2151">
        <v>213</v>
      </c>
      <c r="H2151">
        <v>300</v>
      </c>
      <c r="I2151" s="5" t="s">
        <v>15325</v>
      </c>
      <c r="J2151" s="5" t="s">
        <v>15326</v>
      </c>
      <c r="K2151" s="5" t="str">
        <f t="shared" si="66"/>
        <v>https://www.google.com/maps?q=-12.279607, -41.165115</v>
      </c>
      <c r="L2151" s="5" t="str">
        <f t="shared" si="67"/>
        <v>Abrir no Maps</v>
      </c>
      <c r="M2151" t="s">
        <v>15327</v>
      </c>
      <c r="N2151" s="5"/>
      <c r="O2151" t="str">
        <f>VLOOKUP(G2151,'[1]CONFIG.'!$B:$C,2,0)</f>
        <v>DANIEL</v>
      </c>
      <c r="P2151" t="str">
        <f>VLOOKUP(O2151,'[1]CONFIG.'!$C:$D,2,0)</f>
        <v>74 99461824</v>
      </c>
    </row>
    <row r="2152" spans="1:16" x14ac:dyDescent="0.3">
      <c r="A2152" t="s">
        <v>15328</v>
      </c>
      <c r="B2152" t="s">
        <v>15329</v>
      </c>
      <c r="C2152" t="s">
        <v>15330</v>
      </c>
      <c r="D2152" t="s">
        <v>3225</v>
      </c>
      <c r="E2152" t="s">
        <v>15331</v>
      </c>
      <c r="F2152" t="s">
        <v>14401</v>
      </c>
      <c r="G2152">
        <v>213</v>
      </c>
      <c r="H2152">
        <v>300</v>
      </c>
      <c r="I2152" s="5" t="s">
        <v>15332</v>
      </c>
      <c r="J2152" s="5" t="s">
        <v>15333</v>
      </c>
      <c r="K2152" s="5" t="str">
        <f t="shared" si="66"/>
        <v>https://www.google.com/maps?q=-12.073786, -41.088543</v>
      </c>
      <c r="L2152" s="5" t="str">
        <f t="shared" si="67"/>
        <v>Abrir no Maps</v>
      </c>
      <c r="M2152" t="s">
        <v>15334</v>
      </c>
      <c r="N2152" s="5"/>
      <c r="O2152" t="str">
        <f>VLOOKUP(G2152,'[1]CONFIG.'!$B:$C,2,0)</f>
        <v>DANIEL</v>
      </c>
      <c r="P2152" t="str">
        <f>VLOOKUP(O2152,'[1]CONFIG.'!$C:$D,2,0)</f>
        <v>74 99461824</v>
      </c>
    </row>
    <row r="2153" spans="1:16" x14ac:dyDescent="0.3">
      <c r="A2153" t="s">
        <v>15335</v>
      </c>
      <c r="B2153" t="s">
        <v>15336</v>
      </c>
      <c r="C2153" t="s">
        <v>15337</v>
      </c>
      <c r="D2153" t="s">
        <v>14513</v>
      </c>
      <c r="E2153" t="s">
        <v>15338</v>
      </c>
      <c r="F2153" t="s">
        <v>137</v>
      </c>
      <c r="G2153">
        <v>213</v>
      </c>
      <c r="H2153">
        <v>300</v>
      </c>
      <c r="I2153" s="5" t="s">
        <v>15339</v>
      </c>
      <c r="J2153" s="5" t="s">
        <v>15340</v>
      </c>
      <c r="K2153" s="5" t="str">
        <f t="shared" si="66"/>
        <v>https://www.google.com/maps?q=-12.281582, -41.169735</v>
      </c>
      <c r="L2153" s="5" t="str">
        <f t="shared" si="67"/>
        <v>Abrir no Maps</v>
      </c>
      <c r="M2153" t="s">
        <v>15341</v>
      </c>
      <c r="N2153" s="5"/>
      <c r="O2153" t="str">
        <f>VLOOKUP(G2153,'[1]CONFIG.'!$B:$C,2,0)</f>
        <v>DANIEL</v>
      </c>
      <c r="P2153" t="str">
        <f>VLOOKUP(O2153,'[1]CONFIG.'!$C:$D,2,0)</f>
        <v>74 99461824</v>
      </c>
    </row>
    <row r="2154" spans="1:16" x14ac:dyDescent="0.3">
      <c r="A2154" t="s">
        <v>15342</v>
      </c>
      <c r="B2154" t="s">
        <v>15343</v>
      </c>
      <c r="C2154" t="s">
        <v>15344</v>
      </c>
      <c r="D2154" t="s">
        <v>14513</v>
      </c>
      <c r="E2154" t="s">
        <v>15345</v>
      </c>
      <c r="F2154" t="s">
        <v>137</v>
      </c>
      <c r="G2154">
        <v>213</v>
      </c>
      <c r="H2154">
        <v>300</v>
      </c>
      <c r="I2154" s="5" t="s">
        <v>15346</v>
      </c>
      <c r="J2154" s="5" t="s">
        <v>15347</v>
      </c>
      <c r="K2154" s="5" t="str">
        <f t="shared" si="66"/>
        <v>https://www.google.com/maps?q=-12.277489, -41.166050</v>
      </c>
      <c r="L2154" s="5" t="str">
        <f t="shared" si="67"/>
        <v>Abrir no Maps</v>
      </c>
      <c r="M2154" t="s">
        <v>15348</v>
      </c>
      <c r="N2154" s="5"/>
      <c r="O2154" t="str">
        <f>VLOOKUP(G2154,'[1]CONFIG.'!$B:$C,2,0)</f>
        <v>DANIEL</v>
      </c>
      <c r="P2154" t="str">
        <f>VLOOKUP(O2154,'[1]CONFIG.'!$C:$D,2,0)</f>
        <v>74 99461824</v>
      </c>
    </row>
    <row r="2155" spans="1:16" x14ac:dyDescent="0.3">
      <c r="A2155" t="s">
        <v>15349</v>
      </c>
      <c r="B2155" t="s">
        <v>15350</v>
      </c>
      <c r="C2155" t="s">
        <v>15351</v>
      </c>
      <c r="D2155" t="s">
        <v>14513</v>
      </c>
      <c r="E2155" t="s">
        <v>15352</v>
      </c>
      <c r="F2155" t="s">
        <v>137</v>
      </c>
      <c r="G2155">
        <v>213</v>
      </c>
      <c r="H2155">
        <v>300</v>
      </c>
      <c r="I2155" s="5" t="s">
        <v>15353</v>
      </c>
      <c r="J2155" s="5" t="s">
        <v>15354</v>
      </c>
      <c r="K2155" s="5" t="str">
        <f t="shared" si="66"/>
        <v>https://www.google.com/maps?q=-12.279366, -41.166626</v>
      </c>
      <c r="L2155" s="5" t="str">
        <f t="shared" si="67"/>
        <v>Abrir no Maps</v>
      </c>
      <c r="M2155" t="s">
        <v>15355</v>
      </c>
      <c r="N2155" s="5"/>
      <c r="O2155" t="str">
        <f>VLOOKUP(G2155,'[1]CONFIG.'!$B:$C,2,0)</f>
        <v>DANIEL</v>
      </c>
      <c r="P2155" t="str">
        <f>VLOOKUP(O2155,'[1]CONFIG.'!$C:$D,2,0)</f>
        <v>74 99461824</v>
      </c>
    </row>
    <row r="2156" spans="1:16" x14ac:dyDescent="0.3">
      <c r="A2156" t="s">
        <v>15356</v>
      </c>
      <c r="B2156" t="s">
        <v>15357</v>
      </c>
      <c r="C2156" t="s">
        <v>15358</v>
      </c>
      <c r="D2156" t="s">
        <v>14513</v>
      </c>
      <c r="E2156" t="s">
        <v>15359</v>
      </c>
      <c r="F2156" t="s">
        <v>137</v>
      </c>
      <c r="G2156">
        <v>213</v>
      </c>
      <c r="H2156">
        <v>300</v>
      </c>
      <c r="I2156" s="5" t="s">
        <v>15360</v>
      </c>
      <c r="J2156" s="5" t="s">
        <v>15361</v>
      </c>
      <c r="K2156" s="5" t="str">
        <f t="shared" si="66"/>
        <v>https://www.google.com/maps?q=-12.282178, -41.166103</v>
      </c>
      <c r="L2156" s="5" t="str">
        <f t="shared" si="67"/>
        <v>Abrir no Maps</v>
      </c>
      <c r="M2156" t="s">
        <v>15362</v>
      </c>
      <c r="N2156" s="5"/>
      <c r="O2156" t="str">
        <f>VLOOKUP(G2156,'[1]CONFIG.'!$B:$C,2,0)</f>
        <v>DANIEL</v>
      </c>
      <c r="P2156" t="str">
        <f>VLOOKUP(O2156,'[1]CONFIG.'!$C:$D,2,0)</f>
        <v>74 99461824</v>
      </c>
    </row>
    <row r="2157" spans="1:16" x14ac:dyDescent="0.3">
      <c r="A2157" t="s">
        <v>15363</v>
      </c>
      <c r="B2157" t="s">
        <v>15364</v>
      </c>
      <c r="C2157" t="s">
        <v>15365</v>
      </c>
      <c r="D2157" t="s">
        <v>14513</v>
      </c>
      <c r="E2157" t="s">
        <v>15366</v>
      </c>
      <c r="F2157" t="s">
        <v>137</v>
      </c>
      <c r="G2157">
        <v>213</v>
      </c>
      <c r="H2157">
        <v>300</v>
      </c>
      <c r="I2157" s="5" t="s">
        <v>15367</v>
      </c>
      <c r="J2157" s="5" t="s">
        <v>15368</v>
      </c>
      <c r="K2157" s="5" t="str">
        <f t="shared" si="66"/>
        <v>https://www.google.com/maps?q=-12.281923, -41.167978</v>
      </c>
      <c r="L2157" s="5" t="str">
        <f t="shared" si="67"/>
        <v>Abrir no Maps</v>
      </c>
      <c r="M2157" t="s">
        <v>15369</v>
      </c>
      <c r="N2157" s="5"/>
      <c r="O2157" t="str">
        <f>VLOOKUP(G2157,'[1]CONFIG.'!$B:$C,2,0)</f>
        <v>DANIEL</v>
      </c>
      <c r="P2157" t="str">
        <f>VLOOKUP(O2157,'[1]CONFIG.'!$C:$D,2,0)</f>
        <v>74 99461824</v>
      </c>
    </row>
    <row r="2158" spans="1:16" x14ac:dyDescent="0.3">
      <c r="A2158" t="s">
        <v>15370</v>
      </c>
      <c r="B2158" t="s">
        <v>15371</v>
      </c>
      <c r="C2158" t="s">
        <v>15372</v>
      </c>
      <c r="D2158" t="s">
        <v>14513</v>
      </c>
      <c r="E2158" t="s">
        <v>15373</v>
      </c>
      <c r="F2158" t="s">
        <v>15374</v>
      </c>
      <c r="G2158">
        <v>213</v>
      </c>
      <c r="H2158">
        <v>300</v>
      </c>
      <c r="I2158" s="5" t="s">
        <v>15375</v>
      </c>
      <c r="J2158" s="5" t="s">
        <v>15376</v>
      </c>
      <c r="K2158" s="5" t="str">
        <f t="shared" si="66"/>
        <v>https://www.google.com/maps?q=-12.288055, -41.171390</v>
      </c>
      <c r="L2158" s="5" t="str">
        <f t="shared" si="67"/>
        <v>Abrir no Maps</v>
      </c>
      <c r="M2158" t="s">
        <v>15377</v>
      </c>
      <c r="N2158" s="5"/>
      <c r="O2158" t="str">
        <f>VLOOKUP(G2158,'[1]CONFIG.'!$B:$C,2,0)</f>
        <v>DANIEL</v>
      </c>
      <c r="P2158" t="str">
        <f>VLOOKUP(O2158,'[1]CONFIG.'!$C:$D,2,0)</f>
        <v>74 99461824</v>
      </c>
    </row>
    <row r="2159" spans="1:16" x14ac:dyDescent="0.3">
      <c r="A2159" t="s">
        <v>15378</v>
      </c>
      <c r="B2159" t="s">
        <v>15379</v>
      </c>
      <c r="C2159" t="s">
        <v>15380</v>
      </c>
      <c r="D2159" t="s">
        <v>14513</v>
      </c>
      <c r="E2159" t="s">
        <v>15381</v>
      </c>
      <c r="F2159" t="s">
        <v>137</v>
      </c>
      <c r="G2159">
        <v>213</v>
      </c>
      <c r="H2159">
        <v>300</v>
      </c>
      <c r="I2159" s="5" t="s">
        <v>15382</v>
      </c>
      <c r="J2159" s="5" t="s">
        <v>15383</v>
      </c>
      <c r="K2159" s="5" t="str">
        <f t="shared" si="66"/>
        <v>https://www.google.com/maps?q=-12.288333, -41.171665</v>
      </c>
      <c r="L2159" s="5" t="str">
        <f t="shared" si="67"/>
        <v>Abrir no Maps</v>
      </c>
      <c r="M2159" t="s">
        <v>15384</v>
      </c>
      <c r="N2159" s="5"/>
      <c r="O2159" t="str">
        <f>VLOOKUP(G2159,'[1]CONFIG.'!$B:$C,2,0)</f>
        <v>DANIEL</v>
      </c>
      <c r="P2159" t="str">
        <f>VLOOKUP(O2159,'[1]CONFIG.'!$C:$D,2,0)</f>
        <v>74 99461824</v>
      </c>
    </row>
    <row r="2160" spans="1:16" x14ac:dyDescent="0.3">
      <c r="A2160" t="s">
        <v>15385</v>
      </c>
      <c r="B2160" t="s">
        <v>15386</v>
      </c>
      <c r="C2160" t="s">
        <v>15387</v>
      </c>
      <c r="D2160" t="s">
        <v>14513</v>
      </c>
      <c r="E2160" t="s">
        <v>15388</v>
      </c>
      <c r="F2160" t="s">
        <v>137</v>
      </c>
      <c r="G2160">
        <v>213</v>
      </c>
      <c r="H2160">
        <v>300</v>
      </c>
      <c r="I2160" s="5" t="s">
        <v>15389</v>
      </c>
      <c r="J2160" s="5" t="s">
        <v>15390</v>
      </c>
      <c r="K2160" s="5" t="str">
        <f t="shared" si="66"/>
        <v>https://www.google.com/maps?q=-12.281667, -41.172500</v>
      </c>
      <c r="L2160" s="5" t="str">
        <f t="shared" si="67"/>
        <v>Abrir no Maps</v>
      </c>
      <c r="M2160" t="s">
        <v>15391</v>
      </c>
      <c r="N2160" s="5"/>
      <c r="O2160" t="str">
        <f>VLOOKUP(G2160,'[1]CONFIG.'!$B:$C,2,0)</f>
        <v>DANIEL</v>
      </c>
      <c r="P2160" t="str">
        <f>VLOOKUP(O2160,'[1]CONFIG.'!$C:$D,2,0)</f>
        <v>74 99461824</v>
      </c>
    </row>
    <row r="2161" spans="1:16" x14ac:dyDescent="0.3">
      <c r="A2161" t="s">
        <v>15392</v>
      </c>
      <c r="B2161" t="s">
        <v>15393</v>
      </c>
      <c r="C2161" t="s">
        <v>15394</v>
      </c>
      <c r="D2161" t="s">
        <v>14513</v>
      </c>
      <c r="E2161" t="s">
        <v>15395</v>
      </c>
      <c r="F2161" t="s">
        <v>137</v>
      </c>
      <c r="G2161">
        <v>213</v>
      </c>
      <c r="H2161">
        <v>300</v>
      </c>
      <c r="I2161" s="5" t="s">
        <v>15396</v>
      </c>
      <c r="J2161" s="5" t="s">
        <v>15397</v>
      </c>
      <c r="K2161" s="5" t="str">
        <f t="shared" si="66"/>
        <v>https://www.google.com/maps?q=-12.282222, -41.165280</v>
      </c>
      <c r="L2161" s="5" t="str">
        <f t="shared" si="67"/>
        <v>Abrir no Maps</v>
      </c>
      <c r="M2161" t="s">
        <v>15398</v>
      </c>
      <c r="N2161" s="5"/>
      <c r="O2161" t="str">
        <f>VLOOKUP(G2161,'[1]CONFIG.'!$B:$C,2,0)</f>
        <v>DANIEL</v>
      </c>
      <c r="P2161" t="str">
        <f>VLOOKUP(O2161,'[1]CONFIG.'!$C:$D,2,0)</f>
        <v>74 99461824</v>
      </c>
    </row>
    <row r="2162" spans="1:16" x14ac:dyDescent="0.3">
      <c r="A2162" t="s">
        <v>15399</v>
      </c>
      <c r="B2162" t="s">
        <v>15400</v>
      </c>
      <c r="C2162" t="s">
        <v>15401</v>
      </c>
      <c r="D2162" t="s">
        <v>14513</v>
      </c>
      <c r="E2162" t="s">
        <v>15402</v>
      </c>
      <c r="F2162" t="s">
        <v>137</v>
      </c>
      <c r="G2162">
        <v>213</v>
      </c>
      <c r="H2162">
        <v>300</v>
      </c>
      <c r="I2162" s="5" t="s">
        <v>15403</v>
      </c>
      <c r="J2162" s="5" t="s">
        <v>15404</v>
      </c>
      <c r="K2162" s="5" t="str">
        <f t="shared" si="66"/>
        <v>https://www.google.com/maps?q=-12.277705, -41.166035</v>
      </c>
      <c r="L2162" s="5" t="str">
        <f t="shared" si="67"/>
        <v>Abrir no Maps</v>
      </c>
      <c r="M2162" t="s">
        <v>15405</v>
      </c>
      <c r="N2162" s="5"/>
      <c r="O2162" t="str">
        <f>VLOOKUP(G2162,'[1]CONFIG.'!$B:$C,2,0)</f>
        <v>DANIEL</v>
      </c>
      <c r="P2162" t="str">
        <f>VLOOKUP(O2162,'[1]CONFIG.'!$C:$D,2,0)</f>
        <v>74 99461824</v>
      </c>
    </row>
    <row r="2163" spans="1:16" x14ac:dyDescent="0.3">
      <c r="A2163" t="s">
        <v>15406</v>
      </c>
      <c r="B2163" t="s">
        <v>15407</v>
      </c>
      <c r="C2163" t="s">
        <v>15408</v>
      </c>
      <c r="D2163" t="s">
        <v>14513</v>
      </c>
      <c r="E2163" t="s">
        <v>15409</v>
      </c>
      <c r="F2163" t="s">
        <v>137</v>
      </c>
      <c r="G2163">
        <v>213</v>
      </c>
      <c r="H2163">
        <v>300</v>
      </c>
      <c r="I2163" s="5" t="s">
        <v>15410</v>
      </c>
      <c r="J2163" s="5" t="s">
        <v>15411</v>
      </c>
      <c r="K2163" s="5" t="str">
        <f t="shared" si="66"/>
        <v>https://www.google.com/maps?q=-12.281513, -41.169544</v>
      </c>
      <c r="L2163" s="5" t="str">
        <f t="shared" si="67"/>
        <v>Abrir no Maps</v>
      </c>
      <c r="M2163" t="s">
        <v>15412</v>
      </c>
      <c r="N2163" s="5"/>
      <c r="O2163" t="str">
        <f>VLOOKUP(G2163,'[1]CONFIG.'!$B:$C,2,0)</f>
        <v>DANIEL</v>
      </c>
      <c r="P2163" t="str">
        <f>VLOOKUP(O2163,'[1]CONFIG.'!$C:$D,2,0)</f>
        <v>74 99461824</v>
      </c>
    </row>
    <row r="2164" spans="1:16" x14ac:dyDescent="0.3">
      <c r="A2164" t="s">
        <v>15413</v>
      </c>
      <c r="B2164" t="s">
        <v>15414</v>
      </c>
      <c r="C2164" t="s">
        <v>15415</v>
      </c>
      <c r="D2164" t="s">
        <v>14513</v>
      </c>
      <c r="E2164" t="s">
        <v>15416</v>
      </c>
      <c r="F2164" t="s">
        <v>137</v>
      </c>
      <c r="G2164">
        <v>213</v>
      </c>
      <c r="H2164">
        <v>300</v>
      </c>
      <c r="I2164" s="5" t="s">
        <v>15417</v>
      </c>
      <c r="J2164" s="5" t="s">
        <v>15418</v>
      </c>
      <c r="K2164" s="5" t="str">
        <f t="shared" si="66"/>
        <v>https://www.google.com/maps?q=-12.282669, -41.170483</v>
      </c>
      <c r="L2164" s="5" t="str">
        <f t="shared" si="67"/>
        <v>Abrir no Maps</v>
      </c>
      <c r="M2164" t="s">
        <v>15419</v>
      </c>
      <c r="N2164" s="5"/>
      <c r="O2164" t="str">
        <f>VLOOKUP(G2164,'[1]CONFIG.'!$B:$C,2,0)</f>
        <v>DANIEL</v>
      </c>
      <c r="P2164" t="str">
        <f>VLOOKUP(O2164,'[1]CONFIG.'!$C:$D,2,0)</f>
        <v>74 99461824</v>
      </c>
    </row>
    <row r="2165" spans="1:16" x14ac:dyDescent="0.3">
      <c r="A2165" t="s">
        <v>15420</v>
      </c>
      <c r="B2165" t="s">
        <v>15421</v>
      </c>
      <c r="C2165" t="s">
        <v>15422</v>
      </c>
      <c r="D2165" t="s">
        <v>14513</v>
      </c>
      <c r="E2165" t="s">
        <v>15423</v>
      </c>
      <c r="F2165" t="s">
        <v>137</v>
      </c>
      <c r="G2165">
        <v>213</v>
      </c>
      <c r="H2165">
        <v>300</v>
      </c>
      <c r="I2165" s="5" t="s">
        <v>15424</v>
      </c>
      <c r="J2165" s="5" t="s">
        <v>15425</v>
      </c>
      <c r="K2165" s="5" t="str">
        <f t="shared" si="66"/>
        <v>https://www.google.com/maps?q=-12.282687, -41.166020</v>
      </c>
      <c r="L2165" s="5" t="str">
        <f t="shared" si="67"/>
        <v>Abrir no Maps</v>
      </c>
      <c r="M2165" t="s">
        <v>15426</v>
      </c>
      <c r="N2165" s="5"/>
      <c r="O2165" t="str">
        <f>VLOOKUP(G2165,'[1]CONFIG.'!$B:$C,2,0)</f>
        <v>DANIEL</v>
      </c>
      <c r="P2165" t="str">
        <f>VLOOKUP(O2165,'[1]CONFIG.'!$C:$D,2,0)</f>
        <v>74 99461824</v>
      </c>
    </row>
    <row r="2166" spans="1:16" x14ac:dyDescent="0.3">
      <c r="A2166" t="s">
        <v>15427</v>
      </c>
      <c r="B2166" t="s">
        <v>15428</v>
      </c>
      <c r="C2166" t="s">
        <v>15429</v>
      </c>
      <c r="D2166" t="s">
        <v>14513</v>
      </c>
      <c r="E2166" t="s">
        <v>15430</v>
      </c>
      <c r="F2166" t="s">
        <v>137</v>
      </c>
      <c r="G2166">
        <v>213</v>
      </c>
      <c r="H2166">
        <v>300</v>
      </c>
      <c r="I2166" s="5" t="s">
        <v>15431</v>
      </c>
      <c r="J2166" s="5" t="s">
        <v>15432</v>
      </c>
      <c r="K2166" s="5" t="str">
        <f t="shared" si="66"/>
        <v>https://www.google.com/maps?q=-12.281891, -41.165382</v>
      </c>
      <c r="L2166" s="5" t="str">
        <f t="shared" si="67"/>
        <v>Abrir no Maps</v>
      </c>
      <c r="M2166" t="s">
        <v>15433</v>
      </c>
      <c r="N2166" s="5"/>
      <c r="O2166" t="str">
        <f>VLOOKUP(G2166,'[1]CONFIG.'!$B:$C,2,0)</f>
        <v>DANIEL</v>
      </c>
      <c r="P2166" t="str">
        <f>VLOOKUP(O2166,'[1]CONFIG.'!$C:$D,2,0)</f>
        <v>74 99461824</v>
      </c>
    </row>
    <row r="2167" spans="1:16" x14ac:dyDescent="0.3">
      <c r="A2167" t="s">
        <v>15434</v>
      </c>
      <c r="B2167" t="s">
        <v>15435</v>
      </c>
      <c r="C2167" t="s">
        <v>15436</v>
      </c>
      <c r="D2167" t="s">
        <v>14513</v>
      </c>
      <c r="E2167" t="s">
        <v>15437</v>
      </c>
      <c r="F2167" t="s">
        <v>137</v>
      </c>
      <c r="G2167">
        <v>213</v>
      </c>
      <c r="H2167">
        <v>300</v>
      </c>
      <c r="I2167" s="5" t="s">
        <v>15438</v>
      </c>
      <c r="J2167" s="5" t="s">
        <v>15439</v>
      </c>
      <c r="K2167" s="5" t="str">
        <f t="shared" si="66"/>
        <v>https://www.google.com/maps?q=-12.284648, -41.173120</v>
      </c>
      <c r="L2167" s="5" t="str">
        <f t="shared" si="67"/>
        <v>Abrir no Maps</v>
      </c>
      <c r="M2167" t="s">
        <v>15440</v>
      </c>
      <c r="N2167" s="5"/>
      <c r="O2167" t="str">
        <f>VLOOKUP(G2167,'[1]CONFIG.'!$B:$C,2,0)</f>
        <v>DANIEL</v>
      </c>
      <c r="P2167" t="str">
        <f>VLOOKUP(O2167,'[1]CONFIG.'!$C:$D,2,0)</f>
        <v>74 99461824</v>
      </c>
    </row>
    <row r="2168" spans="1:16" x14ac:dyDescent="0.3">
      <c r="A2168" t="s">
        <v>15441</v>
      </c>
      <c r="B2168" t="s">
        <v>15442</v>
      </c>
      <c r="C2168" t="s">
        <v>15443</v>
      </c>
      <c r="D2168" t="s">
        <v>14513</v>
      </c>
      <c r="E2168" t="s">
        <v>15444</v>
      </c>
      <c r="F2168" t="s">
        <v>15374</v>
      </c>
      <c r="G2168">
        <v>213</v>
      </c>
      <c r="H2168">
        <v>300</v>
      </c>
      <c r="I2168" s="5" t="s">
        <v>15445</v>
      </c>
      <c r="J2168" s="5" t="s">
        <v>15446</v>
      </c>
      <c r="K2168" s="5" t="str">
        <f t="shared" si="66"/>
        <v>https://www.google.com/maps?q=-12.287786, -41.170692</v>
      </c>
      <c r="L2168" s="5" t="str">
        <f t="shared" si="67"/>
        <v>Abrir no Maps</v>
      </c>
      <c r="M2168" t="s">
        <v>15447</v>
      </c>
      <c r="N2168" s="5"/>
      <c r="O2168" t="str">
        <f>VLOOKUP(G2168,'[1]CONFIG.'!$B:$C,2,0)</f>
        <v>DANIEL</v>
      </c>
      <c r="P2168" t="str">
        <f>VLOOKUP(O2168,'[1]CONFIG.'!$C:$D,2,0)</f>
        <v>74 99461824</v>
      </c>
    </row>
    <row r="2169" spans="1:16" x14ac:dyDescent="0.3">
      <c r="A2169" t="s">
        <v>15448</v>
      </c>
      <c r="B2169" t="s">
        <v>15449</v>
      </c>
      <c r="C2169" t="s">
        <v>15450</v>
      </c>
      <c r="D2169" t="s">
        <v>14513</v>
      </c>
      <c r="E2169" t="s">
        <v>15451</v>
      </c>
      <c r="F2169" t="s">
        <v>15452</v>
      </c>
      <c r="G2169">
        <v>213</v>
      </c>
      <c r="H2169">
        <v>300</v>
      </c>
      <c r="I2169" s="5" t="s">
        <v>15453</v>
      </c>
      <c r="J2169" s="5" t="s">
        <v>15454</v>
      </c>
      <c r="K2169" s="5" t="str">
        <f t="shared" si="66"/>
        <v>https://www.google.com/maps?q=-12.281133, -41.166878</v>
      </c>
      <c r="L2169" s="5" t="str">
        <f t="shared" si="67"/>
        <v>Abrir no Maps</v>
      </c>
      <c r="M2169" t="s">
        <v>15455</v>
      </c>
      <c r="N2169" s="5"/>
      <c r="O2169" t="str">
        <f>VLOOKUP(G2169,'[1]CONFIG.'!$B:$C,2,0)</f>
        <v>DANIEL</v>
      </c>
      <c r="P2169" t="str">
        <f>VLOOKUP(O2169,'[1]CONFIG.'!$C:$D,2,0)</f>
        <v>74 99461824</v>
      </c>
    </row>
    <row r="2170" spans="1:16" x14ac:dyDescent="0.3">
      <c r="A2170" t="s">
        <v>15456</v>
      </c>
      <c r="B2170" t="s">
        <v>15457</v>
      </c>
      <c r="C2170" t="s">
        <v>15458</v>
      </c>
      <c r="D2170" t="s">
        <v>14513</v>
      </c>
      <c r="E2170" t="s">
        <v>15459</v>
      </c>
      <c r="F2170" t="s">
        <v>15460</v>
      </c>
      <c r="G2170">
        <v>213</v>
      </c>
      <c r="H2170">
        <v>300</v>
      </c>
      <c r="I2170" s="5" t="s">
        <v>15461</v>
      </c>
      <c r="J2170" s="5" t="s">
        <v>15462</v>
      </c>
      <c r="K2170" s="5" t="str">
        <f t="shared" si="66"/>
        <v>https://www.google.com/maps?q=-12.279097, -41.171768</v>
      </c>
      <c r="L2170" s="5" t="str">
        <f t="shared" si="67"/>
        <v>Abrir no Maps</v>
      </c>
      <c r="M2170" t="s">
        <v>15463</v>
      </c>
      <c r="N2170" s="5"/>
      <c r="O2170" t="str">
        <f>VLOOKUP(G2170,'[1]CONFIG.'!$B:$C,2,0)</f>
        <v>DANIEL</v>
      </c>
      <c r="P2170" t="str">
        <f>VLOOKUP(O2170,'[1]CONFIG.'!$C:$D,2,0)</f>
        <v>74 99461824</v>
      </c>
    </row>
    <row r="2171" spans="1:16" x14ac:dyDescent="0.3">
      <c r="A2171" t="s">
        <v>15464</v>
      </c>
      <c r="B2171" t="s">
        <v>15465</v>
      </c>
      <c r="C2171" t="s">
        <v>15466</v>
      </c>
      <c r="D2171" t="s">
        <v>14513</v>
      </c>
      <c r="E2171" t="s">
        <v>15467</v>
      </c>
      <c r="F2171" t="s">
        <v>137</v>
      </c>
      <c r="G2171">
        <v>213</v>
      </c>
      <c r="H2171">
        <v>300</v>
      </c>
      <c r="I2171" s="5" t="s">
        <v>15468</v>
      </c>
      <c r="J2171" s="5" t="s">
        <v>15469</v>
      </c>
      <c r="K2171" s="5" t="str">
        <f t="shared" si="66"/>
        <v>https://www.google.com/maps?q=-12.281287, -41.166220</v>
      </c>
      <c r="L2171" s="5" t="str">
        <f t="shared" si="67"/>
        <v>Abrir no Maps</v>
      </c>
      <c r="M2171" t="s">
        <v>15470</v>
      </c>
      <c r="N2171" s="5"/>
      <c r="O2171" t="str">
        <f>VLOOKUP(G2171,'[1]CONFIG.'!$B:$C,2,0)</f>
        <v>DANIEL</v>
      </c>
      <c r="P2171" t="str">
        <f>VLOOKUP(O2171,'[1]CONFIG.'!$C:$D,2,0)</f>
        <v>74 99461824</v>
      </c>
    </row>
    <row r="2172" spans="1:16" x14ac:dyDescent="0.3">
      <c r="A2172" t="s">
        <v>15471</v>
      </c>
      <c r="B2172" t="s">
        <v>15472</v>
      </c>
      <c r="C2172" t="s">
        <v>15473</v>
      </c>
      <c r="D2172" t="s">
        <v>14513</v>
      </c>
      <c r="E2172" t="s">
        <v>15474</v>
      </c>
      <c r="F2172" t="s">
        <v>137</v>
      </c>
      <c r="G2172">
        <v>213</v>
      </c>
      <c r="H2172">
        <v>300</v>
      </c>
      <c r="I2172" s="5" t="s">
        <v>15475</v>
      </c>
      <c r="J2172" s="5" t="s">
        <v>15476</v>
      </c>
      <c r="K2172" s="5" t="str">
        <f t="shared" si="66"/>
        <v>https://www.google.com/maps?q=-12.278368, -41.171341</v>
      </c>
      <c r="L2172" s="5" t="str">
        <f t="shared" si="67"/>
        <v>Abrir no Maps</v>
      </c>
      <c r="M2172" t="s">
        <v>15477</v>
      </c>
      <c r="N2172" s="5"/>
      <c r="O2172" t="str">
        <f>VLOOKUP(G2172,'[1]CONFIG.'!$B:$C,2,0)</f>
        <v>DANIEL</v>
      </c>
      <c r="P2172" t="str">
        <f>VLOOKUP(O2172,'[1]CONFIG.'!$C:$D,2,0)</f>
        <v>74 99461824</v>
      </c>
    </row>
    <row r="2173" spans="1:16" x14ac:dyDescent="0.3">
      <c r="A2173" t="s">
        <v>15478</v>
      </c>
      <c r="B2173" t="s">
        <v>15479</v>
      </c>
      <c r="C2173" t="s">
        <v>15480</v>
      </c>
      <c r="D2173" t="s">
        <v>14513</v>
      </c>
      <c r="E2173" t="s">
        <v>15481</v>
      </c>
      <c r="F2173" t="s">
        <v>137</v>
      </c>
      <c r="G2173">
        <v>213</v>
      </c>
      <c r="H2173">
        <v>300</v>
      </c>
      <c r="I2173" s="5" t="s">
        <v>15482</v>
      </c>
      <c r="J2173" s="5" t="s">
        <v>15483</v>
      </c>
      <c r="K2173" s="5" t="str">
        <f t="shared" si="66"/>
        <v>https://www.google.com/maps?q=-12.281665, -41.165245</v>
      </c>
      <c r="L2173" s="5" t="str">
        <f t="shared" si="67"/>
        <v>Abrir no Maps</v>
      </c>
      <c r="M2173" t="s">
        <v>15484</v>
      </c>
      <c r="N2173" s="5"/>
      <c r="O2173" t="str">
        <f>VLOOKUP(G2173,'[1]CONFIG.'!$B:$C,2,0)</f>
        <v>DANIEL</v>
      </c>
      <c r="P2173" t="str">
        <f>VLOOKUP(O2173,'[1]CONFIG.'!$C:$D,2,0)</f>
        <v>74 99461824</v>
      </c>
    </row>
    <row r="2174" spans="1:16" x14ac:dyDescent="0.3">
      <c r="A2174" t="s">
        <v>15485</v>
      </c>
      <c r="B2174" t="s">
        <v>15486</v>
      </c>
      <c r="C2174" t="s">
        <v>15487</v>
      </c>
      <c r="D2174" t="s">
        <v>14513</v>
      </c>
      <c r="E2174" t="s">
        <v>15488</v>
      </c>
      <c r="F2174" t="s">
        <v>137</v>
      </c>
      <c r="G2174">
        <v>213</v>
      </c>
      <c r="H2174">
        <v>300</v>
      </c>
      <c r="I2174" s="5" t="s">
        <v>15489</v>
      </c>
      <c r="J2174" s="5" t="s">
        <v>15490</v>
      </c>
      <c r="K2174" s="5" t="str">
        <f t="shared" si="66"/>
        <v>https://www.google.com/maps?q=-12.282372, -41.165908</v>
      </c>
      <c r="L2174" s="5" t="str">
        <f t="shared" si="67"/>
        <v>Abrir no Maps</v>
      </c>
      <c r="M2174" t="s">
        <v>15491</v>
      </c>
      <c r="N2174" s="5"/>
      <c r="O2174" t="str">
        <f>VLOOKUP(G2174,'[1]CONFIG.'!$B:$C,2,0)</f>
        <v>DANIEL</v>
      </c>
      <c r="P2174" t="str">
        <f>VLOOKUP(O2174,'[1]CONFIG.'!$C:$D,2,0)</f>
        <v>74 99461824</v>
      </c>
    </row>
    <row r="2175" spans="1:16" x14ac:dyDescent="0.3">
      <c r="A2175" t="s">
        <v>15492</v>
      </c>
      <c r="B2175" t="s">
        <v>15493</v>
      </c>
      <c r="C2175" t="s">
        <v>15494</v>
      </c>
      <c r="D2175" t="s">
        <v>14513</v>
      </c>
      <c r="E2175" t="s">
        <v>15495</v>
      </c>
      <c r="F2175" t="s">
        <v>15374</v>
      </c>
      <c r="G2175">
        <v>213</v>
      </c>
      <c r="H2175">
        <v>300</v>
      </c>
      <c r="I2175" s="5" t="s">
        <v>15496</v>
      </c>
      <c r="J2175" s="5" t="s">
        <v>15497</v>
      </c>
      <c r="K2175" s="5" t="str">
        <f t="shared" si="66"/>
        <v>https://www.google.com/maps?q=-12.285727, -41.168507</v>
      </c>
      <c r="L2175" s="5" t="str">
        <f t="shared" si="67"/>
        <v>Abrir no Maps</v>
      </c>
      <c r="M2175" t="s">
        <v>15498</v>
      </c>
      <c r="N2175" s="5"/>
      <c r="O2175" t="str">
        <f>VLOOKUP(G2175,'[1]CONFIG.'!$B:$C,2,0)</f>
        <v>DANIEL</v>
      </c>
      <c r="P2175" t="str">
        <f>VLOOKUP(O2175,'[1]CONFIG.'!$C:$D,2,0)</f>
        <v>74 99461824</v>
      </c>
    </row>
    <row r="2176" spans="1:16" x14ac:dyDescent="0.3">
      <c r="A2176" t="s">
        <v>15499</v>
      </c>
      <c r="B2176" t="s">
        <v>15500</v>
      </c>
      <c r="C2176" t="s">
        <v>15501</v>
      </c>
      <c r="D2176" t="s">
        <v>14513</v>
      </c>
      <c r="E2176" t="s">
        <v>15502</v>
      </c>
      <c r="F2176" t="s">
        <v>137</v>
      </c>
      <c r="G2176">
        <v>213</v>
      </c>
      <c r="H2176">
        <v>300</v>
      </c>
      <c r="I2176" s="5" t="s">
        <v>15503</v>
      </c>
      <c r="J2176" s="5" t="s">
        <v>15504</v>
      </c>
      <c r="K2176" s="5" t="str">
        <f t="shared" si="66"/>
        <v>https://www.google.com/maps?q=-12.281918, -41.169303</v>
      </c>
      <c r="L2176" s="5" t="str">
        <f t="shared" si="67"/>
        <v>Abrir no Maps</v>
      </c>
      <c r="M2176" t="s">
        <v>15505</v>
      </c>
      <c r="N2176" s="5"/>
      <c r="O2176" t="str">
        <f>VLOOKUP(G2176,'[1]CONFIG.'!$B:$C,2,0)</f>
        <v>DANIEL</v>
      </c>
      <c r="P2176" t="str">
        <f>VLOOKUP(O2176,'[1]CONFIG.'!$C:$D,2,0)</f>
        <v>74 99461824</v>
      </c>
    </row>
    <row r="2177" spans="1:16" x14ac:dyDescent="0.3">
      <c r="A2177" t="s">
        <v>15506</v>
      </c>
      <c r="B2177" t="s">
        <v>15507</v>
      </c>
      <c r="C2177" t="s">
        <v>15508</v>
      </c>
      <c r="D2177" t="s">
        <v>14513</v>
      </c>
      <c r="E2177" t="s">
        <v>15509</v>
      </c>
      <c r="F2177" t="s">
        <v>137</v>
      </c>
      <c r="G2177">
        <v>213</v>
      </c>
      <c r="H2177">
        <v>300</v>
      </c>
      <c r="I2177" s="5" t="s">
        <v>15510</v>
      </c>
      <c r="J2177" s="5" t="s">
        <v>15511</v>
      </c>
      <c r="K2177" s="5" t="str">
        <f t="shared" si="66"/>
        <v>https://www.google.com/maps?q=-12.276886, -41.167398</v>
      </c>
      <c r="L2177" s="5" t="str">
        <f t="shared" si="67"/>
        <v>Abrir no Maps</v>
      </c>
      <c r="M2177" t="s">
        <v>15512</v>
      </c>
      <c r="N2177" s="5"/>
      <c r="O2177" t="str">
        <f>VLOOKUP(G2177,'[1]CONFIG.'!$B:$C,2,0)</f>
        <v>DANIEL</v>
      </c>
      <c r="P2177" t="str">
        <f>VLOOKUP(O2177,'[1]CONFIG.'!$C:$D,2,0)</f>
        <v>74 99461824</v>
      </c>
    </row>
    <row r="2178" spans="1:16" x14ac:dyDescent="0.3">
      <c r="A2178" t="s">
        <v>15513</v>
      </c>
      <c r="B2178" t="s">
        <v>15514</v>
      </c>
      <c r="C2178" t="s">
        <v>15515</v>
      </c>
      <c r="D2178" t="s">
        <v>3881</v>
      </c>
      <c r="E2178" t="s">
        <v>15516</v>
      </c>
      <c r="F2178" t="s">
        <v>137</v>
      </c>
      <c r="G2178">
        <v>214</v>
      </c>
      <c r="H2178">
        <v>200</v>
      </c>
      <c r="I2178" s="5" t="s">
        <v>15517</v>
      </c>
      <c r="J2178" s="5" t="s">
        <v>15518</v>
      </c>
      <c r="K2178" s="5" t="str">
        <f t="shared" si="66"/>
        <v>https://www.google.com/maps?q=-10.827491, -42.731470</v>
      </c>
      <c r="L2178" s="5" t="str">
        <f t="shared" si="67"/>
        <v>Abrir no Maps</v>
      </c>
      <c r="M2178" t="s">
        <v>15519</v>
      </c>
      <c r="N2178" s="5"/>
      <c r="O2178" t="str">
        <f>VLOOKUP(G2178,'[1]CONFIG.'!$B:$C,2,0)</f>
        <v>GEOVANA</v>
      </c>
      <c r="P2178" t="str">
        <f>VLOOKUP(O2178,'[1]CONFIG.'!$C:$D,2,0)</f>
        <v>74 99523491</v>
      </c>
    </row>
    <row r="2179" spans="1:16" x14ac:dyDescent="0.3">
      <c r="A2179" t="s">
        <v>15520</v>
      </c>
      <c r="B2179" t="s">
        <v>15521</v>
      </c>
      <c r="C2179" t="s">
        <v>15522</v>
      </c>
      <c r="D2179" t="s">
        <v>3881</v>
      </c>
      <c r="E2179" t="s">
        <v>15523</v>
      </c>
      <c r="F2179" t="s">
        <v>137</v>
      </c>
      <c r="G2179">
        <v>214</v>
      </c>
      <c r="H2179">
        <v>200</v>
      </c>
      <c r="I2179" s="5" t="s">
        <v>15524</v>
      </c>
      <c r="J2179" s="5" t="s">
        <v>15525</v>
      </c>
      <c r="K2179" s="5" t="str">
        <f t="shared" si="66"/>
        <v>https://www.google.com/maps?q=-10.820777, -42.723900</v>
      </c>
      <c r="L2179" s="5" t="str">
        <f t="shared" si="67"/>
        <v>Abrir no Maps</v>
      </c>
      <c r="M2179" t="s">
        <v>15526</v>
      </c>
      <c r="N2179" s="5"/>
      <c r="O2179" t="str">
        <f>VLOOKUP(G2179,'[1]CONFIG.'!$B:$C,2,0)</f>
        <v>GEOVANA</v>
      </c>
      <c r="P2179" t="str">
        <f>VLOOKUP(O2179,'[1]CONFIG.'!$C:$D,2,0)</f>
        <v>74 99523491</v>
      </c>
    </row>
    <row r="2180" spans="1:16" x14ac:dyDescent="0.3">
      <c r="A2180" t="s">
        <v>15527</v>
      </c>
      <c r="B2180" t="s">
        <v>15528</v>
      </c>
      <c r="C2180" t="s">
        <v>15529</v>
      </c>
      <c r="D2180" t="s">
        <v>3881</v>
      </c>
      <c r="E2180" t="s">
        <v>15530</v>
      </c>
      <c r="F2180" t="s">
        <v>137</v>
      </c>
      <c r="G2180">
        <v>214</v>
      </c>
      <c r="H2180">
        <v>200</v>
      </c>
      <c r="I2180" s="5" t="s">
        <v>15531</v>
      </c>
      <c r="J2180" s="5" t="s">
        <v>15532</v>
      </c>
      <c r="K2180" s="5" t="str">
        <f t="shared" ref="K2180:K2243" si="68">"https://www.google.com/maps?q="&amp;""&amp;LEFT(I2180,3)&amp;"."&amp;RIGHT(I2180,6)&amp;", "&amp;LEFT(J2180,3)&amp;"."&amp;RIGHT(J2180,6)</f>
        <v>https://www.google.com/maps?q=-10.824854, -42.729565</v>
      </c>
      <c r="L2180" s="5" t="str">
        <f t="shared" ref="L2180:L2243" si="69">HYPERLINK(K2180,"Abrir no Maps")</f>
        <v>Abrir no Maps</v>
      </c>
      <c r="M2180" t="s">
        <v>15533</v>
      </c>
      <c r="N2180" s="5"/>
      <c r="O2180" t="str">
        <f>VLOOKUP(G2180,'[1]CONFIG.'!$B:$C,2,0)</f>
        <v>GEOVANA</v>
      </c>
      <c r="P2180" t="str">
        <f>VLOOKUP(O2180,'[1]CONFIG.'!$C:$D,2,0)</f>
        <v>74 99523491</v>
      </c>
    </row>
    <row r="2181" spans="1:16" x14ac:dyDescent="0.3">
      <c r="A2181" t="s">
        <v>15534</v>
      </c>
      <c r="B2181" t="s">
        <v>15535</v>
      </c>
      <c r="C2181" t="s">
        <v>15536</v>
      </c>
      <c r="D2181" t="s">
        <v>3881</v>
      </c>
      <c r="E2181" t="s">
        <v>15537</v>
      </c>
      <c r="F2181" t="s">
        <v>137</v>
      </c>
      <c r="G2181">
        <v>214</v>
      </c>
      <c r="H2181">
        <v>200</v>
      </c>
      <c r="I2181" s="5" t="s">
        <v>15538</v>
      </c>
      <c r="J2181" s="5" t="s">
        <v>15539</v>
      </c>
      <c r="K2181" s="5" t="str">
        <f t="shared" si="68"/>
        <v>https://www.google.com/maps?q=-10.819670, -42.731815</v>
      </c>
      <c r="L2181" s="5" t="str">
        <f t="shared" si="69"/>
        <v>Abrir no Maps</v>
      </c>
      <c r="M2181" t="s">
        <v>15540</v>
      </c>
      <c r="N2181" s="5"/>
      <c r="O2181" t="str">
        <f>VLOOKUP(G2181,'[1]CONFIG.'!$B:$C,2,0)</f>
        <v>GEOVANA</v>
      </c>
      <c r="P2181" t="str">
        <f>VLOOKUP(O2181,'[1]CONFIG.'!$C:$D,2,0)</f>
        <v>74 99523491</v>
      </c>
    </row>
    <row r="2182" spans="1:16" x14ac:dyDescent="0.3">
      <c r="A2182" t="s">
        <v>15541</v>
      </c>
      <c r="B2182" t="s">
        <v>15542</v>
      </c>
      <c r="C2182" t="s">
        <v>15543</v>
      </c>
      <c r="D2182" t="s">
        <v>3881</v>
      </c>
      <c r="E2182" t="s">
        <v>15544</v>
      </c>
      <c r="F2182" t="s">
        <v>137</v>
      </c>
      <c r="G2182">
        <v>208</v>
      </c>
      <c r="H2182">
        <v>200</v>
      </c>
      <c r="I2182" s="5" t="s">
        <v>15545</v>
      </c>
      <c r="J2182" s="5" t="s">
        <v>15546</v>
      </c>
      <c r="K2182" s="5" t="str">
        <f t="shared" si="68"/>
        <v>https://www.google.com/maps?q=-10.820989, -42.731674</v>
      </c>
      <c r="L2182" s="5" t="str">
        <f t="shared" si="69"/>
        <v>Abrir no Maps</v>
      </c>
      <c r="M2182" t="s">
        <v>15547</v>
      </c>
      <c r="N2182" s="5"/>
      <c r="O2182" t="str">
        <f>VLOOKUP(G2182,'[1]CONFIG.'!$B:$C,2,0)</f>
        <v>NEILTON</v>
      </c>
      <c r="P2182" t="str">
        <f>VLOOKUP(O2182,'[1]CONFIG.'!$C:$D,2,0)</f>
        <v>74 99857115</v>
      </c>
    </row>
    <row r="2183" spans="1:16" x14ac:dyDescent="0.3">
      <c r="A2183" t="s">
        <v>15548</v>
      </c>
      <c r="B2183" t="s">
        <v>15549</v>
      </c>
      <c r="C2183" t="s">
        <v>15550</v>
      </c>
      <c r="D2183" t="s">
        <v>3881</v>
      </c>
      <c r="E2183" t="s">
        <v>15551</v>
      </c>
      <c r="F2183" t="s">
        <v>137</v>
      </c>
      <c r="G2183">
        <v>208</v>
      </c>
      <c r="H2183">
        <v>200</v>
      </c>
      <c r="I2183" s="5" t="s">
        <v>15552</v>
      </c>
      <c r="J2183" s="5" t="s">
        <v>15553</v>
      </c>
      <c r="K2183" s="5" t="str">
        <f t="shared" si="68"/>
        <v>https://www.google.com/maps?q=-10.831018, -42.731293</v>
      </c>
      <c r="L2183" s="5" t="str">
        <f t="shared" si="69"/>
        <v>Abrir no Maps</v>
      </c>
      <c r="M2183" t="s">
        <v>15554</v>
      </c>
      <c r="N2183" s="5"/>
      <c r="O2183" t="str">
        <f>VLOOKUP(G2183,'[1]CONFIG.'!$B:$C,2,0)</f>
        <v>NEILTON</v>
      </c>
      <c r="P2183" t="str">
        <f>VLOOKUP(O2183,'[1]CONFIG.'!$C:$D,2,0)</f>
        <v>74 99857115</v>
      </c>
    </row>
    <row r="2184" spans="1:16" x14ac:dyDescent="0.3">
      <c r="A2184" t="s">
        <v>15555</v>
      </c>
      <c r="B2184" t="s">
        <v>15556</v>
      </c>
      <c r="C2184" t="s">
        <v>15557</v>
      </c>
      <c r="D2184" t="s">
        <v>3881</v>
      </c>
      <c r="E2184" t="s">
        <v>15558</v>
      </c>
      <c r="F2184" t="s">
        <v>137</v>
      </c>
      <c r="G2184">
        <v>214</v>
      </c>
      <c r="H2184">
        <v>200</v>
      </c>
      <c r="I2184" s="5" t="s">
        <v>15559</v>
      </c>
      <c r="J2184" s="5" t="s">
        <v>15560</v>
      </c>
      <c r="K2184" s="5" t="str">
        <f t="shared" si="68"/>
        <v>https://www.google.com/maps?q=-10.824063, -42.729110</v>
      </c>
      <c r="L2184" s="5" t="str">
        <f t="shared" si="69"/>
        <v>Abrir no Maps</v>
      </c>
      <c r="M2184" t="s">
        <v>15561</v>
      </c>
      <c r="N2184" s="5"/>
      <c r="O2184" t="str">
        <f>VLOOKUP(G2184,'[1]CONFIG.'!$B:$C,2,0)</f>
        <v>GEOVANA</v>
      </c>
      <c r="P2184" t="str">
        <f>VLOOKUP(O2184,'[1]CONFIG.'!$C:$D,2,0)</f>
        <v>74 99523491</v>
      </c>
    </row>
    <row r="2185" spans="1:16" x14ac:dyDescent="0.3">
      <c r="A2185" t="s">
        <v>15562</v>
      </c>
      <c r="B2185" t="s">
        <v>15563</v>
      </c>
      <c r="C2185" t="s">
        <v>15564</v>
      </c>
      <c r="D2185" t="s">
        <v>3881</v>
      </c>
      <c r="E2185" t="s">
        <v>15565</v>
      </c>
      <c r="F2185" t="s">
        <v>15566</v>
      </c>
      <c r="G2185">
        <v>208</v>
      </c>
      <c r="H2185">
        <v>200</v>
      </c>
      <c r="I2185" s="5" t="s">
        <v>15567</v>
      </c>
      <c r="J2185" s="5" t="s">
        <v>15568</v>
      </c>
      <c r="K2185" s="5" t="str">
        <f t="shared" si="68"/>
        <v>https://www.google.com/maps?q=-10.824425, -42.728500</v>
      </c>
      <c r="L2185" s="5" t="str">
        <f t="shared" si="69"/>
        <v>Abrir no Maps</v>
      </c>
      <c r="M2185" t="s">
        <v>15569</v>
      </c>
      <c r="N2185" s="5"/>
      <c r="O2185" t="str">
        <f>VLOOKUP(G2185,'[1]CONFIG.'!$B:$C,2,0)</f>
        <v>NEILTON</v>
      </c>
      <c r="P2185" t="str">
        <f>VLOOKUP(O2185,'[1]CONFIG.'!$C:$D,2,0)</f>
        <v>74 99857115</v>
      </c>
    </row>
    <row r="2186" spans="1:16" x14ac:dyDescent="0.3">
      <c r="A2186" t="s">
        <v>15570</v>
      </c>
      <c r="B2186" t="s">
        <v>15571</v>
      </c>
      <c r="C2186" t="s">
        <v>15572</v>
      </c>
      <c r="D2186" t="s">
        <v>3881</v>
      </c>
      <c r="E2186" t="s">
        <v>15573</v>
      </c>
      <c r="F2186" t="s">
        <v>137</v>
      </c>
      <c r="G2186">
        <v>214</v>
      </c>
      <c r="H2186">
        <v>200</v>
      </c>
      <c r="I2186" s="5" t="s">
        <v>15574</v>
      </c>
      <c r="J2186" s="5" t="s">
        <v>15575</v>
      </c>
      <c r="K2186" s="5" t="str">
        <f t="shared" si="68"/>
        <v>https://www.google.com/maps?q=-10.819057, -42.729940</v>
      </c>
      <c r="L2186" s="5" t="str">
        <f t="shared" si="69"/>
        <v>Abrir no Maps</v>
      </c>
      <c r="M2186" t="s">
        <v>15576</v>
      </c>
      <c r="N2186" s="5"/>
      <c r="O2186" t="str">
        <f>VLOOKUP(G2186,'[1]CONFIG.'!$B:$C,2,0)</f>
        <v>GEOVANA</v>
      </c>
      <c r="P2186" t="str">
        <f>VLOOKUP(O2186,'[1]CONFIG.'!$C:$D,2,0)</f>
        <v>74 99523491</v>
      </c>
    </row>
    <row r="2187" spans="1:16" x14ac:dyDescent="0.3">
      <c r="A2187" t="s">
        <v>15577</v>
      </c>
      <c r="B2187" t="s">
        <v>15578</v>
      </c>
      <c r="C2187" t="s">
        <v>15579</v>
      </c>
      <c r="D2187" t="s">
        <v>3881</v>
      </c>
      <c r="E2187" t="s">
        <v>15580</v>
      </c>
      <c r="F2187" t="s">
        <v>137</v>
      </c>
      <c r="G2187">
        <v>214</v>
      </c>
      <c r="H2187">
        <v>200</v>
      </c>
      <c r="I2187" s="5" t="s">
        <v>15581</v>
      </c>
      <c r="J2187" s="5" t="s">
        <v>15582</v>
      </c>
      <c r="K2187" s="5" t="str">
        <f t="shared" si="68"/>
        <v>https://www.google.com/maps?q=-10.827500, -42.732777</v>
      </c>
      <c r="L2187" s="5" t="str">
        <f t="shared" si="69"/>
        <v>Abrir no Maps</v>
      </c>
      <c r="M2187" t="s">
        <v>15583</v>
      </c>
      <c r="N2187" s="5"/>
      <c r="O2187" t="str">
        <f>VLOOKUP(G2187,'[1]CONFIG.'!$B:$C,2,0)</f>
        <v>GEOVANA</v>
      </c>
      <c r="P2187" t="str">
        <f>VLOOKUP(O2187,'[1]CONFIG.'!$C:$D,2,0)</f>
        <v>74 99523491</v>
      </c>
    </row>
    <row r="2188" spans="1:16" x14ac:dyDescent="0.3">
      <c r="A2188" t="s">
        <v>15584</v>
      </c>
      <c r="B2188" t="s">
        <v>15585</v>
      </c>
      <c r="C2188" t="s">
        <v>15586</v>
      </c>
      <c r="D2188" t="s">
        <v>3881</v>
      </c>
      <c r="E2188" t="s">
        <v>15587</v>
      </c>
      <c r="F2188" t="s">
        <v>137</v>
      </c>
      <c r="G2188">
        <v>208</v>
      </c>
      <c r="H2188">
        <v>200</v>
      </c>
      <c r="I2188" s="5" t="s">
        <v>15588</v>
      </c>
      <c r="J2188" s="5" t="s">
        <v>15589</v>
      </c>
      <c r="K2188" s="5" t="str">
        <f t="shared" si="68"/>
        <v>https://www.google.com/maps?q=-10.816965, -42.725395</v>
      </c>
      <c r="L2188" s="5" t="str">
        <f t="shared" si="69"/>
        <v>Abrir no Maps</v>
      </c>
      <c r="M2188" t="s">
        <v>15590</v>
      </c>
      <c r="N2188" s="5"/>
      <c r="O2188" t="str">
        <f>VLOOKUP(G2188,'[1]CONFIG.'!$B:$C,2,0)</f>
        <v>NEILTON</v>
      </c>
      <c r="P2188" t="str">
        <f>VLOOKUP(O2188,'[1]CONFIG.'!$C:$D,2,0)</f>
        <v>74 99857115</v>
      </c>
    </row>
    <row r="2189" spans="1:16" x14ac:dyDescent="0.3">
      <c r="A2189" t="s">
        <v>15591</v>
      </c>
      <c r="B2189" t="s">
        <v>15592</v>
      </c>
      <c r="C2189" t="s">
        <v>15593</v>
      </c>
      <c r="D2189" t="s">
        <v>3881</v>
      </c>
      <c r="E2189" t="s">
        <v>15594</v>
      </c>
      <c r="F2189" t="s">
        <v>137</v>
      </c>
      <c r="G2189">
        <v>214</v>
      </c>
      <c r="H2189">
        <v>200</v>
      </c>
      <c r="I2189" s="5" t="s">
        <v>15595</v>
      </c>
      <c r="J2189" s="5" t="s">
        <v>15596</v>
      </c>
      <c r="K2189" s="5" t="str">
        <f t="shared" si="68"/>
        <v>https://www.google.com/maps?q=-10.829819, -42.729450</v>
      </c>
      <c r="L2189" s="5" t="str">
        <f t="shared" si="69"/>
        <v>Abrir no Maps</v>
      </c>
      <c r="M2189" t="s">
        <v>15597</v>
      </c>
      <c r="N2189" s="5"/>
      <c r="O2189" t="str">
        <f>VLOOKUP(G2189,'[1]CONFIG.'!$B:$C,2,0)</f>
        <v>GEOVANA</v>
      </c>
      <c r="P2189" t="str">
        <f>VLOOKUP(O2189,'[1]CONFIG.'!$C:$D,2,0)</f>
        <v>74 99523491</v>
      </c>
    </row>
    <row r="2190" spans="1:16" x14ac:dyDescent="0.3">
      <c r="A2190" t="s">
        <v>15598</v>
      </c>
      <c r="B2190" t="s">
        <v>15599</v>
      </c>
      <c r="C2190" t="s">
        <v>15600</v>
      </c>
      <c r="D2190" t="s">
        <v>8047</v>
      </c>
      <c r="E2190" t="s">
        <v>15601</v>
      </c>
      <c r="F2190" t="s">
        <v>8084</v>
      </c>
      <c r="G2190">
        <v>214</v>
      </c>
      <c r="H2190">
        <v>200</v>
      </c>
      <c r="I2190" s="5" t="s">
        <v>15602</v>
      </c>
      <c r="J2190" s="5" t="s">
        <v>15603</v>
      </c>
      <c r="K2190" s="5" t="str">
        <f t="shared" si="68"/>
        <v>https://www.google.com/maps?q=-10.978713, -42.356823</v>
      </c>
      <c r="L2190" s="5" t="str">
        <f t="shared" si="69"/>
        <v>Abrir no Maps</v>
      </c>
      <c r="M2190" t="s">
        <v>15604</v>
      </c>
      <c r="N2190" s="5"/>
      <c r="O2190" t="str">
        <f>VLOOKUP(G2190,'[1]CONFIG.'!$B:$C,2,0)</f>
        <v>GEOVANA</v>
      </c>
      <c r="P2190" t="str">
        <f>VLOOKUP(O2190,'[1]CONFIG.'!$C:$D,2,0)</f>
        <v>74 99523491</v>
      </c>
    </row>
    <row r="2191" spans="1:16" x14ac:dyDescent="0.3">
      <c r="A2191" t="s">
        <v>15605</v>
      </c>
      <c r="B2191" t="s">
        <v>15606</v>
      </c>
      <c r="C2191" t="s">
        <v>15607</v>
      </c>
      <c r="D2191" t="s">
        <v>3881</v>
      </c>
      <c r="E2191" t="s">
        <v>15608</v>
      </c>
      <c r="F2191" t="s">
        <v>137</v>
      </c>
      <c r="G2191">
        <v>208</v>
      </c>
      <c r="H2191">
        <v>200</v>
      </c>
      <c r="I2191" s="5" t="s">
        <v>15609</v>
      </c>
      <c r="J2191" s="5" t="s">
        <v>15610</v>
      </c>
      <c r="K2191" s="5" t="str">
        <f t="shared" si="68"/>
        <v>https://www.google.com/maps?q=-10.826282, -42.732685</v>
      </c>
      <c r="L2191" s="5" t="str">
        <f t="shared" si="69"/>
        <v>Abrir no Maps</v>
      </c>
      <c r="M2191" t="s">
        <v>15611</v>
      </c>
      <c r="N2191" s="5"/>
      <c r="O2191" t="str">
        <f>VLOOKUP(G2191,'[1]CONFIG.'!$B:$C,2,0)</f>
        <v>NEILTON</v>
      </c>
      <c r="P2191" t="str">
        <f>VLOOKUP(O2191,'[1]CONFIG.'!$C:$D,2,0)</f>
        <v>74 99857115</v>
      </c>
    </row>
    <row r="2192" spans="1:16" x14ac:dyDescent="0.3">
      <c r="A2192" t="s">
        <v>15612</v>
      </c>
      <c r="B2192" t="s">
        <v>15613</v>
      </c>
      <c r="C2192" t="s">
        <v>15614</v>
      </c>
      <c r="D2192" t="s">
        <v>3881</v>
      </c>
      <c r="E2192" t="s">
        <v>15615</v>
      </c>
      <c r="F2192" t="s">
        <v>137</v>
      </c>
      <c r="G2192">
        <v>208</v>
      </c>
      <c r="H2192">
        <v>200</v>
      </c>
      <c r="I2192" s="5" t="s">
        <v>15616</v>
      </c>
      <c r="J2192" s="5" t="s">
        <v>15617</v>
      </c>
      <c r="K2192" s="5" t="str">
        <f t="shared" si="68"/>
        <v>https://www.google.com/maps?q=-10.818422, -42.725780</v>
      </c>
      <c r="L2192" s="5" t="str">
        <f t="shared" si="69"/>
        <v>Abrir no Maps</v>
      </c>
      <c r="M2192" t="s">
        <v>15618</v>
      </c>
      <c r="N2192" s="5"/>
      <c r="O2192" t="str">
        <f>VLOOKUP(G2192,'[1]CONFIG.'!$B:$C,2,0)</f>
        <v>NEILTON</v>
      </c>
      <c r="P2192" t="str">
        <f>VLOOKUP(O2192,'[1]CONFIG.'!$C:$D,2,0)</f>
        <v>74 99857115</v>
      </c>
    </row>
    <row r="2193" spans="1:16" x14ac:dyDescent="0.3">
      <c r="A2193" t="s">
        <v>15619</v>
      </c>
      <c r="B2193" t="s">
        <v>15620</v>
      </c>
      <c r="C2193" t="s">
        <v>15621</v>
      </c>
      <c r="D2193" t="s">
        <v>3881</v>
      </c>
      <c r="E2193" t="s">
        <v>15622</v>
      </c>
      <c r="F2193" t="s">
        <v>137</v>
      </c>
      <c r="G2193">
        <v>214</v>
      </c>
      <c r="H2193">
        <v>200</v>
      </c>
      <c r="I2193" s="5" t="s">
        <v>15623</v>
      </c>
      <c r="J2193" s="5" t="s">
        <v>15624</v>
      </c>
      <c r="K2193" s="5" t="str">
        <f t="shared" si="68"/>
        <v>https://www.google.com/maps?q=-10.819720, -42.728950</v>
      </c>
      <c r="L2193" s="5" t="str">
        <f t="shared" si="69"/>
        <v>Abrir no Maps</v>
      </c>
      <c r="M2193" t="s">
        <v>15625</v>
      </c>
      <c r="N2193" s="5"/>
      <c r="O2193" t="str">
        <f>VLOOKUP(G2193,'[1]CONFIG.'!$B:$C,2,0)</f>
        <v>GEOVANA</v>
      </c>
      <c r="P2193" t="str">
        <f>VLOOKUP(O2193,'[1]CONFIG.'!$C:$D,2,0)</f>
        <v>74 99523491</v>
      </c>
    </row>
    <row r="2194" spans="1:16" x14ac:dyDescent="0.3">
      <c r="A2194" t="s">
        <v>15626</v>
      </c>
      <c r="B2194" t="s">
        <v>15627</v>
      </c>
      <c r="C2194" t="s">
        <v>15628</v>
      </c>
      <c r="D2194" t="s">
        <v>3881</v>
      </c>
      <c r="E2194" t="s">
        <v>15629</v>
      </c>
      <c r="F2194" t="s">
        <v>137</v>
      </c>
      <c r="G2194">
        <v>214</v>
      </c>
      <c r="H2194">
        <v>200</v>
      </c>
      <c r="I2194" s="5" t="s">
        <v>15630</v>
      </c>
      <c r="J2194" s="5" t="s">
        <v>15631</v>
      </c>
      <c r="K2194" s="5" t="str">
        <f t="shared" si="68"/>
        <v>https://www.google.com/maps?q=-10.827595, -42.730724</v>
      </c>
      <c r="L2194" s="5" t="str">
        <f t="shared" si="69"/>
        <v>Abrir no Maps</v>
      </c>
      <c r="M2194" t="s">
        <v>15632</v>
      </c>
      <c r="N2194" s="5"/>
      <c r="O2194" t="str">
        <f>VLOOKUP(G2194,'[1]CONFIG.'!$B:$C,2,0)</f>
        <v>GEOVANA</v>
      </c>
      <c r="P2194" t="str">
        <f>VLOOKUP(O2194,'[1]CONFIG.'!$C:$D,2,0)</f>
        <v>74 99523491</v>
      </c>
    </row>
    <row r="2195" spans="1:16" x14ac:dyDescent="0.3">
      <c r="A2195" t="s">
        <v>15633</v>
      </c>
      <c r="B2195" t="s">
        <v>15634</v>
      </c>
      <c r="C2195" t="s">
        <v>15635</v>
      </c>
      <c r="D2195" t="s">
        <v>3881</v>
      </c>
      <c r="E2195" t="s">
        <v>15636</v>
      </c>
      <c r="F2195" t="s">
        <v>15637</v>
      </c>
      <c r="G2195">
        <v>208</v>
      </c>
      <c r="H2195">
        <v>200</v>
      </c>
      <c r="I2195" s="5" t="s">
        <v>15638</v>
      </c>
      <c r="J2195" s="5" t="s">
        <v>15639</v>
      </c>
      <c r="K2195" s="5" t="str">
        <f t="shared" si="68"/>
        <v>https://www.google.com/maps?q=-10.831087, -42.726894</v>
      </c>
      <c r="L2195" s="5" t="str">
        <f t="shared" si="69"/>
        <v>Abrir no Maps</v>
      </c>
      <c r="M2195" t="s">
        <v>15640</v>
      </c>
      <c r="N2195" s="5"/>
      <c r="O2195" t="str">
        <f>VLOOKUP(G2195,'[1]CONFIG.'!$B:$C,2,0)</f>
        <v>NEILTON</v>
      </c>
      <c r="P2195" t="str">
        <f>VLOOKUP(O2195,'[1]CONFIG.'!$C:$D,2,0)</f>
        <v>74 99857115</v>
      </c>
    </row>
    <row r="2196" spans="1:16" x14ac:dyDescent="0.3">
      <c r="A2196" t="s">
        <v>15641</v>
      </c>
      <c r="B2196" t="s">
        <v>15642</v>
      </c>
      <c r="C2196" t="s">
        <v>15643</v>
      </c>
      <c r="D2196" t="s">
        <v>3881</v>
      </c>
      <c r="E2196" t="s">
        <v>15644</v>
      </c>
      <c r="F2196" t="s">
        <v>15637</v>
      </c>
      <c r="G2196">
        <v>208</v>
      </c>
      <c r="H2196">
        <v>200</v>
      </c>
      <c r="I2196" s="5" t="s">
        <v>15645</v>
      </c>
      <c r="J2196" s="5" t="s">
        <v>15646</v>
      </c>
      <c r="K2196" s="5" t="str">
        <f t="shared" si="68"/>
        <v>https://www.google.com/maps?q=-10.831999, -42.723950</v>
      </c>
      <c r="L2196" s="5" t="str">
        <f t="shared" si="69"/>
        <v>Abrir no Maps</v>
      </c>
      <c r="M2196" t="s">
        <v>15647</v>
      </c>
      <c r="N2196" s="5"/>
      <c r="O2196" t="str">
        <f>VLOOKUP(G2196,'[1]CONFIG.'!$B:$C,2,0)</f>
        <v>NEILTON</v>
      </c>
      <c r="P2196" t="str">
        <f>VLOOKUP(O2196,'[1]CONFIG.'!$C:$D,2,0)</f>
        <v>74 99857115</v>
      </c>
    </row>
    <row r="2197" spans="1:16" x14ac:dyDescent="0.3">
      <c r="A2197" t="s">
        <v>15648</v>
      </c>
      <c r="B2197" t="s">
        <v>15649</v>
      </c>
      <c r="C2197" t="s">
        <v>15650</v>
      </c>
      <c r="D2197" t="s">
        <v>3881</v>
      </c>
      <c r="E2197" t="s">
        <v>15651</v>
      </c>
      <c r="F2197" t="s">
        <v>15652</v>
      </c>
      <c r="G2197">
        <v>208</v>
      </c>
      <c r="H2197">
        <v>200</v>
      </c>
      <c r="I2197" s="5" t="s">
        <v>15653</v>
      </c>
      <c r="J2197" s="5" t="s">
        <v>15654</v>
      </c>
      <c r="K2197" s="5" t="str">
        <f t="shared" si="68"/>
        <v>https://www.google.com/maps?q=-10.816736, -42.723534</v>
      </c>
      <c r="L2197" s="5" t="str">
        <f t="shared" si="69"/>
        <v>Abrir no Maps</v>
      </c>
      <c r="M2197" t="s">
        <v>15655</v>
      </c>
      <c r="N2197" s="5"/>
      <c r="O2197" t="str">
        <f>VLOOKUP(G2197,'[1]CONFIG.'!$B:$C,2,0)</f>
        <v>NEILTON</v>
      </c>
      <c r="P2197" t="str">
        <f>VLOOKUP(O2197,'[1]CONFIG.'!$C:$D,2,0)</f>
        <v>74 99857115</v>
      </c>
    </row>
    <row r="2198" spans="1:16" x14ac:dyDescent="0.3">
      <c r="A2198" t="s">
        <v>15656</v>
      </c>
      <c r="B2198" t="s">
        <v>15657</v>
      </c>
      <c r="C2198" t="s">
        <v>15658</v>
      </c>
      <c r="D2198" t="s">
        <v>3881</v>
      </c>
      <c r="E2198" t="s">
        <v>15659</v>
      </c>
      <c r="F2198" t="s">
        <v>3881</v>
      </c>
      <c r="G2198">
        <v>208</v>
      </c>
      <c r="H2198">
        <v>200</v>
      </c>
      <c r="I2198" s="5" t="s">
        <v>15660</v>
      </c>
      <c r="J2198" s="5" t="s">
        <v>15661</v>
      </c>
      <c r="K2198" s="5" t="str">
        <f t="shared" si="68"/>
        <v>https://www.google.com/maps?q=-10.819903, -42.724350</v>
      </c>
      <c r="L2198" s="5" t="str">
        <f t="shared" si="69"/>
        <v>Abrir no Maps</v>
      </c>
      <c r="M2198" t="s">
        <v>15662</v>
      </c>
      <c r="N2198" s="5"/>
      <c r="O2198" t="str">
        <f>VLOOKUP(G2198,'[1]CONFIG.'!$B:$C,2,0)</f>
        <v>NEILTON</v>
      </c>
      <c r="P2198" t="str">
        <f>VLOOKUP(O2198,'[1]CONFIG.'!$C:$D,2,0)</f>
        <v>74 99857115</v>
      </c>
    </row>
    <row r="2199" spans="1:16" x14ac:dyDescent="0.3">
      <c r="A2199" t="s">
        <v>15663</v>
      </c>
      <c r="B2199" t="s">
        <v>15664</v>
      </c>
      <c r="C2199" t="s">
        <v>15665</v>
      </c>
      <c r="D2199" t="s">
        <v>3881</v>
      </c>
      <c r="E2199" t="s">
        <v>15666</v>
      </c>
      <c r="F2199" t="s">
        <v>137</v>
      </c>
      <c r="G2199">
        <v>208</v>
      </c>
      <c r="H2199">
        <v>200</v>
      </c>
      <c r="I2199" s="5" t="s">
        <v>15667</v>
      </c>
      <c r="J2199" s="5" t="s">
        <v>15668</v>
      </c>
      <c r="K2199" s="5" t="str">
        <f t="shared" si="68"/>
        <v>https://www.google.com/maps?q=-10.829828, -42.724964</v>
      </c>
      <c r="L2199" s="5" t="str">
        <f t="shared" si="69"/>
        <v>Abrir no Maps</v>
      </c>
      <c r="M2199" t="s">
        <v>15669</v>
      </c>
      <c r="N2199" s="5"/>
      <c r="O2199" t="str">
        <f>VLOOKUP(G2199,'[1]CONFIG.'!$B:$C,2,0)</f>
        <v>NEILTON</v>
      </c>
      <c r="P2199" t="str">
        <f>VLOOKUP(O2199,'[1]CONFIG.'!$C:$D,2,0)</f>
        <v>74 99857115</v>
      </c>
    </row>
    <row r="2200" spans="1:16" x14ac:dyDescent="0.3">
      <c r="A2200" t="s">
        <v>15670</v>
      </c>
      <c r="B2200" t="s">
        <v>15671</v>
      </c>
      <c r="C2200" t="s">
        <v>15672</v>
      </c>
      <c r="D2200" t="s">
        <v>3881</v>
      </c>
      <c r="E2200" t="s">
        <v>15673</v>
      </c>
      <c r="F2200" t="s">
        <v>137</v>
      </c>
      <c r="G2200">
        <v>208</v>
      </c>
      <c r="H2200">
        <v>200</v>
      </c>
      <c r="I2200" s="5" t="s">
        <v>15674</v>
      </c>
      <c r="J2200" s="5" t="s">
        <v>15675</v>
      </c>
      <c r="K2200" s="5" t="str">
        <f t="shared" si="68"/>
        <v>https://www.google.com/maps?q=-10.817261, -42.728170</v>
      </c>
      <c r="L2200" s="5" t="str">
        <f t="shared" si="69"/>
        <v>Abrir no Maps</v>
      </c>
      <c r="M2200" t="s">
        <v>15676</v>
      </c>
      <c r="N2200" s="5"/>
      <c r="O2200" t="str">
        <f>VLOOKUP(G2200,'[1]CONFIG.'!$B:$C,2,0)</f>
        <v>NEILTON</v>
      </c>
      <c r="P2200" t="str">
        <f>VLOOKUP(O2200,'[1]CONFIG.'!$C:$D,2,0)</f>
        <v>74 99857115</v>
      </c>
    </row>
    <row r="2201" spans="1:16" x14ac:dyDescent="0.3">
      <c r="A2201" t="s">
        <v>15677</v>
      </c>
      <c r="B2201" t="s">
        <v>15678</v>
      </c>
      <c r="C2201" t="s">
        <v>15679</v>
      </c>
      <c r="D2201" t="s">
        <v>3881</v>
      </c>
      <c r="E2201" t="s">
        <v>15680</v>
      </c>
      <c r="F2201" t="s">
        <v>137</v>
      </c>
      <c r="G2201">
        <v>214</v>
      </c>
      <c r="H2201">
        <v>200</v>
      </c>
      <c r="I2201" s="5" t="s">
        <v>15681</v>
      </c>
      <c r="J2201" s="5" t="s">
        <v>15682</v>
      </c>
      <c r="K2201" s="5" t="str">
        <f t="shared" si="68"/>
        <v>https://www.google.com/maps?q=-10.829085, -42.730880</v>
      </c>
      <c r="L2201" s="5" t="str">
        <f t="shared" si="69"/>
        <v>Abrir no Maps</v>
      </c>
      <c r="M2201" t="s">
        <v>15683</v>
      </c>
      <c r="N2201" s="5"/>
      <c r="O2201" t="str">
        <f>VLOOKUP(G2201,'[1]CONFIG.'!$B:$C,2,0)</f>
        <v>GEOVANA</v>
      </c>
      <c r="P2201" t="str">
        <f>VLOOKUP(O2201,'[1]CONFIG.'!$C:$D,2,0)</f>
        <v>74 99523491</v>
      </c>
    </row>
    <row r="2202" spans="1:16" x14ac:dyDescent="0.3">
      <c r="A2202" t="s">
        <v>15684</v>
      </c>
      <c r="B2202" t="s">
        <v>15685</v>
      </c>
      <c r="C2202" t="s">
        <v>15686</v>
      </c>
      <c r="D2202" t="s">
        <v>3881</v>
      </c>
      <c r="E2202" t="s">
        <v>15687</v>
      </c>
      <c r="F2202" t="s">
        <v>15688</v>
      </c>
      <c r="G2202">
        <v>208</v>
      </c>
      <c r="H2202">
        <v>200</v>
      </c>
      <c r="I2202" s="5" t="s">
        <v>15689</v>
      </c>
      <c r="J2202" s="5" t="s">
        <v>15690</v>
      </c>
      <c r="K2202" s="5" t="str">
        <f t="shared" si="68"/>
        <v>https://www.google.com/maps?q=-10.830099, -42.720480</v>
      </c>
      <c r="L2202" s="5" t="str">
        <f t="shared" si="69"/>
        <v>Abrir no Maps</v>
      </c>
      <c r="M2202" t="s">
        <v>15691</v>
      </c>
      <c r="N2202" s="5"/>
      <c r="O2202" t="str">
        <f>VLOOKUP(G2202,'[1]CONFIG.'!$B:$C,2,0)</f>
        <v>NEILTON</v>
      </c>
      <c r="P2202" t="str">
        <f>VLOOKUP(O2202,'[1]CONFIG.'!$C:$D,2,0)</f>
        <v>74 99857115</v>
      </c>
    </row>
    <row r="2203" spans="1:16" x14ac:dyDescent="0.3">
      <c r="A2203" t="s">
        <v>15692</v>
      </c>
      <c r="B2203" t="s">
        <v>15693</v>
      </c>
      <c r="C2203" t="s">
        <v>15694</v>
      </c>
      <c r="D2203" t="s">
        <v>3881</v>
      </c>
      <c r="E2203" t="s">
        <v>15695</v>
      </c>
      <c r="F2203" t="s">
        <v>137</v>
      </c>
      <c r="G2203">
        <v>214</v>
      </c>
      <c r="H2203">
        <v>200</v>
      </c>
      <c r="I2203" s="5" t="s">
        <v>15696</v>
      </c>
      <c r="J2203" s="5" t="s">
        <v>15697</v>
      </c>
      <c r="K2203" s="5" t="str">
        <f t="shared" si="68"/>
        <v>https://www.google.com/maps?q=-10.822581, -42.730827</v>
      </c>
      <c r="L2203" s="5" t="str">
        <f t="shared" si="69"/>
        <v>Abrir no Maps</v>
      </c>
      <c r="M2203" t="s">
        <v>15698</v>
      </c>
      <c r="N2203" s="5"/>
      <c r="O2203" t="str">
        <f>VLOOKUP(G2203,'[1]CONFIG.'!$B:$C,2,0)</f>
        <v>GEOVANA</v>
      </c>
      <c r="P2203" t="str">
        <f>VLOOKUP(O2203,'[1]CONFIG.'!$C:$D,2,0)</f>
        <v>74 99523491</v>
      </c>
    </row>
    <row r="2204" spans="1:16" x14ac:dyDescent="0.3">
      <c r="A2204" t="s">
        <v>15699</v>
      </c>
      <c r="B2204" t="s">
        <v>15700</v>
      </c>
      <c r="C2204" t="s">
        <v>15701</v>
      </c>
      <c r="D2204" t="s">
        <v>3881</v>
      </c>
      <c r="E2204" t="s">
        <v>15702</v>
      </c>
      <c r="F2204" t="s">
        <v>137</v>
      </c>
      <c r="G2204">
        <v>208</v>
      </c>
      <c r="H2204">
        <v>200</v>
      </c>
      <c r="I2204" s="5" t="s">
        <v>15703</v>
      </c>
      <c r="J2204" s="5" t="s">
        <v>15704</v>
      </c>
      <c r="K2204" s="5" t="str">
        <f t="shared" si="68"/>
        <v>https://www.google.com/maps?q=-10.823343, -42.726500</v>
      </c>
      <c r="L2204" s="5" t="str">
        <f t="shared" si="69"/>
        <v>Abrir no Maps</v>
      </c>
      <c r="M2204" t="s">
        <v>15705</v>
      </c>
      <c r="N2204" s="5"/>
      <c r="O2204" t="str">
        <f>VLOOKUP(G2204,'[1]CONFIG.'!$B:$C,2,0)</f>
        <v>NEILTON</v>
      </c>
      <c r="P2204" t="str">
        <f>VLOOKUP(O2204,'[1]CONFIG.'!$C:$D,2,0)</f>
        <v>74 99857115</v>
      </c>
    </row>
    <row r="2205" spans="1:16" x14ac:dyDescent="0.3">
      <c r="A2205" t="s">
        <v>15706</v>
      </c>
      <c r="B2205" t="s">
        <v>15707</v>
      </c>
      <c r="C2205" t="s">
        <v>15708</v>
      </c>
      <c r="D2205" t="s">
        <v>3881</v>
      </c>
      <c r="E2205" t="s">
        <v>15709</v>
      </c>
      <c r="F2205" t="s">
        <v>137</v>
      </c>
      <c r="G2205">
        <v>214</v>
      </c>
      <c r="H2205">
        <v>200</v>
      </c>
      <c r="I2205" s="5" t="s">
        <v>15710</v>
      </c>
      <c r="J2205" s="5" t="s">
        <v>15711</v>
      </c>
      <c r="K2205" s="5" t="str">
        <f t="shared" si="68"/>
        <v>https://www.google.com/maps?q=-10.825556, -42.732224</v>
      </c>
      <c r="L2205" s="5" t="str">
        <f t="shared" si="69"/>
        <v>Abrir no Maps</v>
      </c>
      <c r="M2205" t="s">
        <v>15712</v>
      </c>
      <c r="N2205" s="5"/>
      <c r="O2205" t="str">
        <f>VLOOKUP(G2205,'[1]CONFIG.'!$B:$C,2,0)</f>
        <v>GEOVANA</v>
      </c>
      <c r="P2205" t="str">
        <f>VLOOKUP(O2205,'[1]CONFIG.'!$C:$D,2,0)</f>
        <v>74 99523491</v>
      </c>
    </row>
    <row r="2206" spans="1:16" x14ac:dyDescent="0.3">
      <c r="A2206" t="s">
        <v>15713</v>
      </c>
      <c r="B2206" t="s">
        <v>15714</v>
      </c>
      <c r="C2206" t="s">
        <v>15715</v>
      </c>
      <c r="D2206" t="s">
        <v>429</v>
      </c>
      <c r="E2206" t="s">
        <v>15716</v>
      </c>
      <c r="F2206" t="s">
        <v>137</v>
      </c>
      <c r="G2206">
        <v>201</v>
      </c>
      <c r="H2206">
        <v>300</v>
      </c>
      <c r="I2206" s="5" t="s">
        <v>15717</v>
      </c>
      <c r="J2206" s="5" t="s">
        <v>15718</v>
      </c>
      <c r="K2206" s="5" t="str">
        <f t="shared" si="68"/>
        <v>https://www.google.com/maps?q=-11.547789, -41.163704</v>
      </c>
      <c r="L2206" s="5" t="str">
        <f t="shared" si="69"/>
        <v>Abrir no Maps</v>
      </c>
      <c r="M2206" t="s">
        <v>15719</v>
      </c>
      <c r="N2206" s="5"/>
      <c r="O2206" t="str">
        <f>VLOOKUP(G2206,'[1]CONFIG.'!$B:$C,2,0)</f>
        <v>EDSON</v>
      </c>
      <c r="P2206" t="str">
        <f>VLOOKUP(O2206,'[1]CONFIG.'!$C:$D,2,0)</f>
        <v>74 99403278</v>
      </c>
    </row>
    <row r="2207" spans="1:16" x14ac:dyDescent="0.3">
      <c r="A2207" t="s">
        <v>15720</v>
      </c>
      <c r="B2207" t="s">
        <v>15721</v>
      </c>
      <c r="C2207" t="s">
        <v>15722</v>
      </c>
      <c r="D2207" t="s">
        <v>3881</v>
      </c>
      <c r="E2207" t="s">
        <v>15723</v>
      </c>
      <c r="F2207" t="s">
        <v>15724</v>
      </c>
      <c r="G2207">
        <v>208</v>
      </c>
      <c r="H2207">
        <v>200</v>
      </c>
      <c r="I2207" s="5" t="s">
        <v>15725</v>
      </c>
      <c r="J2207" s="5" t="s">
        <v>15726</v>
      </c>
      <c r="K2207" s="5" t="str">
        <f t="shared" si="68"/>
        <v>https://www.google.com/maps?q=-10.819979, -42.720722</v>
      </c>
      <c r="L2207" s="5" t="str">
        <f t="shared" si="69"/>
        <v>Abrir no Maps</v>
      </c>
      <c r="M2207" t="s">
        <v>15727</v>
      </c>
      <c r="N2207" s="5"/>
      <c r="O2207" t="str">
        <f>VLOOKUP(G2207,'[1]CONFIG.'!$B:$C,2,0)</f>
        <v>NEILTON</v>
      </c>
      <c r="P2207" t="str">
        <f>VLOOKUP(O2207,'[1]CONFIG.'!$C:$D,2,0)</f>
        <v>74 99857115</v>
      </c>
    </row>
    <row r="2208" spans="1:16" x14ac:dyDescent="0.3">
      <c r="A2208" t="s">
        <v>15728</v>
      </c>
      <c r="B2208" t="s">
        <v>15729</v>
      </c>
      <c r="C2208" t="s">
        <v>15730</v>
      </c>
      <c r="D2208" t="s">
        <v>3881</v>
      </c>
      <c r="E2208" t="s">
        <v>15731</v>
      </c>
      <c r="F2208" t="s">
        <v>137</v>
      </c>
      <c r="G2208">
        <v>208</v>
      </c>
      <c r="H2208">
        <v>200</v>
      </c>
      <c r="I2208" s="5" t="s">
        <v>15732</v>
      </c>
      <c r="J2208" s="5" t="s">
        <v>15733</v>
      </c>
      <c r="K2208" s="5" t="str">
        <f t="shared" si="68"/>
        <v>https://www.google.com/maps?q=-10.824548, -42.727673</v>
      </c>
      <c r="L2208" s="5" t="str">
        <f t="shared" si="69"/>
        <v>Abrir no Maps</v>
      </c>
      <c r="M2208" t="s">
        <v>15734</v>
      </c>
      <c r="N2208" s="5"/>
      <c r="O2208" t="str">
        <f>VLOOKUP(G2208,'[1]CONFIG.'!$B:$C,2,0)</f>
        <v>NEILTON</v>
      </c>
      <c r="P2208" t="str">
        <f>VLOOKUP(O2208,'[1]CONFIG.'!$C:$D,2,0)</f>
        <v>74 99857115</v>
      </c>
    </row>
    <row r="2209" spans="1:16" x14ac:dyDescent="0.3">
      <c r="A2209" t="s">
        <v>15735</v>
      </c>
      <c r="B2209" t="s">
        <v>15736</v>
      </c>
      <c r="C2209" t="s">
        <v>15737</v>
      </c>
      <c r="D2209" t="s">
        <v>3881</v>
      </c>
      <c r="E2209" t="s">
        <v>15738</v>
      </c>
      <c r="F2209" t="s">
        <v>137</v>
      </c>
      <c r="G2209">
        <v>208</v>
      </c>
      <c r="H2209">
        <v>200</v>
      </c>
      <c r="I2209" s="5" t="s">
        <v>15739</v>
      </c>
      <c r="J2209" s="5" t="s">
        <v>15740</v>
      </c>
      <c r="K2209" s="5" t="str">
        <f t="shared" si="68"/>
        <v>https://www.google.com/maps?q=-10.832417, -42.723007</v>
      </c>
      <c r="L2209" s="5" t="str">
        <f t="shared" si="69"/>
        <v>Abrir no Maps</v>
      </c>
      <c r="M2209" t="s">
        <v>15741</v>
      </c>
      <c r="N2209" s="5"/>
      <c r="O2209" t="str">
        <f>VLOOKUP(G2209,'[1]CONFIG.'!$B:$C,2,0)</f>
        <v>NEILTON</v>
      </c>
      <c r="P2209" t="str">
        <f>VLOOKUP(O2209,'[1]CONFIG.'!$C:$D,2,0)</f>
        <v>74 99857115</v>
      </c>
    </row>
    <row r="2210" spans="1:16" x14ac:dyDescent="0.3">
      <c r="A2210" t="s">
        <v>15742</v>
      </c>
      <c r="B2210" t="s">
        <v>15743</v>
      </c>
      <c r="C2210" t="s">
        <v>15744</v>
      </c>
      <c r="D2210" t="s">
        <v>3881</v>
      </c>
      <c r="E2210" t="s">
        <v>15745</v>
      </c>
      <c r="F2210" t="s">
        <v>137</v>
      </c>
      <c r="G2210">
        <v>208</v>
      </c>
      <c r="H2210">
        <v>200</v>
      </c>
      <c r="I2210" s="5" t="s">
        <v>15746</v>
      </c>
      <c r="J2210" s="5" t="s">
        <v>15747</v>
      </c>
      <c r="K2210" s="5" t="str">
        <f t="shared" si="68"/>
        <v>https://www.google.com/maps?q=-10.821394, -42.731323</v>
      </c>
      <c r="L2210" s="5" t="str">
        <f t="shared" si="69"/>
        <v>Abrir no Maps</v>
      </c>
      <c r="M2210" t="s">
        <v>15748</v>
      </c>
      <c r="N2210" s="5"/>
      <c r="O2210" t="str">
        <f>VLOOKUP(G2210,'[1]CONFIG.'!$B:$C,2,0)</f>
        <v>NEILTON</v>
      </c>
      <c r="P2210" t="str">
        <f>VLOOKUP(O2210,'[1]CONFIG.'!$C:$D,2,0)</f>
        <v>74 99857115</v>
      </c>
    </row>
    <row r="2211" spans="1:16" x14ac:dyDescent="0.3">
      <c r="A2211" t="s">
        <v>15749</v>
      </c>
      <c r="B2211" t="s">
        <v>15750</v>
      </c>
      <c r="C2211" t="s">
        <v>15751</v>
      </c>
      <c r="D2211" t="s">
        <v>3881</v>
      </c>
      <c r="E2211" t="s">
        <v>15752</v>
      </c>
      <c r="F2211" t="s">
        <v>137</v>
      </c>
      <c r="G2211">
        <v>208</v>
      </c>
      <c r="H2211">
        <v>200</v>
      </c>
      <c r="I2211" s="5" t="s">
        <v>15753</v>
      </c>
      <c r="J2211" s="5" t="s">
        <v>15754</v>
      </c>
      <c r="K2211" s="5" t="str">
        <f t="shared" si="68"/>
        <v>https://www.google.com/maps?q=-10.823406, -42.727676</v>
      </c>
      <c r="L2211" s="5" t="str">
        <f t="shared" si="69"/>
        <v>Abrir no Maps</v>
      </c>
      <c r="M2211" t="s">
        <v>15755</v>
      </c>
      <c r="N2211" s="5"/>
      <c r="O2211" t="str">
        <f>VLOOKUP(G2211,'[1]CONFIG.'!$B:$C,2,0)</f>
        <v>NEILTON</v>
      </c>
      <c r="P2211" t="str">
        <f>VLOOKUP(O2211,'[1]CONFIG.'!$C:$D,2,0)</f>
        <v>74 99857115</v>
      </c>
    </row>
    <row r="2212" spans="1:16" x14ac:dyDescent="0.3">
      <c r="A2212" t="s">
        <v>15756</v>
      </c>
      <c r="B2212" t="s">
        <v>15757</v>
      </c>
      <c r="C2212" t="s">
        <v>15758</v>
      </c>
      <c r="D2212" t="s">
        <v>3881</v>
      </c>
      <c r="E2212" t="s">
        <v>15759</v>
      </c>
      <c r="F2212" t="s">
        <v>15760</v>
      </c>
      <c r="G2212">
        <v>208</v>
      </c>
      <c r="H2212">
        <v>200</v>
      </c>
      <c r="I2212" s="5" t="s">
        <v>15761</v>
      </c>
      <c r="J2212" s="5" t="s">
        <v>15762</v>
      </c>
      <c r="K2212" s="5" t="str">
        <f t="shared" si="68"/>
        <v>https://www.google.com/maps?q=-10.815066, -42.725544</v>
      </c>
      <c r="L2212" s="5" t="str">
        <f t="shared" si="69"/>
        <v>Abrir no Maps</v>
      </c>
      <c r="M2212" t="s">
        <v>15763</v>
      </c>
      <c r="N2212" s="5"/>
      <c r="O2212" t="str">
        <f>VLOOKUP(G2212,'[1]CONFIG.'!$B:$C,2,0)</f>
        <v>NEILTON</v>
      </c>
      <c r="P2212" t="str">
        <f>VLOOKUP(O2212,'[1]CONFIG.'!$C:$D,2,0)</f>
        <v>74 99857115</v>
      </c>
    </row>
    <row r="2213" spans="1:16" x14ac:dyDescent="0.3">
      <c r="A2213" t="s">
        <v>15764</v>
      </c>
      <c r="B2213" t="s">
        <v>15765</v>
      </c>
      <c r="C2213" t="s">
        <v>15766</v>
      </c>
      <c r="D2213" t="s">
        <v>3881</v>
      </c>
      <c r="E2213" t="s">
        <v>15767</v>
      </c>
      <c r="F2213" t="s">
        <v>137</v>
      </c>
      <c r="G2213">
        <v>208</v>
      </c>
      <c r="H2213">
        <v>200</v>
      </c>
      <c r="I2213" s="5" t="s">
        <v>15768</v>
      </c>
      <c r="J2213" s="5" t="s">
        <v>15769</v>
      </c>
      <c r="K2213" s="5" t="str">
        <f t="shared" si="68"/>
        <v>https://www.google.com/maps?q=-10.821071, -42.731907</v>
      </c>
      <c r="L2213" s="5" t="str">
        <f t="shared" si="69"/>
        <v>Abrir no Maps</v>
      </c>
      <c r="M2213" t="s">
        <v>15770</v>
      </c>
      <c r="N2213" s="5"/>
      <c r="O2213" t="str">
        <f>VLOOKUP(G2213,'[1]CONFIG.'!$B:$C,2,0)</f>
        <v>NEILTON</v>
      </c>
      <c r="P2213" t="str">
        <f>VLOOKUP(O2213,'[1]CONFIG.'!$C:$D,2,0)</f>
        <v>74 99857115</v>
      </c>
    </row>
    <row r="2214" spans="1:16" x14ac:dyDescent="0.3">
      <c r="A2214" t="s">
        <v>15771</v>
      </c>
      <c r="B2214" t="s">
        <v>15772</v>
      </c>
      <c r="C2214" t="s">
        <v>15773</v>
      </c>
      <c r="D2214" t="s">
        <v>3881</v>
      </c>
      <c r="E2214" t="s">
        <v>15774</v>
      </c>
      <c r="F2214" t="s">
        <v>137</v>
      </c>
      <c r="G2214">
        <v>214</v>
      </c>
      <c r="H2214">
        <v>200</v>
      </c>
      <c r="I2214" s="5" t="s">
        <v>15775</v>
      </c>
      <c r="J2214" s="5" t="s">
        <v>15776</v>
      </c>
      <c r="K2214" s="5" t="str">
        <f t="shared" si="68"/>
        <v>https://www.google.com/maps?q=-10.822462, -42.732643</v>
      </c>
      <c r="L2214" s="5" t="str">
        <f t="shared" si="69"/>
        <v>Abrir no Maps</v>
      </c>
      <c r="M2214" t="s">
        <v>15777</v>
      </c>
      <c r="N2214" s="5"/>
      <c r="O2214" t="str">
        <f>VLOOKUP(G2214,'[1]CONFIG.'!$B:$C,2,0)</f>
        <v>GEOVANA</v>
      </c>
      <c r="P2214" t="str">
        <f>VLOOKUP(O2214,'[1]CONFIG.'!$C:$D,2,0)</f>
        <v>74 99523491</v>
      </c>
    </row>
    <row r="2215" spans="1:16" x14ac:dyDescent="0.3">
      <c r="A2215" t="s">
        <v>15778</v>
      </c>
      <c r="B2215" t="s">
        <v>15779</v>
      </c>
      <c r="C2215" t="s">
        <v>15780</v>
      </c>
      <c r="D2215" t="s">
        <v>3881</v>
      </c>
      <c r="E2215" t="s">
        <v>15781</v>
      </c>
      <c r="F2215" t="s">
        <v>137</v>
      </c>
      <c r="G2215">
        <v>208</v>
      </c>
      <c r="H2215">
        <v>200</v>
      </c>
      <c r="I2215" s="5" t="s">
        <v>15782</v>
      </c>
      <c r="J2215" s="5" t="s">
        <v>15783</v>
      </c>
      <c r="K2215" s="5" t="str">
        <f t="shared" si="68"/>
        <v>https://www.google.com/maps?q=-10.818990, -42.726130</v>
      </c>
      <c r="L2215" s="5" t="str">
        <f t="shared" si="69"/>
        <v>Abrir no Maps</v>
      </c>
      <c r="M2215" t="s">
        <v>15784</v>
      </c>
      <c r="N2215" s="5"/>
      <c r="O2215" t="str">
        <f>VLOOKUP(G2215,'[1]CONFIG.'!$B:$C,2,0)</f>
        <v>NEILTON</v>
      </c>
      <c r="P2215" t="str">
        <f>VLOOKUP(O2215,'[1]CONFIG.'!$C:$D,2,0)</f>
        <v>74 99857115</v>
      </c>
    </row>
    <row r="2216" spans="1:16" x14ac:dyDescent="0.3">
      <c r="A2216" t="s">
        <v>15785</v>
      </c>
      <c r="B2216" t="s">
        <v>15786</v>
      </c>
      <c r="C2216" t="s">
        <v>15787</v>
      </c>
      <c r="D2216" t="s">
        <v>3881</v>
      </c>
      <c r="E2216" t="s">
        <v>15788</v>
      </c>
      <c r="F2216" t="s">
        <v>15637</v>
      </c>
      <c r="G2216">
        <v>208</v>
      </c>
      <c r="H2216">
        <v>200</v>
      </c>
      <c r="I2216" s="5" t="s">
        <v>15789</v>
      </c>
      <c r="J2216" s="5" t="s">
        <v>15790</v>
      </c>
      <c r="K2216" s="5" t="str">
        <f t="shared" si="68"/>
        <v>https://www.google.com/maps?q=-10.831365, -42.723713</v>
      </c>
      <c r="L2216" s="5" t="str">
        <f t="shared" si="69"/>
        <v>Abrir no Maps</v>
      </c>
      <c r="M2216" t="s">
        <v>15791</v>
      </c>
      <c r="N2216" s="5"/>
      <c r="O2216" t="str">
        <f>VLOOKUP(G2216,'[1]CONFIG.'!$B:$C,2,0)</f>
        <v>NEILTON</v>
      </c>
      <c r="P2216" t="str">
        <f>VLOOKUP(O2216,'[1]CONFIG.'!$C:$D,2,0)</f>
        <v>74 99857115</v>
      </c>
    </row>
    <row r="2217" spans="1:16" x14ac:dyDescent="0.3">
      <c r="A2217" t="s">
        <v>15792</v>
      </c>
      <c r="B2217" t="s">
        <v>15793</v>
      </c>
      <c r="C2217" t="s">
        <v>15794</v>
      </c>
      <c r="D2217" t="s">
        <v>3881</v>
      </c>
      <c r="E2217" t="s">
        <v>15795</v>
      </c>
      <c r="F2217" t="s">
        <v>137</v>
      </c>
      <c r="G2217">
        <v>208</v>
      </c>
      <c r="H2217">
        <v>200</v>
      </c>
      <c r="I2217" s="5" t="s">
        <v>15796</v>
      </c>
      <c r="J2217" s="5" t="s">
        <v>15797</v>
      </c>
      <c r="K2217" s="5" t="str">
        <f t="shared" si="68"/>
        <v>https://www.google.com/maps?q=-10.820679, -42.732292</v>
      </c>
      <c r="L2217" s="5" t="str">
        <f t="shared" si="69"/>
        <v>Abrir no Maps</v>
      </c>
      <c r="M2217">
        <v>0</v>
      </c>
      <c r="N2217" s="5"/>
      <c r="O2217" t="str">
        <f>VLOOKUP(G2217,'[1]CONFIG.'!$B:$C,2,0)</f>
        <v>NEILTON</v>
      </c>
      <c r="P2217" t="str">
        <f>VLOOKUP(O2217,'[1]CONFIG.'!$C:$D,2,0)</f>
        <v>74 99857115</v>
      </c>
    </row>
    <row r="2218" spans="1:16" x14ac:dyDescent="0.3">
      <c r="A2218" t="s">
        <v>15798</v>
      </c>
      <c r="B2218" t="s">
        <v>15799</v>
      </c>
      <c r="C2218" t="s">
        <v>15800</v>
      </c>
      <c r="D2218" t="s">
        <v>3881</v>
      </c>
      <c r="E2218" t="s">
        <v>15801</v>
      </c>
      <c r="F2218" t="s">
        <v>15724</v>
      </c>
      <c r="G2218">
        <v>208</v>
      </c>
      <c r="H2218">
        <v>200</v>
      </c>
      <c r="I2218" s="5" t="s">
        <v>15802</v>
      </c>
      <c r="J2218" s="5" t="s">
        <v>15803</v>
      </c>
      <c r="K2218" s="5" t="str">
        <f t="shared" si="68"/>
        <v>https://www.google.com/maps?q=-10.816595, -42.722900</v>
      </c>
      <c r="L2218" s="5" t="str">
        <f t="shared" si="69"/>
        <v>Abrir no Maps</v>
      </c>
      <c r="M2218" t="s">
        <v>15804</v>
      </c>
      <c r="N2218" s="5"/>
      <c r="O2218" t="str">
        <f>VLOOKUP(G2218,'[1]CONFIG.'!$B:$C,2,0)</f>
        <v>NEILTON</v>
      </c>
      <c r="P2218" t="str">
        <f>VLOOKUP(O2218,'[1]CONFIG.'!$C:$D,2,0)</f>
        <v>74 99857115</v>
      </c>
    </row>
    <row r="2219" spans="1:16" x14ac:dyDescent="0.3">
      <c r="A2219" t="s">
        <v>15805</v>
      </c>
      <c r="B2219" t="s">
        <v>15806</v>
      </c>
      <c r="C2219" t="s">
        <v>15807</v>
      </c>
      <c r="D2219" t="s">
        <v>3881</v>
      </c>
      <c r="E2219" t="s">
        <v>15808</v>
      </c>
      <c r="F2219" t="s">
        <v>137</v>
      </c>
      <c r="G2219">
        <v>214</v>
      </c>
      <c r="H2219">
        <v>200</v>
      </c>
      <c r="I2219" s="5" t="s">
        <v>15809</v>
      </c>
      <c r="J2219" s="5" t="s">
        <v>15810</v>
      </c>
      <c r="K2219" s="5" t="str">
        <f t="shared" si="68"/>
        <v>https://www.google.com/maps?q=-10.823987, -42.728920</v>
      </c>
      <c r="L2219" s="5" t="str">
        <f t="shared" si="69"/>
        <v>Abrir no Maps</v>
      </c>
      <c r="M2219" t="s">
        <v>15811</v>
      </c>
      <c r="N2219" s="5"/>
      <c r="O2219" t="str">
        <f>VLOOKUP(G2219,'[1]CONFIG.'!$B:$C,2,0)</f>
        <v>GEOVANA</v>
      </c>
      <c r="P2219" t="str">
        <f>VLOOKUP(O2219,'[1]CONFIG.'!$C:$D,2,0)</f>
        <v>74 99523491</v>
      </c>
    </row>
    <row r="2220" spans="1:16" x14ac:dyDescent="0.3">
      <c r="A2220" t="s">
        <v>15812</v>
      </c>
      <c r="B2220" t="s">
        <v>15813</v>
      </c>
      <c r="C2220" t="s">
        <v>15814</v>
      </c>
      <c r="D2220" t="s">
        <v>3881</v>
      </c>
      <c r="E2220" t="s">
        <v>15815</v>
      </c>
      <c r="F2220" t="s">
        <v>137</v>
      </c>
      <c r="G2220">
        <v>208</v>
      </c>
      <c r="H2220">
        <v>200</v>
      </c>
      <c r="I2220" s="5" t="s">
        <v>15816</v>
      </c>
      <c r="J2220" s="5" t="s">
        <v>15817</v>
      </c>
      <c r="K2220" s="5" t="str">
        <f t="shared" si="68"/>
        <v>https://www.google.com/maps?q=-10.821090, -42.731960</v>
      </c>
      <c r="L2220" s="5" t="str">
        <f t="shared" si="69"/>
        <v>Abrir no Maps</v>
      </c>
      <c r="M2220" t="s">
        <v>15818</v>
      </c>
      <c r="N2220" s="5"/>
      <c r="O2220" t="str">
        <f>VLOOKUP(G2220,'[1]CONFIG.'!$B:$C,2,0)</f>
        <v>NEILTON</v>
      </c>
      <c r="P2220" t="str">
        <f>VLOOKUP(O2220,'[1]CONFIG.'!$C:$D,2,0)</f>
        <v>74 99857115</v>
      </c>
    </row>
    <row r="2221" spans="1:16" x14ac:dyDescent="0.3">
      <c r="A2221" t="s">
        <v>15819</v>
      </c>
      <c r="B2221" t="s">
        <v>15820</v>
      </c>
      <c r="C2221" t="s">
        <v>15821</v>
      </c>
      <c r="D2221" t="s">
        <v>3881</v>
      </c>
      <c r="E2221" t="s">
        <v>15822</v>
      </c>
      <c r="F2221" t="s">
        <v>15823</v>
      </c>
      <c r="G2221">
        <v>208</v>
      </c>
      <c r="H2221">
        <v>200</v>
      </c>
      <c r="I2221" s="5" t="s">
        <v>15824</v>
      </c>
      <c r="J2221" s="5" t="s">
        <v>15825</v>
      </c>
      <c r="K2221" s="5" t="str">
        <f t="shared" si="68"/>
        <v>https://www.google.com/maps?q=-10.816326, -42.720192</v>
      </c>
      <c r="L2221" s="5" t="str">
        <f t="shared" si="69"/>
        <v>Abrir no Maps</v>
      </c>
      <c r="M2221" t="s">
        <v>15826</v>
      </c>
      <c r="N2221" s="5"/>
      <c r="O2221" t="str">
        <f>VLOOKUP(G2221,'[1]CONFIG.'!$B:$C,2,0)</f>
        <v>NEILTON</v>
      </c>
      <c r="P2221" t="str">
        <f>VLOOKUP(O2221,'[1]CONFIG.'!$C:$D,2,0)</f>
        <v>74 99857115</v>
      </c>
    </row>
    <row r="2222" spans="1:16" x14ac:dyDescent="0.3">
      <c r="A2222" t="s">
        <v>15827</v>
      </c>
      <c r="B2222" t="s">
        <v>15828</v>
      </c>
      <c r="C2222" t="s">
        <v>15829</v>
      </c>
      <c r="D2222" t="s">
        <v>3881</v>
      </c>
      <c r="E2222" t="s">
        <v>15830</v>
      </c>
      <c r="F2222" t="s">
        <v>137</v>
      </c>
      <c r="G2222">
        <v>214</v>
      </c>
      <c r="H2222">
        <v>200</v>
      </c>
      <c r="I2222" s="5" t="s">
        <v>15831</v>
      </c>
      <c r="J2222" s="5" t="s">
        <v>15832</v>
      </c>
      <c r="K2222" s="5" t="str">
        <f t="shared" si="68"/>
        <v>https://www.google.com/maps?q=-10.823023, -42.731216</v>
      </c>
      <c r="L2222" s="5" t="str">
        <f t="shared" si="69"/>
        <v>Abrir no Maps</v>
      </c>
      <c r="M2222" t="s">
        <v>15833</v>
      </c>
      <c r="N2222" s="5"/>
      <c r="O2222" t="str">
        <f>VLOOKUP(G2222,'[1]CONFIG.'!$B:$C,2,0)</f>
        <v>GEOVANA</v>
      </c>
      <c r="P2222" t="str">
        <f>VLOOKUP(O2222,'[1]CONFIG.'!$C:$D,2,0)</f>
        <v>74 99523491</v>
      </c>
    </row>
    <row r="2223" spans="1:16" x14ac:dyDescent="0.3">
      <c r="A2223" t="s">
        <v>15834</v>
      </c>
      <c r="B2223" t="s">
        <v>15835</v>
      </c>
      <c r="C2223" t="s">
        <v>15836</v>
      </c>
      <c r="D2223" t="s">
        <v>3881</v>
      </c>
      <c r="E2223" t="s">
        <v>15837</v>
      </c>
      <c r="F2223" t="s">
        <v>137</v>
      </c>
      <c r="G2223">
        <v>208</v>
      </c>
      <c r="H2223">
        <v>200</v>
      </c>
      <c r="I2223" s="5" t="s">
        <v>15838</v>
      </c>
      <c r="J2223" s="5" t="s">
        <v>15839</v>
      </c>
      <c r="K2223" s="5" t="str">
        <f t="shared" si="68"/>
        <v>https://www.google.com/maps?q=-10.824753, -42.729404</v>
      </c>
      <c r="L2223" s="5" t="str">
        <f t="shared" si="69"/>
        <v>Abrir no Maps</v>
      </c>
      <c r="M2223" t="s">
        <v>15840</v>
      </c>
      <c r="N2223" s="5"/>
      <c r="O2223" t="str">
        <f>VLOOKUP(G2223,'[1]CONFIG.'!$B:$C,2,0)</f>
        <v>NEILTON</v>
      </c>
      <c r="P2223" t="str">
        <f>VLOOKUP(O2223,'[1]CONFIG.'!$C:$D,2,0)</f>
        <v>74 99857115</v>
      </c>
    </row>
    <row r="2224" spans="1:16" x14ac:dyDescent="0.3">
      <c r="A2224" t="s">
        <v>15841</v>
      </c>
      <c r="B2224" t="s">
        <v>15842</v>
      </c>
      <c r="C2224" t="s">
        <v>15843</v>
      </c>
      <c r="D2224" t="s">
        <v>3881</v>
      </c>
      <c r="E2224" t="s">
        <v>15844</v>
      </c>
      <c r="F2224" t="s">
        <v>15637</v>
      </c>
      <c r="G2224">
        <v>208</v>
      </c>
      <c r="H2224">
        <v>200</v>
      </c>
      <c r="I2224" s="5" t="s">
        <v>15845</v>
      </c>
      <c r="J2224" s="5" t="s">
        <v>15846</v>
      </c>
      <c r="K2224" s="5" t="str">
        <f t="shared" si="68"/>
        <v>https://www.google.com/maps?q=-10.833157, -42.729572</v>
      </c>
      <c r="L2224" s="5" t="str">
        <f t="shared" si="69"/>
        <v>Abrir no Maps</v>
      </c>
      <c r="M2224" t="s">
        <v>15847</v>
      </c>
      <c r="N2224" s="5"/>
      <c r="O2224" t="str">
        <f>VLOOKUP(G2224,'[1]CONFIG.'!$B:$C,2,0)</f>
        <v>NEILTON</v>
      </c>
      <c r="P2224" t="str">
        <f>VLOOKUP(O2224,'[1]CONFIG.'!$C:$D,2,0)</f>
        <v>74 99857115</v>
      </c>
    </row>
    <row r="2225" spans="1:16" x14ac:dyDescent="0.3">
      <c r="A2225" t="s">
        <v>15848</v>
      </c>
      <c r="B2225" t="s">
        <v>15849</v>
      </c>
      <c r="C2225" t="s">
        <v>15850</v>
      </c>
      <c r="D2225" t="s">
        <v>3881</v>
      </c>
      <c r="E2225" t="s">
        <v>15851</v>
      </c>
      <c r="F2225" t="s">
        <v>137</v>
      </c>
      <c r="G2225">
        <v>214</v>
      </c>
      <c r="H2225">
        <v>200</v>
      </c>
      <c r="I2225" s="5" t="s">
        <v>15852</v>
      </c>
      <c r="J2225" s="5" t="s">
        <v>15853</v>
      </c>
      <c r="K2225" s="5" t="str">
        <f t="shared" si="68"/>
        <v>https://www.google.com/maps?q=-10.817063, -42.726933</v>
      </c>
      <c r="L2225" s="5" t="str">
        <f t="shared" si="69"/>
        <v>Abrir no Maps</v>
      </c>
      <c r="M2225" t="s">
        <v>15854</v>
      </c>
      <c r="N2225" s="5"/>
      <c r="O2225" t="str">
        <f>VLOOKUP(G2225,'[1]CONFIG.'!$B:$C,2,0)</f>
        <v>GEOVANA</v>
      </c>
      <c r="P2225" t="str">
        <f>VLOOKUP(O2225,'[1]CONFIG.'!$C:$D,2,0)</f>
        <v>74 99523491</v>
      </c>
    </row>
    <row r="2226" spans="1:16" x14ac:dyDescent="0.3">
      <c r="A2226" t="s">
        <v>15855</v>
      </c>
      <c r="B2226" t="s">
        <v>15856</v>
      </c>
      <c r="C2226" t="s">
        <v>15857</v>
      </c>
      <c r="D2226" t="s">
        <v>3881</v>
      </c>
      <c r="E2226" t="s">
        <v>15858</v>
      </c>
      <c r="F2226" t="s">
        <v>585</v>
      </c>
      <c r="G2226">
        <v>214</v>
      </c>
      <c r="H2226">
        <v>200</v>
      </c>
      <c r="I2226" s="5" t="s">
        <v>15859</v>
      </c>
      <c r="J2226" s="5" t="s">
        <v>15860</v>
      </c>
      <c r="K2226" s="5" t="str">
        <f t="shared" si="68"/>
        <v>https://www.google.com/maps?q=-10.822315, -42.720314</v>
      </c>
      <c r="L2226" s="5" t="str">
        <f t="shared" si="69"/>
        <v>Abrir no Maps</v>
      </c>
      <c r="M2226" t="s">
        <v>15861</v>
      </c>
      <c r="N2226" s="5"/>
      <c r="O2226" t="str">
        <f>VLOOKUP(G2226,'[1]CONFIG.'!$B:$C,2,0)</f>
        <v>GEOVANA</v>
      </c>
      <c r="P2226" t="str">
        <f>VLOOKUP(O2226,'[1]CONFIG.'!$C:$D,2,0)</f>
        <v>74 99523491</v>
      </c>
    </row>
    <row r="2227" spans="1:16" x14ac:dyDescent="0.3">
      <c r="A2227" t="s">
        <v>15862</v>
      </c>
      <c r="B2227" t="s">
        <v>15863</v>
      </c>
      <c r="C2227" t="s">
        <v>15864</v>
      </c>
      <c r="D2227" t="s">
        <v>3881</v>
      </c>
      <c r="E2227" t="s">
        <v>15865</v>
      </c>
      <c r="F2227" t="s">
        <v>15637</v>
      </c>
      <c r="G2227">
        <v>208</v>
      </c>
      <c r="H2227">
        <v>200</v>
      </c>
      <c r="I2227" s="5" t="s">
        <v>15866</v>
      </c>
      <c r="J2227" s="5" t="s">
        <v>15867</v>
      </c>
      <c r="K2227" s="5" t="str">
        <f t="shared" si="68"/>
        <v>https://www.google.com/maps?q=-10.832492, -42.722855</v>
      </c>
      <c r="L2227" s="5" t="str">
        <f t="shared" si="69"/>
        <v>Abrir no Maps</v>
      </c>
      <c r="M2227" t="s">
        <v>15868</v>
      </c>
      <c r="N2227" s="5"/>
      <c r="O2227" t="str">
        <f>VLOOKUP(G2227,'[1]CONFIG.'!$B:$C,2,0)</f>
        <v>NEILTON</v>
      </c>
      <c r="P2227" t="str">
        <f>VLOOKUP(O2227,'[1]CONFIG.'!$C:$D,2,0)</f>
        <v>74 99857115</v>
      </c>
    </row>
    <row r="2228" spans="1:16" x14ac:dyDescent="0.3">
      <c r="A2228" t="s">
        <v>15869</v>
      </c>
      <c r="B2228" t="s">
        <v>15870</v>
      </c>
      <c r="C2228" t="s">
        <v>15871</v>
      </c>
      <c r="D2228" t="s">
        <v>8047</v>
      </c>
      <c r="E2228" t="s">
        <v>15872</v>
      </c>
      <c r="F2228" t="s">
        <v>137</v>
      </c>
      <c r="G2228">
        <v>214</v>
      </c>
      <c r="H2228">
        <v>200</v>
      </c>
      <c r="I2228" s="5" t="s">
        <v>15873</v>
      </c>
      <c r="J2228" s="5" t="s">
        <v>15874</v>
      </c>
      <c r="K2228" s="5" t="str">
        <f t="shared" si="68"/>
        <v>https://www.google.com/maps?q=-11.010268, -42.394130</v>
      </c>
      <c r="L2228" s="5" t="str">
        <f t="shared" si="69"/>
        <v>Abrir no Maps</v>
      </c>
      <c r="M2228" t="s">
        <v>15875</v>
      </c>
      <c r="N2228" s="5"/>
      <c r="O2228" t="str">
        <f>VLOOKUP(G2228,'[1]CONFIG.'!$B:$C,2,0)</f>
        <v>GEOVANA</v>
      </c>
      <c r="P2228" t="str">
        <f>VLOOKUP(O2228,'[1]CONFIG.'!$C:$D,2,0)</f>
        <v>74 99523491</v>
      </c>
    </row>
    <row r="2229" spans="1:16" x14ac:dyDescent="0.3">
      <c r="A2229" t="s">
        <v>15876</v>
      </c>
      <c r="B2229" t="s">
        <v>15877</v>
      </c>
      <c r="C2229" t="s">
        <v>15878</v>
      </c>
      <c r="D2229" t="s">
        <v>3881</v>
      </c>
      <c r="E2229" t="s">
        <v>15879</v>
      </c>
      <c r="F2229" t="s">
        <v>137</v>
      </c>
      <c r="G2229">
        <v>214</v>
      </c>
      <c r="H2229">
        <v>200</v>
      </c>
      <c r="I2229" s="5" t="s">
        <v>15880</v>
      </c>
      <c r="J2229" s="5" t="s">
        <v>15881</v>
      </c>
      <c r="K2229" s="5" t="str">
        <f t="shared" si="68"/>
        <v>https://www.google.com/maps?q=-10.827153, -42.733040</v>
      </c>
      <c r="L2229" s="5" t="str">
        <f t="shared" si="69"/>
        <v>Abrir no Maps</v>
      </c>
      <c r="M2229" t="s">
        <v>15882</v>
      </c>
      <c r="N2229" s="5"/>
      <c r="O2229" t="str">
        <f>VLOOKUP(G2229,'[1]CONFIG.'!$B:$C,2,0)</f>
        <v>GEOVANA</v>
      </c>
      <c r="P2229" t="str">
        <f>VLOOKUP(O2229,'[1]CONFIG.'!$C:$D,2,0)</f>
        <v>74 99523491</v>
      </c>
    </row>
    <row r="2230" spans="1:16" x14ac:dyDescent="0.3">
      <c r="A2230" t="s">
        <v>15883</v>
      </c>
      <c r="B2230" t="s">
        <v>15884</v>
      </c>
      <c r="C2230" t="s">
        <v>15885</v>
      </c>
      <c r="D2230" t="s">
        <v>3881</v>
      </c>
      <c r="E2230" t="s">
        <v>15886</v>
      </c>
      <c r="F2230" t="s">
        <v>15637</v>
      </c>
      <c r="G2230">
        <v>208</v>
      </c>
      <c r="H2230">
        <v>200</v>
      </c>
      <c r="I2230" s="5" t="s">
        <v>15887</v>
      </c>
      <c r="J2230" s="5" t="s">
        <v>15888</v>
      </c>
      <c r="K2230" s="5" t="str">
        <f t="shared" si="68"/>
        <v>https://www.google.com/maps?q=-10.829699, -42.726860</v>
      </c>
      <c r="L2230" s="5" t="str">
        <f t="shared" si="69"/>
        <v>Abrir no Maps</v>
      </c>
      <c r="M2230" t="s">
        <v>15889</v>
      </c>
      <c r="N2230" s="5"/>
      <c r="O2230" t="str">
        <f>VLOOKUP(G2230,'[1]CONFIG.'!$B:$C,2,0)</f>
        <v>NEILTON</v>
      </c>
      <c r="P2230" t="str">
        <f>VLOOKUP(O2230,'[1]CONFIG.'!$C:$D,2,0)</f>
        <v>74 99857115</v>
      </c>
    </row>
    <row r="2231" spans="1:16" x14ac:dyDescent="0.3">
      <c r="A2231" t="s">
        <v>15890</v>
      </c>
      <c r="B2231" t="s">
        <v>15891</v>
      </c>
      <c r="C2231" t="s">
        <v>15892</v>
      </c>
      <c r="D2231" t="s">
        <v>3881</v>
      </c>
      <c r="E2231" t="s">
        <v>15893</v>
      </c>
      <c r="F2231" t="s">
        <v>137</v>
      </c>
      <c r="G2231">
        <v>208</v>
      </c>
      <c r="H2231">
        <v>200</v>
      </c>
      <c r="I2231" s="5" t="s">
        <v>15894</v>
      </c>
      <c r="J2231" s="5" t="s">
        <v>15895</v>
      </c>
      <c r="K2231" s="5" t="str">
        <f t="shared" si="68"/>
        <v>https://www.google.com/maps?q=-10.823923, -42.729218</v>
      </c>
      <c r="L2231" s="5" t="str">
        <f t="shared" si="69"/>
        <v>Abrir no Maps</v>
      </c>
      <c r="M2231" t="s">
        <v>15896</v>
      </c>
      <c r="N2231" s="5"/>
      <c r="O2231" t="str">
        <f>VLOOKUP(G2231,'[1]CONFIG.'!$B:$C,2,0)</f>
        <v>NEILTON</v>
      </c>
      <c r="P2231" t="str">
        <f>VLOOKUP(O2231,'[1]CONFIG.'!$C:$D,2,0)</f>
        <v>74 99857115</v>
      </c>
    </row>
    <row r="2232" spans="1:16" x14ac:dyDescent="0.3">
      <c r="A2232" t="s">
        <v>15897</v>
      </c>
      <c r="B2232" t="s">
        <v>15898</v>
      </c>
      <c r="C2232" t="s">
        <v>15899</v>
      </c>
      <c r="D2232" t="s">
        <v>3881</v>
      </c>
      <c r="E2232" t="s">
        <v>15900</v>
      </c>
      <c r="F2232" t="s">
        <v>15901</v>
      </c>
      <c r="G2232">
        <v>208</v>
      </c>
      <c r="H2232">
        <v>200</v>
      </c>
      <c r="I2232" s="5" t="s">
        <v>15902</v>
      </c>
      <c r="J2232" s="5" t="s">
        <v>15903</v>
      </c>
      <c r="K2232" s="5" t="str">
        <f t="shared" si="68"/>
        <v>https://www.google.com/maps?q=-10.818448, -42.715626</v>
      </c>
      <c r="L2232" s="5" t="str">
        <f t="shared" si="69"/>
        <v>Abrir no Maps</v>
      </c>
      <c r="M2232" t="s">
        <v>15904</v>
      </c>
      <c r="N2232" s="5"/>
      <c r="O2232" t="str">
        <f>VLOOKUP(G2232,'[1]CONFIG.'!$B:$C,2,0)</f>
        <v>NEILTON</v>
      </c>
      <c r="P2232" t="str">
        <f>VLOOKUP(O2232,'[1]CONFIG.'!$C:$D,2,0)</f>
        <v>74 99857115</v>
      </c>
    </row>
    <row r="2233" spans="1:16" x14ac:dyDescent="0.3">
      <c r="A2233" t="s">
        <v>15905</v>
      </c>
      <c r="B2233" t="s">
        <v>15906</v>
      </c>
      <c r="C2233" t="s">
        <v>15907</v>
      </c>
      <c r="D2233" t="s">
        <v>3881</v>
      </c>
      <c r="E2233" t="s">
        <v>15908</v>
      </c>
      <c r="F2233" t="s">
        <v>137</v>
      </c>
      <c r="G2233">
        <v>214</v>
      </c>
      <c r="H2233">
        <v>200</v>
      </c>
      <c r="I2233" s="5" t="s">
        <v>15909</v>
      </c>
      <c r="J2233" s="5" t="s">
        <v>15910</v>
      </c>
      <c r="K2233" s="5" t="str">
        <f t="shared" si="68"/>
        <v>https://www.google.com/maps?q=-10.819567, -42.728860</v>
      </c>
      <c r="L2233" s="5" t="str">
        <f t="shared" si="69"/>
        <v>Abrir no Maps</v>
      </c>
      <c r="M2233" t="s">
        <v>15911</v>
      </c>
      <c r="N2233" s="5"/>
      <c r="O2233" t="str">
        <f>VLOOKUP(G2233,'[1]CONFIG.'!$B:$C,2,0)</f>
        <v>GEOVANA</v>
      </c>
      <c r="P2233" t="str">
        <f>VLOOKUP(O2233,'[1]CONFIG.'!$C:$D,2,0)</f>
        <v>74 99523491</v>
      </c>
    </row>
    <row r="2234" spans="1:16" x14ac:dyDescent="0.3">
      <c r="A2234" t="s">
        <v>15912</v>
      </c>
      <c r="B2234" t="s">
        <v>15913</v>
      </c>
      <c r="C2234" t="s">
        <v>15914</v>
      </c>
      <c r="D2234" t="s">
        <v>3881</v>
      </c>
      <c r="E2234" t="s">
        <v>15915</v>
      </c>
      <c r="F2234" t="s">
        <v>15637</v>
      </c>
      <c r="G2234">
        <v>208</v>
      </c>
      <c r="H2234">
        <v>200</v>
      </c>
      <c r="I2234" s="5" t="s">
        <v>15916</v>
      </c>
      <c r="J2234" s="5" t="s">
        <v>15917</v>
      </c>
      <c r="K2234" s="5" t="str">
        <f t="shared" si="68"/>
        <v>https://www.google.com/maps?q=-10.831518, -42.725113</v>
      </c>
      <c r="L2234" s="5" t="str">
        <f t="shared" si="69"/>
        <v>Abrir no Maps</v>
      </c>
      <c r="M2234" t="s">
        <v>15918</v>
      </c>
      <c r="N2234" s="5"/>
      <c r="O2234" t="str">
        <f>VLOOKUP(G2234,'[1]CONFIG.'!$B:$C,2,0)</f>
        <v>NEILTON</v>
      </c>
      <c r="P2234" t="str">
        <f>VLOOKUP(O2234,'[1]CONFIG.'!$C:$D,2,0)</f>
        <v>74 99857115</v>
      </c>
    </row>
    <row r="2235" spans="1:16" x14ac:dyDescent="0.3">
      <c r="A2235" t="s">
        <v>15919</v>
      </c>
      <c r="B2235" t="s">
        <v>15920</v>
      </c>
      <c r="C2235" t="s">
        <v>15921</v>
      </c>
      <c r="D2235" t="s">
        <v>3881</v>
      </c>
      <c r="E2235" t="s">
        <v>15922</v>
      </c>
      <c r="F2235" t="s">
        <v>137</v>
      </c>
      <c r="G2235">
        <v>214</v>
      </c>
      <c r="H2235">
        <v>200</v>
      </c>
      <c r="I2235" s="5" t="s">
        <v>15923</v>
      </c>
      <c r="J2235" s="5" t="s">
        <v>15924</v>
      </c>
      <c r="K2235" s="5" t="str">
        <f t="shared" si="68"/>
        <v>https://www.google.com/maps?q=-10.817712, -42.727463</v>
      </c>
      <c r="L2235" s="5" t="str">
        <f t="shared" si="69"/>
        <v>Abrir no Maps</v>
      </c>
      <c r="M2235">
        <v>0</v>
      </c>
      <c r="N2235" s="5"/>
      <c r="O2235" t="str">
        <f>VLOOKUP(G2235,'[1]CONFIG.'!$B:$C,2,0)</f>
        <v>GEOVANA</v>
      </c>
      <c r="P2235" t="str">
        <f>VLOOKUP(O2235,'[1]CONFIG.'!$C:$D,2,0)</f>
        <v>74 99523491</v>
      </c>
    </row>
    <row r="2236" spans="1:16" x14ac:dyDescent="0.3">
      <c r="A2236" t="s">
        <v>15925</v>
      </c>
      <c r="B2236" t="s">
        <v>15926</v>
      </c>
      <c r="C2236" t="s">
        <v>15927</v>
      </c>
      <c r="D2236" t="s">
        <v>3881</v>
      </c>
      <c r="E2236" t="s">
        <v>15928</v>
      </c>
      <c r="F2236" t="s">
        <v>137</v>
      </c>
      <c r="G2236">
        <v>208</v>
      </c>
      <c r="H2236">
        <v>200</v>
      </c>
      <c r="I2236" s="5" t="s">
        <v>15929</v>
      </c>
      <c r="J2236" s="5" t="s">
        <v>15930</v>
      </c>
      <c r="K2236" s="5" t="str">
        <f t="shared" si="68"/>
        <v>https://www.google.com/maps?q=-10.822884, -42.727325</v>
      </c>
      <c r="L2236" s="5" t="str">
        <f t="shared" si="69"/>
        <v>Abrir no Maps</v>
      </c>
      <c r="M2236" t="s">
        <v>15931</v>
      </c>
      <c r="N2236" s="5"/>
      <c r="O2236" t="str">
        <f>VLOOKUP(G2236,'[1]CONFIG.'!$B:$C,2,0)</f>
        <v>NEILTON</v>
      </c>
      <c r="P2236" t="str">
        <f>VLOOKUP(O2236,'[1]CONFIG.'!$C:$D,2,0)</f>
        <v>74 99857115</v>
      </c>
    </row>
    <row r="2237" spans="1:16" x14ac:dyDescent="0.3">
      <c r="A2237" t="s">
        <v>15932</v>
      </c>
      <c r="B2237" t="s">
        <v>15933</v>
      </c>
      <c r="C2237" t="s">
        <v>15934</v>
      </c>
      <c r="D2237" t="s">
        <v>3881</v>
      </c>
      <c r="E2237" t="s">
        <v>15935</v>
      </c>
      <c r="F2237" t="s">
        <v>137</v>
      </c>
      <c r="G2237">
        <v>214</v>
      </c>
      <c r="H2237">
        <v>200</v>
      </c>
      <c r="I2237" s="5" t="s">
        <v>15936</v>
      </c>
      <c r="J2237" s="5" t="s">
        <v>15937</v>
      </c>
      <c r="K2237" s="5" t="str">
        <f t="shared" si="68"/>
        <v>https://www.google.com/maps?q=-10.822318, -42.732600</v>
      </c>
      <c r="L2237" s="5" t="str">
        <f t="shared" si="69"/>
        <v>Abrir no Maps</v>
      </c>
      <c r="M2237" t="s">
        <v>15938</v>
      </c>
      <c r="N2237" s="5"/>
      <c r="O2237" t="str">
        <f>VLOOKUP(G2237,'[1]CONFIG.'!$B:$C,2,0)</f>
        <v>GEOVANA</v>
      </c>
      <c r="P2237" t="str">
        <f>VLOOKUP(O2237,'[1]CONFIG.'!$C:$D,2,0)</f>
        <v>74 99523491</v>
      </c>
    </row>
    <row r="2238" spans="1:16" x14ac:dyDescent="0.3">
      <c r="A2238" t="s">
        <v>15939</v>
      </c>
      <c r="B2238" t="s">
        <v>15940</v>
      </c>
      <c r="C2238" t="s">
        <v>15941</v>
      </c>
      <c r="D2238" t="s">
        <v>3881</v>
      </c>
      <c r="E2238" t="s">
        <v>15942</v>
      </c>
      <c r="F2238" t="s">
        <v>137</v>
      </c>
      <c r="G2238">
        <v>214</v>
      </c>
      <c r="H2238">
        <v>200</v>
      </c>
      <c r="I2238" s="5" t="s">
        <v>15943</v>
      </c>
      <c r="J2238" s="5" t="s">
        <v>15944</v>
      </c>
      <c r="K2238" s="5" t="str">
        <f t="shared" si="68"/>
        <v>https://www.google.com/maps?q=-10.820245, -42.732113</v>
      </c>
      <c r="L2238" s="5" t="str">
        <f t="shared" si="69"/>
        <v>Abrir no Maps</v>
      </c>
      <c r="M2238" t="s">
        <v>15945</v>
      </c>
      <c r="N2238" s="5"/>
      <c r="O2238" t="str">
        <f>VLOOKUP(G2238,'[1]CONFIG.'!$B:$C,2,0)</f>
        <v>GEOVANA</v>
      </c>
      <c r="P2238" t="str">
        <f>VLOOKUP(O2238,'[1]CONFIG.'!$C:$D,2,0)</f>
        <v>74 99523491</v>
      </c>
    </row>
    <row r="2239" spans="1:16" x14ac:dyDescent="0.3">
      <c r="A2239" t="s">
        <v>15946</v>
      </c>
      <c r="B2239" t="s">
        <v>15947</v>
      </c>
      <c r="C2239" t="s">
        <v>15948</v>
      </c>
      <c r="D2239" t="s">
        <v>3881</v>
      </c>
      <c r="E2239" t="s">
        <v>15949</v>
      </c>
      <c r="F2239" t="s">
        <v>137</v>
      </c>
      <c r="G2239">
        <v>214</v>
      </c>
      <c r="H2239">
        <v>200</v>
      </c>
      <c r="I2239" s="5" t="s">
        <v>15950</v>
      </c>
      <c r="J2239" s="5" t="s">
        <v>15951</v>
      </c>
      <c r="K2239" s="5" t="str">
        <f t="shared" si="68"/>
        <v>https://www.google.com/maps?q=-10.820329, -42.731163</v>
      </c>
      <c r="L2239" s="5" t="str">
        <f t="shared" si="69"/>
        <v>Abrir no Maps</v>
      </c>
      <c r="M2239" t="s">
        <v>15952</v>
      </c>
      <c r="N2239" s="5"/>
      <c r="O2239" t="str">
        <f>VLOOKUP(G2239,'[1]CONFIG.'!$B:$C,2,0)</f>
        <v>GEOVANA</v>
      </c>
      <c r="P2239" t="str">
        <f>VLOOKUP(O2239,'[1]CONFIG.'!$C:$D,2,0)</f>
        <v>74 99523491</v>
      </c>
    </row>
    <row r="2240" spans="1:16" x14ac:dyDescent="0.3">
      <c r="A2240" t="s">
        <v>15953</v>
      </c>
      <c r="B2240" t="s">
        <v>15954</v>
      </c>
      <c r="C2240" t="s">
        <v>15955</v>
      </c>
      <c r="D2240" t="s">
        <v>3881</v>
      </c>
      <c r="E2240" t="s">
        <v>15956</v>
      </c>
      <c r="F2240" t="s">
        <v>137</v>
      </c>
      <c r="G2240">
        <v>208</v>
      </c>
      <c r="H2240">
        <v>200</v>
      </c>
      <c r="I2240" s="5" t="s">
        <v>15957</v>
      </c>
      <c r="J2240" s="5" t="s">
        <v>15958</v>
      </c>
      <c r="K2240" s="5" t="str">
        <f t="shared" si="68"/>
        <v>https://www.google.com/maps?q=-10.823956, -42.729424</v>
      </c>
      <c r="L2240" s="5" t="str">
        <f t="shared" si="69"/>
        <v>Abrir no Maps</v>
      </c>
      <c r="M2240" t="s">
        <v>15959</v>
      </c>
      <c r="N2240" s="5"/>
      <c r="O2240" t="str">
        <f>VLOOKUP(G2240,'[1]CONFIG.'!$B:$C,2,0)</f>
        <v>NEILTON</v>
      </c>
      <c r="P2240" t="str">
        <f>VLOOKUP(O2240,'[1]CONFIG.'!$C:$D,2,0)</f>
        <v>74 99857115</v>
      </c>
    </row>
    <row r="2241" spans="1:16" x14ac:dyDescent="0.3">
      <c r="A2241" t="s">
        <v>15960</v>
      </c>
      <c r="B2241" t="s">
        <v>15961</v>
      </c>
      <c r="C2241" t="s">
        <v>15962</v>
      </c>
      <c r="D2241" t="s">
        <v>3881</v>
      </c>
      <c r="E2241" t="s">
        <v>15963</v>
      </c>
      <c r="F2241" t="s">
        <v>15964</v>
      </c>
      <c r="G2241">
        <v>208</v>
      </c>
      <c r="H2241">
        <v>200</v>
      </c>
      <c r="I2241" s="5" t="s">
        <v>15965</v>
      </c>
      <c r="J2241" s="5" t="s">
        <v>15966</v>
      </c>
      <c r="K2241" s="5" t="str">
        <f t="shared" si="68"/>
        <v>https://www.google.com/maps?q=-10.815882, -42.724274</v>
      </c>
      <c r="L2241" s="5" t="str">
        <f t="shared" si="69"/>
        <v>Abrir no Maps</v>
      </c>
      <c r="M2241" t="s">
        <v>15967</v>
      </c>
      <c r="N2241" s="5"/>
      <c r="O2241" t="str">
        <f>VLOOKUP(G2241,'[1]CONFIG.'!$B:$C,2,0)</f>
        <v>NEILTON</v>
      </c>
      <c r="P2241" t="str">
        <f>VLOOKUP(O2241,'[1]CONFIG.'!$C:$D,2,0)</f>
        <v>74 99857115</v>
      </c>
    </row>
    <row r="2242" spans="1:16" x14ac:dyDescent="0.3">
      <c r="A2242" t="s">
        <v>15968</v>
      </c>
      <c r="B2242" t="s">
        <v>15969</v>
      </c>
      <c r="C2242" t="s">
        <v>15970</v>
      </c>
      <c r="D2242" t="s">
        <v>3881</v>
      </c>
      <c r="E2242" t="s">
        <v>15971</v>
      </c>
      <c r="F2242" t="s">
        <v>137</v>
      </c>
      <c r="G2242">
        <v>208</v>
      </c>
      <c r="H2242">
        <v>200</v>
      </c>
      <c r="I2242" s="5" t="s">
        <v>15972</v>
      </c>
      <c r="J2242" s="5" t="s">
        <v>15973</v>
      </c>
      <c r="K2242" s="5" t="str">
        <f t="shared" si="68"/>
        <v>https://www.google.com/maps?q=-10.816951, -42.722804</v>
      </c>
      <c r="L2242" s="5" t="str">
        <f t="shared" si="69"/>
        <v>Abrir no Maps</v>
      </c>
      <c r="M2242" t="s">
        <v>15974</v>
      </c>
      <c r="N2242" s="5"/>
      <c r="O2242" t="str">
        <f>VLOOKUP(G2242,'[1]CONFIG.'!$B:$C,2,0)</f>
        <v>NEILTON</v>
      </c>
      <c r="P2242" t="str">
        <f>VLOOKUP(O2242,'[1]CONFIG.'!$C:$D,2,0)</f>
        <v>74 99857115</v>
      </c>
    </row>
    <row r="2243" spans="1:16" x14ac:dyDescent="0.3">
      <c r="A2243" t="s">
        <v>15975</v>
      </c>
      <c r="B2243" t="s">
        <v>15976</v>
      </c>
      <c r="C2243" t="s">
        <v>15977</v>
      </c>
      <c r="D2243" t="s">
        <v>3881</v>
      </c>
      <c r="E2243" t="s">
        <v>15978</v>
      </c>
      <c r="F2243" t="s">
        <v>137</v>
      </c>
      <c r="G2243">
        <v>208</v>
      </c>
      <c r="H2243">
        <v>200</v>
      </c>
      <c r="I2243" s="5" t="s">
        <v>15979</v>
      </c>
      <c r="J2243" s="5" t="s">
        <v>15980</v>
      </c>
      <c r="K2243" s="5" t="str">
        <f t="shared" si="68"/>
        <v>https://www.google.com/maps?q=-10.825239, -42.728728</v>
      </c>
      <c r="L2243" s="5" t="str">
        <f t="shared" si="69"/>
        <v>Abrir no Maps</v>
      </c>
      <c r="M2243" t="s">
        <v>15981</v>
      </c>
      <c r="N2243" s="5"/>
      <c r="O2243" t="str">
        <f>VLOOKUP(G2243,'[1]CONFIG.'!$B:$C,2,0)</f>
        <v>NEILTON</v>
      </c>
      <c r="P2243" t="str">
        <f>VLOOKUP(O2243,'[1]CONFIG.'!$C:$D,2,0)</f>
        <v>74 99857115</v>
      </c>
    </row>
    <row r="2244" spans="1:16" x14ac:dyDescent="0.3">
      <c r="A2244" t="s">
        <v>15982</v>
      </c>
      <c r="B2244" t="s">
        <v>15983</v>
      </c>
      <c r="C2244" t="s">
        <v>15984</v>
      </c>
      <c r="D2244" t="s">
        <v>3881</v>
      </c>
      <c r="E2244" t="s">
        <v>15985</v>
      </c>
      <c r="F2244" t="s">
        <v>137</v>
      </c>
      <c r="G2244">
        <v>208</v>
      </c>
      <c r="H2244">
        <v>200</v>
      </c>
      <c r="I2244" s="5" t="s">
        <v>15986</v>
      </c>
      <c r="J2244" s="5" t="s">
        <v>15987</v>
      </c>
      <c r="K2244" s="5" t="str">
        <f t="shared" ref="K2244:K2307" si="70">"https://www.google.com/maps?q="&amp;""&amp;LEFT(I2244,3)&amp;"."&amp;RIGHT(I2244,6)&amp;", "&amp;LEFT(J2244,3)&amp;"."&amp;RIGHT(J2244,6)</f>
        <v>https://www.google.com/maps?q=-10.824445, -42.729443</v>
      </c>
      <c r="L2244" s="5" t="str">
        <f t="shared" ref="L2244:L2307" si="71">HYPERLINK(K2244,"Abrir no Maps")</f>
        <v>Abrir no Maps</v>
      </c>
      <c r="M2244" t="s">
        <v>15988</v>
      </c>
      <c r="N2244" s="5"/>
      <c r="O2244" t="str">
        <f>VLOOKUP(G2244,'[1]CONFIG.'!$B:$C,2,0)</f>
        <v>NEILTON</v>
      </c>
      <c r="P2244" t="str">
        <f>VLOOKUP(O2244,'[1]CONFIG.'!$C:$D,2,0)</f>
        <v>74 99857115</v>
      </c>
    </row>
    <row r="2245" spans="1:16" x14ac:dyDescent="0.3">
      <c r="A2245" t="s">
        <v>15989</v>
      </c>
      <c r="B2245" t="s">
        <v>15990</v>
      </c>
      <c r="C2245" t="s">
        <v>15991</v>
      </c>
      <c r="D2245" t="s">
        <v>3881</v>
      </c>
      <c r="E2245" t="s">
        <v>15992</v>
      </c>
      <c r="F2245" t="s">
        <v>15993</v>
      </c>
      <c r="G2245">
        <v>208</v>
      </c>
      <c r="H2245">
        <v>200</v>
      </c>
      <c r="I2245" s="5" t="s">
        <v>15994</v>
      </c>
      <c r="J2245" s="5" t="s">
        <v>15995</v>
      </c>
      <c r="K2245" s="5" t="str">
        <f t="shared" si="70"/>
        <v>https://www.google.com/maps?q=-10.831896, -42.724020</v>
      </c>
      <c r="L2245" s="5" t="str">
        <f t="shared" si="71"/>
        <v>Abrir no Maps</v>
      </c>
      <c r="M2245" t="s">
        <v>15996</v>
      </c>
      <c r="N2245" s="5"/>
      <c r="O2245" t="str">
        <f>VLOOKUP(G2245,'[1]CONFIG.'!$B:$C,2,0)</f>
        <v>NEILTON</v>
      </c>
      <c r="P2245" t="str">
        <f>VLOOKUP(O2245,'[1]CONFIG.'!$C:$D,2,0)</f>
        <v>74 99857115</v>
      </c>
    </row>
    <row r="2246" spans="1:16" x14ac:dyDescent="0.3">
      <c r="A2246" t="s">
        <v>15997</v>
      </c>
      <c r="B2246" t="s">
        <v>15998</v>
      </c>
      <c r="C2246" t="s">
        <v>15999</v>
      </c>
      <c r="D2246" t="s">
        <v>3881</v>
      </c>
      <c r="E2246" t="s">
        <v>16000</v>
      </c>
      <c r="F2246" t="s">
        <v>16001</v>
      </c>
      <c r="G2246">
        <v>214</v>
      </c>
      <c r="H2246">
        <v>200</v>
      </c>
      <c r="I2246" s="5" t="s">
        <v>16002</v>
      </c>
      <c r="J2246" s="5" t="s">
        <v>16003</v>
      </c>
      <c r="K2246" s="5" t="str">
        <f t="shared" si="70"/>
        <v>https://www.google.com/maps?q=-10.826700, -42.715904</v>
      </c>
      <c r="L2246" s="5" t="str">
        <f t="shared" si="71"/>
        <v>Abrir no Maps</v>
      </c>
      <c r="M2246" t="s">
        <v>16004</v>
      </c>
      <c r="N2246" s="5"/>
      <c r="O2246" t="str">
        <f>VLOOKUP(G2246,'[1]CONFIG.'!$B:$C,2,0)</f>
        <v>GEOVANA</v>
      </c>
      <c r="P2246" t="str">
        <f>VLOOKUP(O2246,'[1]CONFIG.'!$C:$D,2,0)</f>
        <v>74 99523491</v>
      </c>
    </row>
    <row r="2247" spans="1:16" x14ac:dyDescent="0.3">
      <c r="A2247" t="s">
        <v>16005</v>
      </c>
      <c r="B2247" t="s">
        <v>16006</v>
      </c>
      <c r="C2247" t="s">
        <v>16007</v>
      </c>
      <c r="D2247" t="s">
        <v>3881</v>
      </c>
      <c r="E2247" t="s">
        <v>16008</v>
      </c>
      <c r="F2247" t="s">
        <v>16009</v>
      </c>
      <c r="G2247">
        <v>214</v>
      </c>
      <c r="H2247">
        <v>200</v>
      </c>
      <c r="I2247" s="5" t="s">
        <v>16010</v>
      </c>
      <c r="J2247" s="5" t="s">
        <v>16011</v>
      </c>
      <c r="K2247" s="5" t="str">
        <f t="shared" si="70"/>
        <v>https://www.google.com/maps?q=-10.832994, -42.719900</v>
      </c>
      <c r="L2247" s="5" t="str">
        <f t="shared" si="71"/>
        <v>Abrir no Maps</v>
      </c>
      <c r="M2247" t="s">
        <v>16012</v>
      </c>
      <c r="N2247" s="5"/>
      <c r="O2247" t="str">
        <f>VLOOKUP(G2247,'[1]CONFIG.'!$B:$C,2,0)</f>
        <v>GEOVANA</v>
      </c>
      <c r="P2247" t="str">
        <f>VLOOKUP(O2247,'[1]CONFIG.'!$C:$D,2,0)</f>
        <v>74 99523491</v>
      </c>
    </row>
    <row r="2248" spans="1:16" x14ac:dyDescent="0.3">
      <c r="A2248" t="s">
        <v>16013</v>
      </c>
      <c r="B2248" t="s">
        <v>16014</v>
      </c>
      <c r="C2248" t="s">
        <v>16015</v>
      </c>
      <c r="D2248" t="s">
        <v>3881</v>
      </c>
      <c r="E2248" t="s">
        <v>16016</v>
      </c>
      <c r="F2248" t="s">
        <v>15993</v>
      </c>
      <c r="G2248">
        <v>214</v>
      </c>
      <c r="H2248">
        <v>200</v>
      </c>
      <c r="I2248" s="5" t="s">
        <v>16017</v>
      </c>
      <c r="J2248" s="5" t="s">
        <v>16018</v>
      </c>
      <c r="K2248" s="5" t="str">
        <f t="shared" si="70"/>
        <v>https://www.google.com/maps?q=-10.828889, -42.716110</v>
      </c>
      <c r="L2248" s="5" t="str">
        <f t="shared" si="71"/>
        <v>Abrir no Maps</v>
      </c>
      <c r="M2248" t="s">
        <v>16019</v>
      </c>
      <c r="N2248" s="5"/>
      <c r="O2248" t="str">
        <f>VLOOKUP(G2248,'[1]CONFIG.'!$B:$C,2,0)</f>
        <v>GEOVANA</v>
      </c>
      <c r="P2248" t="str">
        <f>VLOOKUP(O2248,'[1]CONFIG.'!$C:$D,2,0)</f>
        <v>74 99523491</v>
      </c>
    </row>
    <row r="2249" spans="1:16" x14ac:dyDescent="0.3">
      <c r="A2249" t="s">
        <v>16020</v>
      </c>
      <c r="B2249" t="s">
        <v>16021</v>
      </c>
      <c r="C2249" t="s">
        <v>16022</v>
      </c>
      <c r="D2249" t="s">
        <v>3881</v>
      </c>
      <c r="E2249" t="s">
        <v>16023</v>
      </c>
      <c r="F2249" t="s">
        <v>137</v>
      </c>
      <c r="G2249">
        <v>214</v>
      </c>
      <c r="H2249">
        <v>200</v>
      </c>
      <c r="I2249" s="5" t="s">
        <v>16024</v>
      </c>
      <c r="J2249" s="5" t="s">
        <v>16025</v>
      </c>
      <c r="K2249" s="5" t="str">
        <f t="shared" si="70"/>
        <v>https://www.google.com/maps?q=-10.821013, -42.731174</v>
      </c>
      <c r="L2249" s="5" t="str">
        <f t="shared" si="71"/>
        <v>Abrir no Maps</v>
      </c>
      <c r="M2249" t="s">
        <v>16026</v>
      </c>
      <c r="N2249" s="5"/>
      <c r="O2249" t="str">
        <f>VLOOKUP(G2249,'[1]CONFIG.'!$B:$C,2,0)</f>
        <v>GEOVANA</v>
      </c>
      <c r="P2249" t="str">
        <f>VLOOKUP(O2249,'[1]CONFIG.'!$C:$D,2,0)</f>
        <v>74 99523491</v>
      </c>
    </row>
    <row r="2250" spans="1:16" x14ac:dyDescent="0.3">
      <c r="A2250" t="s">
        <v>16027</v>
      </c>
      <c r="B2250" t="s">
        <v>16028</v>
      </c>
      <c r="C2250" t="s">
        <v>16029</v>
      </c>
      <c r="D2250" t="s">
        <v>3881</v>
      </c>
      <c r="E2250" t="s">
        <v>16030</v>
      </c>
      <c r="F2250" t="s">
        <v>137</v>
      </c>
      <c r="G2250">
        <v>208</v>
      </c>
      <c r="H2250">
        <v>200</v>
      </c>
      <c r="I2250" s="5" t="s">
        <v>16031</v>
      </c>
      <c r="J2250" s="5" t="s">
        <v>16032</v>
      </c>
      <c r="K2250" s="5" t="str">
        <f t="shared" si="70"/>
        <v>https://www.google.com/maps?q=-10.823721, -42.728988</v>
      </c>
      <c r="L2250" s="5" t="str">
        <f t="shared" si="71"/>
        <v>Abrir no Maps</v>
      </c>
      <c r="M2250" t="s">
        <v>16033</v>
      </c>
      <c r="N2250" s="5"/>
      <c r="O2250" t="str">
        <f>VLOOKUP(G2250,'[1]CONFIG.'!$B:$C,2,0)</f>
        <v>NEILTON</v>
      </c>
      <c r="P2250" t="str">
        <f>VLOOKUP(O2250,'[1]CONFIG.'!$C:$D,2,0)</f>
        <v>74 99857115</v>
      </c>
    </row>
    <row r="2251" spans="1:16" x14ac:dyDescent="0.3">
      <c r="A2251" t="s">
        <v>16034</v>
      </c>
      <c r="B2251" t="s">
        <v>16035</v>
      </c>
      <c r="C2251" t="s">
        <v>16036</v>
      </c>
      <c r="D2251" t="s">
        <v>3881</v>
      </c>
      <c r="E2251" t="s">
        <v>16037</v>
      </c>
      <c r="F2251" t="s">
        <v>16038</v>
      </c>
      <c r="G2251">
        <v>214</v>
      </c>
      <c r="H2251">
        <v>200</v>
      </c>
      <c r="I2251" s="5" t="s">
        <v>16039</v>
      </c>
      <c r="J2251" s="5" t="s">
        <v>16040</v>
      </c>
      <c r="K2251" s="5" t="str">
        <f t="shared" si="70"/>
        <v>https://www.google.com/maps?q=-10.774919, -42.686222</v>
      </c>
      <c r="L2251" s="5" t="str">
        <f t="shared" si="71"/>
        <v>Abrir no Maps</v>
      </c>
      <c r="M2251" t="s">
        <v>16041</v>
      </c>
      <c r="N2251" s="5"/>
      <c r="O2251" t="str">
        <f>VLOOKUP(G2251,'[1]CONFIG.'!$B:$C,2,0)</f>
        <v>GEOVANA</v>
      </c>
      <c r="P2251" t="str">
        <f>VLOOKUP(O2251,'[1]CONFIG.'!$C:$D,2,0)</f>
        <v>74 99523491</v>
      </c>
    </row>
    <row r="2252" spans="1:16" x14ac:dyDescent="0.3">
      <c r="A2252" t="s">
        <v>16042</v>
      </c>
      <c r="B2252" t="s">
        <v>16043</v>
      </c>
      <c r="C2252" t="s">
        <v>16044</v>
      </c>
      <c r="D2252" t="s">
        <v>3881</v>
      </c>
      <c r="E2252" t="s">
        <v>16045</v>
      </c>
      <c r="F2252" t="s">
        <v>3881</v>
      </c>
      <c r="G2252">
        <v>208</v>
      </c>
      <c r="H2252">
        <v>200</v>
      </c>
      <c r="I2252" s="5" t="s">
        <v>16046</v>
      </c>
      <c r="J2252" s="5" t="s">
        <v>16047</v>
      </c>
      <c r="K2252" s="5" t="str">
        <f t="shared" si="70"/>
        <v>https://www.google.com/maps?q=-10.815738, -42.718580</v>
      </c>
      <c r="L2252" s="5" t="str">
        <f t="shared" si="71"/>
        <v>Abrir no Maps</v>
      </c>
      <c r="M2252" t="s">
        <v>16048</v>
      </c>
      <c r="N2252" s="5"/>
      <c r="O2252" t="str">
        <f>VLOOKUP(G2252,'[1]CONFIG.'!$B:$C,2,0)</f>
        <v>NEILTON</v>
      </c>
      <c r="P2252" t="str">
        <f>VLOOKUP(O2252,'[1]CONFIG.'!$C:$D,2,0)</f>
        <v>74 99857115</v>
      </c>
    </row>
    <row r="2253" spans="1:16" x14ac:dyDescent="0.3">
      <c r="A2253" t="s">
        <v>16049</v>
      </c>
      <c r="B2253" t="s">
        <v>16050</v>
      </c>
      <c r="C2253" t="s">
        <v>16051</v>
      </c>
      <c r="D2253" t="s">
        <v>3881</v>
      </c>
      <c r="E2253" t="s">
        <v>16052</v>
      </c>
      <c r="F2253" t="s">
        <v>137</v>
      </c>
      <c r="G2253">
        <v>214</v>
      </c>
      <c r="H2253">
        <v>200</v>
      </c>
      <c r="I2253" s="5" t="s">
        <v>16053</v>
      </c>
      <c r="J2253" s="5" t="s">
        <v>16054</v>
      </c>
      <c r="K2253" s="5" t="str">
        <f t="shared" si="70"/>
        <v>https://www.google.com/maps?q=-10.819529, -42.731052</v>
      </c>
      <c r="L2253" s="5" t="str">
        <f t="shared" si="71"/>
        <v>Abrir no Maps</v>
      </c>
      <c r="M2253" t="s">
        <v>16055</v>
      </c>
      <c r="N2253" s="5"/>
      <c r="O2253" t="str">
        <f>VLOOKUP(G2253,'[1]CONFIG.'!$B:$C,2,0)</f>
        <v>GEOVANA</v>
      </c>
      <c r="P2253" t="str">
        <f>VLOOKUP(O2253,'[1]CONFIG.'!$C:$D,2,0)</f>
        <v>74 99523491</v>
      </c>
    </row>
    <row r="2254" spans="1:16" x14ac:dyDescent="0.3">
      <c r="A2254" t="s">
        <v>16056</v>
      </c>
      <c r="B2254" t="s">
        <v>16057</v>
      </c>
      <c r="C2254" t="s">
        <v>16058</v>
      </c>
      <c r="D2254" t="s">
        <v>3881</v>
      </c>
      <c r="E2254" t="s">
        <v>16059</v>
      </c>
      <c r="F2254" t="s">
        <v>15637</v>
      </c>
      <c r="G2254">
        <v>214</v>
      </c>
      <c r="H2254">
        <v>200</v>
      </c>
      <c r="I2254" s="5" t="s">
        <v>16060</v>
      </c>
      <c r="J2254" s="5" t="s">
        <v>16061</v>
      </c>
      <c r="K2254" s="5" t="str">
        <f t="shared" si="70"/>
        <v>https://www.google.com/maps?q=-10.830137, -42.726482</v>
      </c>
      <c r="L2254" s="5" t="str">
        <f t="shared" si="71"/>
        <v>Abrir no Maps</v>
      </c>
      <c r="M2254" t="s">
        <v>16062</v>
      </c>
      <c r="N2254" s="5"/>
      <c r="O2254" t="str">
        <f>VLOOKUP(G2254,'[1]CONFIG.'!$B:$C,2,0)</f>
        <v>GEOVANA</v>
      </c>
      <c r="P2254" t="str">
        <f>VLOOKUP(O2254,'[1]CONFIG.'!$C:$D,2,0)</f>
        <v>74 99523491</v>
      </c>
    </row>
    <row r="2255" spans="1:16" x14ac:dyDescent="0.3">
      <c r="A2255" t="s">
        <v>16063</v>
      </c>
      <c r="B2255" t="s">
        <v>16064</v>
      </c>
      <c r="C2255" t="s">
        <v>16065</v>
      </c>
      <c r="D2255" t="s">
        <v>3881</v>
      </c>
      <c r="E2255" t="s">
        <v>16066</v>
      </c>
      <c r="F2255" t="s">
        <v>137</v>
      </c>
      <c r="G2255">
        <v>208</v>
      </c>
      <c r="H2255">
        <v>200</v>
      </c>
      <c r="I2255" s="5" t="s">
        <v>16067</v>
      </c>
      <c r="J2255" s="5" t="s">
        <v>16068</v>
      </c>
      <c r="K2255" s="5" t="str">
        <f t="shared" si="70"/>
        <v>https://www.google.com/maps?q=-10.820995, -42.732178</v>
      </c>
      <c r="L2255" s="5" t="str">
        <f t="shared" si="71"/>
        <v>Abrir no Maps</v>
      </c>
      <c r="M2255" t="s">
        <v>16069</v>
      </c>
      <c r="N2255" s="5"/>
      <c r="O2255" t="str">
        <f>VLOOKUP(G2255,'[1]CONFIG.'!$B:$C,2,0)</f>
        <v>NEILTON</v>
      </c>
      <c r="P2255" t="str">
        <f>VLOOKUP(O2255,'[1]CONFIG.'!$C:$D,2,0)</f>
        <v>74 99857115</v>
      </c>
    </row>
    <row r="2256" spans="1:16" x14ac:dyDescent="0.3">
      <c r="A2256" t="s">
        <v>16070</v>
      </c>
      <c r="B2256" t="s">
        <v>16071</v>
      </c>
      <c r="C2256" t="s">
        <v>16072</v>
      </c>
      <c r="D2256" t="s">
        <v>3881</v>
      </c>
      <c r="E2256" t="s">
        <v>16073</v>
      </c>
      <c r="F2256" t="s">
        <v>137</v>
      </c>
      <c r="G2256">
        <v>208</v>
      </c>
      <c r="H2256">
        <v>200</v>
      </c>
      <c r="I2256" s="5" t="s">
        <v>16074</v>
      </c>
      <c r="J2256" s="5" t="s">
        <v>16075</v>
      </c>
      <c r="K2256" s="5" t="str">
        <f t="shared" si="70"/>
        <v>https://www.google.com/maps?q=-10.820646, -42.731720</v>
      </c>
      <c r="L2256" s="5" t="str">
        <f t="shared" si="71"/>
        <v>Abrir no Maps</v>
      </c>
      <c r="M2256" t="s">
        <v>16076</v>
      </c>
      <c r="N2256" s="5"/>
      <c r="O2256" t="str">
        <f>VLOOKUP(G2256,'[1]CONFIG.'!$B:$C,2,0)</f>
        <v>NEILTON</v>
      </c>
      <c r="P2256" t="str">
        <f>VLOOKUP(O2256,'[1]CONFIG.'!$C:$D,2,0)</f>
        <v>74 99857115</v>
      </c>
    </row>
    <row r="2257" spans="1:16" x14ac:dyDescent="0.3">
      <c r="A2257" t="s">
        <v>16077</v>
      </c>
      <c r="B2257" t="s">
        <v>16078</v>
      </c>
      <c r="C2257" t="s">
        <v>16079</v>
      </c>
      <c r="D2257" t="s">
        <v>3881</v>
      </c>
      <c r="E2257" t="s">
        <v>16080</v>
      </c>
      <c r="F2257" t="s">
        <v>137</v>
      </c>
      <c r="G2257">
        <v>214</v>
      </c>
      <c r="H2257">
        <v>200</v>
      </c>
      <c r="I2257" s="5" t="s">
        <v>16081</v>
      </c>
      <c r="J2257" s="5" t="s">
        <v>16082</v>
      </c>
      <c r="K2257" s="5" t="str">
        <f t="shared" si="70"/>
        <v>https://www.google.com/maps?q=-10.821463, -42.725967</v>
      </c>
      <c r="L2257" s="5" t="str">
        <f t="shared" si="71"/>
        <v>Abrir no Maps</v>
      </c>
      <c r="M2257" t="s">
        <v>16083</v>
      </c>
      <c r="N2257" s="5"/>
      <c r="O2257" t="str">
        <f>VLOOKUP(G2257,'[1]CONFIG.'!$B:$C,2,0)</f>
        <v>GEOVANA</v>
      </c>
      <c r="P2257" t="str">
        <f>VLOOKUP(O2257,'[1]CONFIG.'!$C:$D,2,0)</f>
        <v>74 99523491</v>
      </c>
    </row>
    <row r="2258" spans="1:16" x14ac:dyDescent="0.3">
      <c r="A2258" t="s">
        <v>16084</v>
      </c>
      <c r="B2258" t="s">
        <v>16085</v>
      </c>
      <c r="C2258" t="s">
        <v>16086</v>
      </c>
      <c r="D2258" t="s">
        <v>3881</v>
      </c>
      <c r="E2258" t="s">
        <v>16087</v>
      </c>
      <c r="F2258" t="s">
        <v>137</v>
      </c>
      <c r="G2258">
        <v>208</v>
      </c>
      <c r="H2258">
        <v>200</v>
      </c>
      <c r="I2258" s="5" t="s">
        <v>16088</v>
      </c>
      <c r="J2258" s="5" t="s">
        <v>16089</v>
      </c>
      <c r="K2258" s="5" t="str">
        <f t="shared" si="70"/>
        <v>https://www.google.com/maps?q=-10.820719, -42.729454</v>
      </c>
      <c r="L2258" s="5" t="str">
        <f t="shared" si="71"/>
        <v>Abrir no Maps</v>
      </c>
      <c r="M2258" t="s">
        <v>16090</v>
      </c>
      <c r="N2258" s="5"/>
      <c r="O2258" t="str">
        <f>VLOOKUP(G2258,'[1]CONFIG.'!$B:$C,2,0)</f>
        <v>NEILTON</v>
      </c>
      <c r="P2258" t="str">
        <f>VLOOKUP(O2258,'[1]CONFIG.'!$C:$D,2,0)</f>
        <v>74 99857115</v>
      </c>
    </row>
    <row r="2259" spans="1:16" x14ac:dyDescent="0.3">
      <c r="A2259" t="s">
        <v>16091</v>
      </c>
      <c r="B2259" t="s">
        <v>16092</v>
      </c>
      <c r="C2259" t="s">
        <v>16093</v>
      </c>
      <c r="D2259" t="s">
        <v>3881</v>
      </c>
      <c r="E2259" t="s">
        <v>16094</v>
      </c>
      <c r="F2259" t="s">
        <v>137</v>
      </c>
      <c r="G2259">
        <v>208</v>
      </c>
      <c r="H2259">
        <v>200</v>
      </c>
      <c r="I2259" s="5" t="s">
        <v>16095</v>
      </c>
      <c r="J2259" s="5" t="s">
        <v>16096</v>
      </c>
      <c r="K2259" s="5" t="str">
        <f t="shared" si="70"/>
        <v>https://www.google.com/maps?q=-10.823709, -42.727825</v>
      </c>
      <c r="L2259" s="5" t="str">
        <f t="shared" si="71"/>
        <v>Abrir no Maps</v>
      </c>
      <c r="M2259" t="s">
        <v>16097</v>
      </c>
      <c r="N2259" s="5"/>
      <c r="O2259" t="str">
        <f>VLOOKUP(G2259,'[1]CONFIG.'!$B:$C,2,0)</f>
        <v>NEILTON</v>
      </c>
      <c r="P2259" t="str">
        <f>VLOOKUP(O2259,'[1]CONFIG.'!$C:$D,2,0)</f>
        <v>74 99857115</v>
      </c>
    </row>
    <row r="2260" spans="1:16" x14ac:dyDescent="0.3">
      <c r="A2260" t="s">
        <v>16098</v>
      </c>
      <c r="B2260" t="s">
        <v>16099</v>
      </c>
      <c r="C2260" t="s">
        <v>16100</v>
      </c>
      <c r="D2260" t="s">
        <v>3881</v>
      </c>
      <c r="E2260" t="s">
        <v>16101</v>
      </c>
      <c r="F2260" t="s">
        <v>137</v>
      </c>
      <c r="G2260">
        <v>214</v>
      </c>
      <c r="H2260">
        <v>200</v>
      </c>
      <c r="I2260" s="5" t="s">
        <v>16102</v>
      </c>
      <c r="J2260" s="5" t="s">
        <v>16103</v>
      </c>
      <c r="K2260" s="5" t="str">
        <f t="shared" si="70"/>
        <v>https://www.google.com/maps?q=-10.820353, -42.729618</v>
      </c>
      <c r="L2260" s="5" t="str">
        <f t="shared" si="71"/>
        <v>Abrir no Maps</v>
      </c>
      <c r="M2260" t="s">
        <v>16104</v>
      </c>
      <c r="N2260" s="5"/>
      <c r="O2260" t="str">
        <f>VLOOKUP(G2260,'[1]CONFIG.'!$B:$C,2,0)</f>
        <v>GEOVANA</v>
      </c>
      <c r="P2260" t="str">
        <f>VLOOKUP(O2260,'[1]CONFIG.'!$C:$D,2,0)</f>
        <v>74 99523491</v>
      </c>
    </row>
    <row r="2261" spans="1:16" x14ac:dyDescent="0.3">
      <c r="A2261" t="s">
        <v>16105</v>
      </c>
      <c r="B2261" t="s">
        <v>16106</v>
      </c>
      <c r="C2261" t="s">
        <v>16107</v>
      </c>
      <c r="D2261" t="s">
        <v>3881</v>
      </c>
      <c r="E2261" t="s">
        <v>16108</v>
      </c>
      <c r="F2261" t="s">
        <v>15724</v>
      </c>
      <c r="G2261">
        <v>214</v>
      </c>
      <c r="H2261">
        <v>200</v>
      </c>
      <c r="I2261" s="5" t="s">
        <v>16109</v>
      </c>
      <c r="J2261" s="5" t="s">
        <v>16110</v>
      </c>
      <c r="K2261" s="5" t="str">
        <f t="shared" si="70"/>
        <v>https://www.google.com/maps?q=-10.820194, -42.725390</v>
      </c>
      <c r="L2261" s="5" t="str">
        <f t="shared" si="71"/>
        <v>Abrir no Maps</v>
      </c>
      <c r="M2261" t="s">
        <v>16111</v>
      </c>
      <c r="N2261" s="5"/>
      <c r="O2261" t="str">
        <f>VLOOKUP(G2261,'[1]CONFIG.'!$B:$C,2,0)</f>
        <v>GEOVANA</v>
      </c>
      <c r="P2261" t="str">
        <f>VLOOKUP(O2261,'[1]CONFIG.'!$C:$D,2,0)</f>
        <v>74 99523491</v>
      </c>
    </row>
    <row r="2262" spans="1:16" x14ac:dyDescent="0.3">
      <c r="A2262" t="s">
        <v>16112</v>
      </c>
      <c r="B2262" t="s">
        <v>16113</v>
      </c>
      <c r="C2262" t="s">
        <v>16114</v>
      </c>
      <c r="D2262" t="s">
        <v>3881</v>
      </c>
      <c r="E2262" t="s">
        <v>16115</v>
      </c>
      <c r="F2262" t="s">
        <v>137</v>
      </c>
      <c r="G2262">
        <v>208</v>
      </c>
      <c r="H2262">
        <v>200</v>
      </c>
      <c r="I2262" s="5" t="s">
        <v>16116</v>
      </c>
      <c r="J2262" s="5" t="s">
        <v>16117</v>
      </c>
      <c r="K2262" s="5" t="str">
        <f t="shared" si="70"/>
        <v>https://www.google.com/maps?q=-10.820685, -42.732000</v>
      </c>
      <c r="L2262" s="5" t="str">
        <f t="shared" si="71"/>
        <v>Abrir no Maps</v>
      </c>
      <c r="M2262" t="s">
        <v>16118</v>
      </c>
      <c r="N2262" s="5"/>
      <c r="O2262" t="str">
        <f>VLOOKUP(G2262,'[1]CONFIG.'!$B:$C,2,0)</f>
        <v>NEILTON</v>
      </c>
      <c r="P2262" t="str">
        <f>VLOOKUP(O2262,'[1]CONFIG.'!$C:$D,2,0)</f>
        <v>74 99857115</v>
      </c>
    </row>
    <row r="2263" spans="1:16" x14ac:dyDescent="0.3">
      <c r="A2263" t="s">
        <v>16119</v>
      </c>
      <c r="B2263" t="s">
        <v>16120</v>
      </c>
      <c r="C2263" t="s">
        <v>16121</v>
      </c>
      <c r="D2263" t="s">
        <v>3881</v>
      </c>
      <c r="E2263" t="s">
        <v>16122</v>
      </c>
      <c r="F2263" t="s">
        <v>137</v>
      </c>
      <c r="G2263">
        <v>214</v>
      </c>
      <c r="H2263">
        <v>200</v>
      </c>
      <c r="I2263" s="5" t="s">
        <v>16123</v>
      </c>
      <c r="J2263" s="5" t="s">
        <v>16124</v>
      </c>
      <c r="K2263" s="5" t="str">
        <f t="shared" si="70"/>
        <v>https://www.google.com/maps?q=-10.826015, -42.731117</v>
      </c>
      <c r="L2263" s="5" t="str">
        <f t="shared" si="71"/>
        <v>Abrir no Maps</v>
      </c>
      <c r="M2263" t="s">
        <v>16125</v>
      </c>
      <c r="N2263" s="5"/>
      <c r="O2263" t="str">
        <f>VLOOKUP(G2263,'[1]CONFIG.'!$B:$C,2,0)</f>
        <v>GEOVANA</v>
      </c>
      <c r="P2263" t="str">
        <f>VLOOKUP(O2263,'[1]CONFIG.'!$C:$D,2,0)</f>
        <v>74 99523491</v>
      </c>
    </row>
    <row r="2264" spans="1:16" x14ac:dyDescent="0.3">
      <c r="A2264" t="s">
        <v>16126</v>
      </c>
      <c r="B2264" t="s">
        <v>16127</v>
      </c>
      <c r="C2264" t="s">
        <v>16128</v>
      </c>
      <c r="D2264" t="s">
        <v>3881</v>
      </c>
      <c r="E2264" t="s">
        <v>16129</v>
      </c>
      <c r="F2264" t="s">
        <v>15637</v>
      </c>
      <c r="G2264">
        <v>208</v>
      </c>
      <c r="H2264">
        <v>200</v>
      </c>
      <c r="I2264" s="5" t="s">
        <v>16130</v>
      </c>
      <c r="J2264" s="5" t="s">
        <v>16131</v>
      </c>
      <c r="K2264" s="5" t="str">
        <f t="shared" si="70"/>
        <v>https://www.google.com/maps?q=-10.821175, -42.722237</v>
      </c>
      <c r="L2264" s="5" t="str">
        <f t="shared" si="71"/>
        <v>Abrir no Maps</v>
      </c>
      <c r="M2264" t="s">
        <v>16132</v>
      </c>
      <c r="N2264" s="5"/>
      <c r="O2264" t="str">
        <f>VLOOKUP(G2264,'[1]CONFIG.'!$B:$C,2,0)</f>
        <v>NEILTON</v>
      </c>
      <c r="P2264" t="str">
        <f>VLOOKUP(O2264,'[1]CONFIG.'!$C:$D,2,0)</f>
        <v>74 99857115</v>
      </c>
    </row>
    <row r="2265" spans="1:16" x14ac:dyDescent="0.3">
      <c r="A2265" t="s">
        <v>16133</v>
      </c>
      <c r="B2265" t="s">
        <v>16134</v>
      </c>
      <c r="C2265" t="s">
        <v>16135</v>
      </c>
      <c r="D2265" t="s">
        <v>3881</v>
      </c>
      <c r="E2265" t="s">
        <v>16136</v>
      </c>
      <c r="F2265" t="s">
        <v>15993</v>
      </c>
      <c r="G2265">
        <v>208</v>
      </c>
      <c r="H2265">
        <v>200</v>
      </c>
      <c r="I2265" s="5" t="s">
        <v>16137</v>
      </c>
      <c r="J2265" s="5" t="s">
        <v>16138</v>
      </c>
      <c r="K2265" s="5" t="str">
        <f t="shared" si="70"/>
        <v>https://www.google.com/maps?q=-10.831593, -42.719463</v>
      </c>
      <c r="L2265" s="5" t="str">
        <f t="shared" si="71"/>
        <v>Abrir no Maps</v>
      </c>
      <c r="M2265" t="s">
        <v>16139</v>
      </c>
      <c r="N2265" s="5"/>
      <c r="O2265" t="str">
        <f>VLOOKUP(G2265,'[1]CONFIG.'!$B:$C,2,0)</f>
        <v>NEILTON</v>
      </c>
      <c r="P2265" t="str">
        <f>VLOOKUP(O2265,'[1]CONFIG.'!$C:$D,2,0)</f>
        <v>74 99857115</v>
      </c>
    </row>
    <row r="2266" spans="1:16" x14ac:dyDescent="0.3">
      <c r="A2266" t="s">
        <v>16140</v>
      </c>
      <c r="B2266" t="s">
        <v>16141</v>
      </c>
      <c r="C2266" t="s">
        <v>16142</v>
      </c>
      <c r="D2266" t="s">
        <v>3881</v>
      </c>
      <c r="E2266" t="s">
        <v>16143</v>
      </c>
      <c r="F2266" t="s">
        <v>15993</v>
      </c>
      <c r="G2266">
        <v>214</v>
      </c>
      <c r="H2266">
        <v>200</v>
      </c>
      <c r="I2266" s="5" t="s">
        <v>16144</v>
      </c>
      <c r="J2266" s="5" t="s">
        <v>16145</v>
      </c>
      <c r="K2266" s="5" t="str">
        <f t="shared" si="70"/>
        <v>https://www.google.com/maps?q=-10.828886, -42.720860</v>
      </c>
      <c r="L2266" s="5" t="str">
        <f t="shared" si="71"/>
        <v>Abrir no Maps</v>
      </c>
      <c r="M2266" t="s">
        <v>16146</v>
      </c>
      <c r="N2266" s="5"/>
      <c r="O2266" t="str">
        <f>VLOOKUP(G2266,'[1]CONFIG.'!$B:$C,2,0)</f>
        <v>GEOVANA</v>
      </c>
      <c r="P2266" t="str">
        <f>VLOOKUP(O2266,'[1]CONFIG.'!$C:$D,2,0)</f>
        <v>74 99523491</v>
      </c>
    </row>
    <row r="2267" spans="1:16" x14ac:dyDescent="0.3">
      <c r="A2267" t="s">
        <v>16147</v>
      </c>
      <c r="B2267" t="s">
        <v>16148</v>
      </c>
      <c r="C2267" t="s">
        <v>16149</v>
      </c>
      <c r="D2267" t="s">
        <v>36</v>
      </c>
      <c r="E2267" t="s">
        <v>16150</v>
      </c>
      <c r="F2267" t="s">
        <v>137</v>
      </c>
      <c r="G2267">
        <v>212</v>
      </c>
      <c r="H2267">
        <v>200</v>
      </c>
      <c r="I2267" s="5" t="s">
        <v>359</v>
      </c>
      <c r="J2267" s="5" t="s">
        <v>16151</v>
      </c>
      <c r="K2267" s="5" t="str">
        <f t="shared" si="70"/>
        <v>https://www.google.com/maps?q=-11.306111, -41.847220</v>
      </c>
      <c r="L2267" s="5" t="str">
        <f t="shared" si="71"/>
        <v>Abrir no Maps</v>
      </c>
      <c r="M2267" t="s">
        <v>16152</v>
      </c>
      <c r="N2267" s="5"/>
      <c r="O2267" t="str">
        <f>VLOOKUP(G2267,'[1]CONFIG.'!$B:$C,2,0)</f>
        <v>ANDRE</v>
      </c>
      <c r="P2267" t="str">
        <f>VLOOKUP(O2267,'[1]CONFIG.'!$C:$D,2,0)</f>
        <v>74 99916877</v>
      </c>
    </row>
    <row r="2268" spans="1:16" x14ac:dyDescent="0.3">
      <c r="A2268" t="s">
        <v>16153</v>
      </c>
      <c r="B2268" t="s">
        <v>16154</v>
      </c>
      <c r="C2268" t="s">
        <v>16155</v>
      </c>
      <c r="D2268" t="s">
        <v>3881</v>
      </c>
      <c r="E2268" t="s">
        <v>16156</v>
      </c>
      <c r="F2268" t="s">
        <v>137</v>
      </c>
      <c r="G2268">
        <v>214</v>
      </c>
      <c r="H2268">
        <v>200</v>
      </c>
      <c r="I2268" s="5" t="s">
        <v>16157</v>
      </c>
      <c r="J2268" s="5" t="s">
        <v>16158</v>
      </c>
      <c r="K2268" s="5" t="str">
        <f t="shared" si="70"/>
        <v>https://www.google.com/maps?q=-10.822802, -42.729977</v>
      </c>
      <c r="L2268" s="5" t="str">
        <f t="shared" si="71"/>
        <v>Abrir no Maps</v>
      </c>
      <c r="M2268" t="s">
        <v>16159</v>
      </c>
      <c r="N2268" s="5"/>
      <c r="O2268" t="str">
        <f>VLOOKUP(G2268,'[1]CONFIG.'!$B:$C,2,0)</f>
        <v>GEOVANA</v>
      </c>
      <c r="P2268" t="str">
        <f>VLOOKUP(O2268,'[1]CONFIG.'!$C:$D,2,0)</f>
        <v>74 99523491</v>
      </c>
    </row>
    <row r="2269" spans="1:16" x14ac:dyDescent="0.3">
      <c r="A2269" t="s">
        <v>16160</v>
      </c>
      <c r="B2269" t="s">
        <v>16161</v>
      </c>
      <c r="C2269" t="s">
        <v>16162</v>
      </c>
      <c r="D2269" t="s">
        <v>3881</v>
      </c>
      <c r="E2269" t="s">
        <v>16163</v>
      </c>
      <c r="F2269" t="s">
        <v>137</v>
      </c>
      <c r="G2269">
        <v>208</v>
      </c>
      <c r="H2269">
        <v>200</v>
      </c>
      <c r="I2269" s="5" t="s">
        <v>15986</v>
      </c>
      <c r="J2269" s="5" t="s">
        <v>16164</v>
      </c>
      <c r="K2269" s="5" t="str">
        <f t="shared" si="70"/>
        <v>https://www.google.com/maps?q=-10.824445, -42.728610</v>
      </c>
      <c r="L2269" s="5" t="str">
        <f t="shared" si="71"/>
        <v>Abrir no Maps</v>
      </c>
      <c r="M2269" t="s">
        <v>16165</v>
      </c>
      <c r="N2269" s="5"/>
      <c r="O2269" t="str">
        <f>VLOOKUP(G2269,'[1]CONFIG.'!$B:$C,2,0)</f>
        <v>NEILTON</v>
      </c>
      <c r="P2269" t="str">
        <f>VLOOKUP(O2269,'[1]CONFIG.'!$C:$D,2,0)</f>
        <v>74 99857115</v>
      </c>
    </row>
    <row r="2270" spans="1:16" x14ac:dyDescent="0.3">
      <c r="A2270" t="s">
        <v>16166</v>
      </c>
      <c r="B2270" t="s">
        <v>16167</v>
      </c>
      <c r="C2270" t="s">
        <v>16168</v>
      </c>
      <c r="D2270" t="s">
        <v>3881</v>
      </c>
      <c r="E2270" t="s">
        <v>16169</v>
      </c>
      <c r="F2270" t="s">
        <v>16170</v>
      </c>
      <c r="G2270">
        <v>208</v>
      </c>
      <c r="H2270">
        <v>200</v>
      </c>
      <c r="I2270" s="5" t="s">
        <v>16171</v>
      </c>
      <c r="J2270" s="5" t="s">
        <v>16172</v>
      </c>
      <c r="K2270" s="5" t="str">
        <f t="shared" si="70"/>
        <v>https://www.google.com/maps?q=-10.817223, -42.720276</v>
      </c>
      <c r="L2270" s="5" t="str">
        <f t="shared" si="71"/>
        <v>Abrir no Maps</v>
      </c>
      <c r="M2270" t="s">
        <v>16173</v>
      </c>
      <c r="N2270" s="5"/>
      <c r="O2270" t="str">
        <f>VLOOKUP(G2270,'[1]CONFIG.'!$B:$C,2,0)</f>
        <v>NEILTON</v>
      </c>
      <c r="P2270" t="str">
        <f>VLOOKUP(O2270,'[1]CONFIG.'!$C:$D,2,0)</f>
        <v>74 99857115</v>
      </c>
    </row>
    <row r="2271" spans="1:16" x14ac:dyDescent="0.3">
      <c r="A2271" t="s">
        <v>16174</v>
      </c>
      <c r="B2271" t="s">
        <v>16175</v>
      </c>
      <c r="C2271" t="s">
        <v>16176</v>
      </c>
      <c r="D2271" t="s">
        <v>3881</v>
      </c>
      <c r="E2271" t="s">
        <v>16177</v>
      </c>
      <c r="F2271" t="s">
        <v>137</v>
      </c>
      <c r="G2271">
        <v>214</v>
      </c>
      <c r="H2271">
        <v>200</v>
      </c>
      <c r="I2271" s="5" t="s">
        <v>16178</v>
      </c>
      <c r="J2271" s="5" t="s">
        <v>16179</v>
      </c>
      <c r="K2271" s="5" t="str">
        <f t="shared" si="70"/>
        <v>https://www.google.com/maps?q=-10.822982, -42.727492</v>
      </c>
      <c r="L2271" s="5" t="str">
        <f t="shared" si="71"/>
        <v>Abrir no Maps</v>
      </c>
      <c r="M2271" t="s">
        <v>16180</v>
      </c>
      <c r="N2271" s="5"/>
      <c r="O2271" t="str">
        <f>VLOOKUP(G2271,'[1]CONFIG.'!$B:$C,2,0)</f>
        <v>GEOVANA</v>
      </c>
      <c r="P2271" t="str">
        <f>VLOOKUP(O2271,'[1]CONFIG.'!$C:$D,2,0)</f>
        <v>74 99523491</v>
      </c>
    </row>
    <row r="2272" spans="1:16" x14ac:dyDescent="0.3">
      <c r="A2272" t="s">
        <v>16181</v>
      </c>
      <c r="B2272" t="s">
        <v>16182</v>
      </c>
      <c r="C2272" t="s">
        <v>16183</v>
      </c>
      <c r="D2272" t="s">
        <v>3881</v>
      </c>
      <c r="E2272" t="s">
        <v>16184</v>
      </c>
      <c r="F2272" t="s">
        <v>137</v>
      </c>
      <c r="G2272">
        <v>208</v>
      </c>
      <c r="H2272">
        <v>200</v>
      </c>
      <c r="I2272" s="5" t="s">
        <v>16185</v>
      </c>
      <c r="J2272" s="5" t="s">
        <v>16186</v>
      </c>
      <c r="K2272" s="5" t="str">
        <f t="shared" si="70"/>
        <v>https://www.google.com/maps?q=-10.823334, -42.731110</v>
      </c>
      <c r="L2272" s="5" t="str">
        <f t="shared" si="71"/>
        <v>Abrir no Maps</v>
      </c>
      <c r="M2272" t="s">
        <v>16187</v>
      </c>
      <c r="N2272" s="5"/>
      <c r="O2272" t="str">
        <f>VLOOKUP(G2272,'[1]CONFIG.'!$B:$C,2,0)</f>
        <v>NEILTON</v>
      </c>
      <c r="P2272" t="str">
        <f>VLOOKUP(O2272,'[1]CONFIG.'!$C:$D,2,0)</f>
        <v>74 99857115</v>
      </c>
    </row>
    <row r="2273" spans="1:16" x14ac:dyDescent="0.3">
      <c r="A2273" t="s">
        <v>16188</v>
      </c>
      <c r="B2273" t="s">
        <v>16189</v>
      </c>
      <c r="C2273" t="s">
        <v>16190</v>
      </c>
      <c r="D2273" t="s">
        <v>3881</v>
      </c>
      <c r="E2273" t="s">
        <v>16191</v>
      </c>
      <c r="F2273" t="s">
        <v>137</v>
      </c>
      <c r="G2273">
        <v>208</v>
      </c>
      <c r="H2273">
        <v>200</v>
      </c>
      <c r="I2273" s="5" t="s">
        <v>16192</v>
      </c>
      <c r="J2273" s="5" t="s">
        <v>16193</v>
      </c>
      <c r="K2273" s="5" t="str">
        <f t="shared" si="70"/>
        <v>https://www.google.com/maps?q=-10.823995, -42.729370</v>
      </c>
      <c r="L2273" s="5" t="str">
        <f t="shared" si="71"/>
        <v>Abrir no Maps</v>
      </c>
      <c r="M2273" t="s">
        <v>16194</v>
      </c>
      <c r="N2273" s="5"/>
      <c r="O2273" t="str">
        <f>VLOOKUP(G2273,'[1]CONFIG.'!$B:$C,2,0)</f>
        <v>NEILTON</v>
      </c>
      <c r="P2273" t="str">
        <f>VLOOKUP(O2273,'[1]CONFIG.'!$C:$D,2,0)</f>
        <v>74 99857115</v>
      </c>
    </row>
    <row r="2274" spans="1:16" x14ac:dyDescent="0.3">
      <c r="A2274" t="s">
        <v>16195</v>
      </c>
      <c r="B2274" t="s">
        <v>16196</v>
      </c>
      <c r="C2274" t="s">
        <v>16197</v>
      </c>
      <c r="D2274" t="s">
        <v>3881</v>
      </c>
      <c r="E2274" t="s">
        <v>16198</v>
      </c>
      <c r="F2274" t="s">
        <v>2165</v>
      </c>
      <c r="G2274">
        <v>214</v>
      </c>
      <c r="H2274">
        <v>200</v>
      </c>
      <c r="I2274" s="5" t="s">
        <v>16199</v>
      </c>
      <c r="J2274" s="5" t="s">
        <v>16200</v>
      </c>
      <c r="K2274" s="5" t="str">
        <f t="shared" si="70"/>
        <v>https://www.google.com/maps?q=-10.820703, -42.720400</v>
      </c>
      <c r="L2274" s="5" t="str">
        <f t="shared" si="71"/>
        <v>Abrir no Maps</v>
      </c>
      <c r="M2274" t="s">
        <v>16201</v>
      </c>
      <c r="N2274" s="5"/>
      <c r="O2274" t="str">
        <f>VLOOKUP(G2274,'[1]CONFIG.'!$B:$C,2,0)</f>
        <v>GEOVANA</v>
      </c>
      <c r="P2274" t="str">
        <f>VLOOKUP(O2274,'[1]CONFIG.'!$C:$D,2,0)</f>
        <v>74 99523491</v>
      </c>
    </row>
    <row r="2275" spans="1:16" x14ac:dyDescent="0.3">
      <c r="A2275" t="s">
        <v>16202</v>
      </c>
      <c r="B2275" t="s">
        <v>16203</v>
      </c>
      <c r="C2275" t="s">
        <v>16204</v>
      </c>
      <c r="D2275" t="s">
        <v>3881</v>
      </c>
      <c r="E2275" t="s">
        <v>16205</v>
      </c>
      <c r="F2275" t="s">
        <v>137</v>
      </c>
      <c r="G2275">
        <v>208</v>
      </c>
      <c r="H2275">
        <v>200</v>
      </c>
      <c r="I2275" s="5" t="s">
        <v>16206</v>
      </c>
      <c r="J2275" s="5" t="s">
        <v>16207</v>
      </c>
      <c r="K2275" s="5" t="str">
        <f t="shared" si="70"/>
        <v>https://www.google.com/maps?q=-10.831179, -42.731290</v>
      </c>
      <c r="L2275" s="5" t="str">
        <f t="shared" si="71"/>
        <v>Abrir no Maps</v>
      </c>
      <c r="M2275" t="s">
        <v>16208</v>
      </c>
      <c r="N2275" s="5"/>
      <c r="O2275" t="str">
        <f>VLOOKUP(G2275,'[1]CONFIG.'!$B:$C,2,0)</f>
        <v>NEILTON</v>
      </c>
      <c r="P2275" t="str">
        <f>VLOOKUP(O2275,'[1]CONFIG.'!$C:$D,2,0)</f>
        <v>74 99857115</v>
      </c>
    </row>
    <row r="2276" spans="1:16" x14ac:dyDescent="0.3">
      <c r="A2276" t="s">
        <v>16209</v>
      </c>
      <c r="B2276" t="s">
        <v>16210</v>
      </c>
      <c r="C2276" t="s">
        <v>16211</v>
      </c>
      <c r="D2276" t="s">
        <v>3881</v>
      </c>
      <c r="E2276" t="s">
        <v>16212</v>
      </c>
      <c r="F2276" t="s">
        <v>137</v>
      </c>
      <c r="G2276">
        <v>208</v>
      </c>
      <c r="H2276">
        <v>200</v>
      </c>
      <c r="I2276" s="5" t="s">
        <v>16213</v>
      </c>
      <c r="J2276" s="5" t="s">
        <v>16025</v>
      </c>
      <c r="K2276" s="5" t="str">
        <f t="shared" si="70"/>
        <v>https://www.google.com/maps?q=-10.827997, -42.731174</v>
      </c>
      <c r="L2276" s="5" t="str">
        <f t="shared" si="71"/>
        <v>Abrir no Maps</v>
      </c>
      <c r="M2276" t="s">
        <v>16214</v>
      </c>
      <c r="N2276" s="5"/>
      <c r="O2276" t="str">
        <f>VLOOKUP(G2276,'[1]CONFIG.'!$B:$C,2,0)</f>
        <v>NEILTON</v>
      </c>
      <c r="P2276" t="str">
        <f>VLOOKUP(O2276,'[1]CONFIG.'!$C:$D,2,0)</f>
        <v>74 99857115</v>
      </c>
    </row>
    <row r="2277" spans="1:16" x14ac:dyDescent="0.3">
      <c r="A2277" t="s">
        <v>16215</v>
      </c>
      <c r="B2277" t="s">
        <v>16216</v>
      </c>
      <c r="C2277" t="s">
        <v>16217</v>
      </c>
      <c r="D2277" t="s">
        <v>3881</v>
      </c>
      <c r="E2277" t="s">
        <v>16218</v>
      </c>
      <c r="F2277" t="s">
        <v>137</v>
      </c>
      <c r="G2277">
        <v>214</v>
      </c>
      <c r="H2277">
        <v>200</v>
      </c>
      <c r="I2277" s="5" t="s">
        <v>16219</v>
      </c>
      <c r="J2277" s="5" t="s">
        <v>16220</v>
      </c>
      <c r="K2277" s="5" t="str">
        <f t="shared" si="70"/>
        <v>https://www.google.com/maps?q=-10.824333, -42.728740</v>
      </c>
      <c r="L2277" s="5" t="str">
        <f t="shared" si="71"/>
        <v>Abrir no Maps</v>
      </c>
      <c r="M2277" t="s">
        <v>16221</v>
      </c>
      <c r="N2277" s="5"/>
      <c r="O2277" t="str">
        <f>VLOOKUP(G2277,'[1]CONFIG.'!$B:$C,2,0)</f>
        <v>GEOVANA</v>
      </c>
      <c r="P2277" t="str">
        <f>VLOOKUP(O2277,'[1]CONFIG.'!$C:$D,2,0)</f>
        <v>74 99523491</v>
      </c>
    </row>
    <row r="2278" spans="1:16" x14ac:dyDescent="0.3">
      <c r="A2278" t="s">
        <v>16222</v>
      </c>
      <c r="B2278" t="s">
        <v>16223</v>
      </c>
      <c r="C2278" t="s">
        <v>16224</v>
      </c>
      <c r="D2278" t="s">
        <v>3881</v>
      </c>
      <c r="E2278" t="s">
        <v>16225</v>
      </c>
      <c r="F2278" t="s">
        <v>137</v>
      </c>
      <c r="G2278">
        <v>208</v>
      </c>
      <c r="H2278">
        <v>200</v>
      </c>
      <c r="I2278" s="5" t="s">
        <v>16226</v>
      </c>
      <c r="J2278" s="5" t="s">
        <v>16227</v>
      </c>
      <c r="K2278" s="5" t="str">
        <f t="shared" si="70"/>
        <v>https://www.google.com/maps?q=-10.821322, -42.727486</v>
      </c>
      <c r="L2278" s="5" t="str">
        <f t="shared" si="71"/>
        <v>Abrir no Maps</v>
      </c>
      <c r="M2278" t="s">
        <v>16228</v>
      </c>
      <c r="N2278" s="5"/>
      <c r="O2278" t="str">
        <f>VLOOKUP(G2278,'[1]CONFIG.'!$B:$C,2,0)</f>
        <v>NEILTON</v>
      </c>
      <c r="P2278" t="str">
        <f>VLOOKUP(O2278,'[1]CONFIG.'!$C:$D,2,0)</f>
        <v>74 99857115</v>
      </c>
    </row>
    <row r="2279" spans="1:16" x14ac:dyDescent="0.3">
      <c r="A2279" t="s">
        <v>16229</v>
      </c>
      <c r="B2279" t="s">
        <v>16230</v>
      </c>
      <c r="C2279" t="s">
        <v>16231</v>
      </c>
      <c r="D2279" t="s">
        <v>3881</v>
      </c>
      <c r="E2279" t="s">
        <v>16232</v>
      </c>
      <c r="F2279" t="s">
        <v>137</v>
      </c>
      <c r="G2279">
        <v>208</v>
      </c>
      <c r="H2279">
        <v>200</v>
      </c>
      <c r="I2279" s="5" t="s">
        <v>16233</v>
      </c>
      <c r="J2279" s="5" t="s">
        <v>16234</v>
      </c>
      <c r="K2279" s="5" t="str">
        <f t="shared" si="70"/>
        <v>https://www.google.com/maps?q=-10.819792, -42.727295</v>
      </c>
      <c r="L2279" s="5" t="str">
        <f t="shared" si="71"/>
        <v>Abrir no Maps</v>
      </c>
      <c r="M2279" t="s">
        <v>16235</v>
      </c>
      <c r="N2279" s="5"/>
      <c r="O2279" t="str">
        <f>VLOOKUP(G2279,'[1]CONFIG.'!$B:$C,2,0)</f>
        <v>NEILTON</v>
      </c>
      <c r="P2279" t="str">
        <f>VLOOKUP(O2279,'[1]CONFIG.'!$C:$D,2,0)</f>
        <v>74 99857115</v>
      </c>
    </row>
    <row r="2280" spans="1:16" x14ac:dyDescent="0.3">
      <c r="A2280" t="s">
        <v>16236</v>
      </c>
      <c r="B2280" t="s">
        <v>16237</v>
      </c>
      <c r="C2280" t="s">
        <v>16238</v>
      </c>
      <c r="D2280" t="s">
        <v>3881</v>
      </c>
      <c r="E2280" t="s">
        <v>16239</v>
      </c>
      <c r="F2280" t="s">
        <v>15724</v>
      </c>
      <c r="G2280">
        <v>208</v>
      </c>
      <c r="H2280">
        <v>200</v>
      </c>
      <c r="I2280" s="5" t="s">
        <v>16240</v>
      </c>
      <c r="J2280" s="5" t="s">
        <v>16241</v>
      </c>
      <c r="K2280" s="5" t="str">
        <f t="shared" si="70"/>
        <v>https://www.google.com/maps?q=-10.816802, -42.723045</v>
      </c>
      <c r="L2280" s="5" t="str">
        <f t="shared" si="71"/>
        <v>Abrir no Maps</v>
      </c>
      <c r="M2280" t="s">
        <v>16242</v>
      </c>
      <c r="N2280" s="5"/>
      <c r="O2280" t="str">
        <f>VLOOKUP(G2280,'[1]CONFIG.'!$B:$C,2,0)</f>
        <v>NEILTON</v>
      </c>
      <c r="P2280" t="str">
        <f>VLOOKUP(O2280,'[1]CONFIG.'!$C:$D,2,0)</f>
        <v>74 99857115</v>
      </c>
    </row>
    <row r="2281" spans="1:16" x14ac:dyDescent="0.3">
      <c r="A2281" t="s">
        <v>16243</v>
      </c>
      <c r="B2281" t="s">
        <v>16244</v>
      </c>
      <c r="C2281" t="s">
        <v>16245</v>
      </c>
      <c r="D2281" t="s">
        <v>3881</v>
      </c>
      <c r="E2281" t="s">
        <v>16246</v>
      </c>
      <c r="F2281" t="s">
        <v>137</v>
      </c>
      <c r="G2281">
        <v>208</v>
      </c>
      <c r="H2281">
        <v>200</v>
      </c>
      <c r="I2281" s="5" t="s">
        <v>16247</v>
      </c>
      <c r="J2281" s="5" t="s">
        <v>16248</v>
      </c>
      <c r="K2281" s="5" t="str">
        <f t="shared" si="70"/>
        <v>https://www.google.com/maps?q=-10.824414, -42.729332</v>
      </c>
      <c r="L2281" s="5" t="str">
        <f t="shared" si="71"/>
        <v>Abrir no Maps</v>
      </c>
      <c r="M2281" t="s">
        <v>16249</v>
      </c>
      <c r="N2281" s="5"/>
      <c r="O2281" t="str">
        <f>VLOOKUP(G2281,'[1]CONFIG.'!$B:$C,2,0)</f>
        <v>NEILTON</v>
      </c>
      <c r="P2281" t="str">
        <f>VLOOKUP(O2281,'[1]CONFIG.'!$C:$D,2,0)</f>
        <v>74 99857115</v>
      </c>
    </row>
    <row r="2282" spans="1:16" x14ac:dyDescent="0.3">
      <c r="A2282" t="s">
        <v>16250</v>
      </c>
      <c r="B2282" t="s">
        <v>16251</v>
      </c>
      <c r="C2282" t="s">
        <v>16252</v>
      </c>
      <c r="D2282" t="s">
        <v>3881</v>
      </c>
      <c r="E2282" t="s">
        <v>16253</v>
      </c>
      <c r="F2282" t="s">
        <v>137</v>
      </c>
      <c r="G2282">
        <v>208</v>
      </c>
      <c r="H2282">
        <v>200</v>
      </c>
      <c r="I2282" s="5" t="s">
        <v>16254</v>
      </c>
      <c r="J2282" s="5" t="s">
        <v>16255</v>
      </c>
      <c r="K2282" s="5" t="str">
        <f t="shared" si="70"/>
        <v>https://www.google.com/maps?q=-10.819886, -42.731327</v>
      </c>
      <c r="L2282" s="5" t="str">
        <f t="shared" si="71"/>
        <v>Abrir no Maps</v>
      </c>
      <c r="M2282" t="s">
        <v>16256</v>
      </c>
      <c r="N2282" s="5"/>
      <c r="O2282" t="str">
        <f>VLOOKUP(G2282,'[1]CONFIG.'!$B:$C,2,0)</f>
        <v>NEILTON</v>
      </c>
      <c r="P2282" t="str">
        <f>VLOOKUP(O2282,'[1]CONFIG.'!$C:$D,2,0)</f>
        <v>74 99857115</v>
      </c>
    </row>
    <row r="2283" spans="1:16" x14ac:dyDescent="0.3">
      <c r="A2283" t="s">
        <v>16257</v>
      </c>
      <c r="B2283" t="s">
        <v>16258</v>
      </c>
      <c r="C2283" t="s">
        <v>16259</v>
      </c>
      <c r="D2283" t="s">
        <v>3881</v>
      </c>
      <c r="E2283" t="s">
        <v>16260</v>
      </c>
      <c r="F2283" t="s">
        <v>137</v>
      </c>
      <c r="G2283">
        <v>214</v>
      </c>
      <c r="H2283">
        <v>200</v>
      </c>
      <c r="I2283" s="5" t="s">
        <v>16261</v>
      </c>
      <c r="J2283" s="5" t="s">
        <v>16262</v>
      </c>
      <c r="K2283" s="5" t="str">
        <f t="shared" si="70"/>
        <v>https://www.google.com/maps?q=-10.839130, -42.726486</v>
      </c>
      <c r="L2283" s="5" t="str">
        <f t="shared" si="71"/>
        <v>Abrir no Maps</v>
      </c>
      <c r="M2283" t="s">
        <v>16263</v>
      </c>
      <c r="N2283" s="5"/>
      <c r="O2283" t="str">
        <f>VLOOKUP(G2283,'[1]CONFIG.'!$B:$C,2,0)</f>
        <v>GEOVANA</v>
      </c>
      <c r="P2283" t="str">
        <f>VLOOKUP(O2283,'[1]CONFIG.'!$C:$D,2,0)</f>
        <v>74 99523491</v>
      </c>
    </row>
    <row r="2284" spans="1:16" x14ac:dyDescent="0.3">
      <c r="A2284" t="s">
        <v>16264</v>
      </c>
      <c r="B2284" t="s">
        <v>16265</v>
      </c>
      <c r="C2284" t="s">
        <v>16266</v>
      </c>
      <c r="D2284" t="s">
        <v>3881</v>
      </c>
      <c r="E2284" t="s">
        <v>16267</v>
      </c>
      <c r="F2284" t="s">
        <v>16038</v>
      </c>
      <c r="G2284">
        <v>214</v>
      </c>
      <c r="H2284">
        <v>200</v>
      </c>
      <c r="I2284" s="5" t="s">
        <v>16268</v>
      </c>
      <c r="J2284" s="5" t="s">
        <v>16269</v>
      </c>
      <c r="K2284" s="5" t="str">
        <f t="shared" si="70"/>
        <v>https://www.google.com/maps?q=-10.776224, -42.684387</v>
      </c>
      <c r="L2284" s="5" t="str">
        <f t="shared" si="71"/>
        <v>Abrir no Maps</v>
      </c>
      <c r="M2284" t="s">
        <v>16270</v>
      </c>
      <c r="N2284" s="5"/>
      <c r="O2284" t="str">
        <f>VLOOKUP(G2284,'[1]CONFIG.'!$B:$C,2,0)</f>
        <v>GEOVANA</v>
      </c>
      <c r="P2284" t="str">
        <f>VLOOKUP(O2284,'[1]CONFIG.'!$C:$D,2,0)</f>
        <v>74 99523491</v>
      </c>
    </row>
    <row r="2285" spans="1:16" x14ac:dyDescent="0.3">
      <c r="A2285" t="s">
        <v>16271</v>
      </c>
      <c r="B2285" t="s">
        <v>16272</v>
      </c>
      <c r="C2285" t="s">
        <v>16273</v>
      </c>
      <c r="D2285" t="s">
        <v>3881</v>
      </c>
      <c r="E2285" t="s">
        <v>16274</v>
      </c>
      <c r="F2285" t="s">
        <v>137</v>
      </c>
      <c r="G2285">
        <v>214</v>
      </c>
      <c r="H2285">
        <v>200</v>
      </c>
      <c r="I2285" s="5" t="s">
        <v>16275</v>
      </c>
      <c r="J2285" s="5" t="s">
        <v>16276</v>
      </c>
      <c r="K2285" s="5" t="str">
        <f t="shared" si="70"/>
        <v>https://www.google.com/maps?q=-10.836308, -42.726685</v>
      </c>
      <c r="L2285" s="5" t="str">
        <f t="shared" si="71"/>
        <v>Abrir no Maps</v>
      </c>
      <c r="M2285" t="s">
        <v>16277</v>
      </c>
      <c r="N2285" s="5"/>
      <c r="O2285" t="str">
        <f>VLOOKUP(G2285,'[1]CONFIG.'!$B:$C,2,0)</f>
        <v>GEOVANA</v>
      </c>
      <c r="P2285" t="str">
        <f>VLOOKUP(O2285,'[1]CONFIG.'!$C:$D,2,0)</f>
        <v>74 99523491</v>
      </c>
    </row>
    <row r="2286" spans="1:16" x14ac:dyDescent="0.3">
      <c r="A2286" t="s">
        <v>16278</v>
      </c>
      <c r="B2286" t="s">
        <v>16279</v>
      </c>
      <c r="C2286" t="s">
        <v>16280</v>
      </c>
      <c r="D2286" t="s">
        <v>3881</v>
      </c>
      <c r="E2286" t="s">
        <v>16281</v>
      </c>
      <c r="F2286" t="s">
        <v>137</v>
      </c>
      <c r="G2286">
        <v>214</v>
      </c>
      <c r="H2286">
        <v>200</v>
      </c>
      <c r="I2286" s="5" t="s">
        <v>16282</v>
      </c>
      <c r="J2286" s="5" t="s">
        <v>16283</v>
      </c>
      <c r="K2286" s="5" t="str">
        <f t="shared" si="70"/>
        <v>https://www.google.com/maps?q=-10.821700, -42.732494</v>
      </c>
      <c r="L2286" s="5" t="str">
        <f t="shared" si="71"/>
        <v>Abrir no Maps</v>
      </c>
      <c r="M2286" t="s">
        <v>16284</v>
      </c>
      <c r="N2286" s="5"/>
      <c r="O2286" t="str">
        <f>VLOOKUP(G2286,'[1]CONFIG.'!$B:$C,2,0)</f>
        <v>GEOVANA</v>
      </c>
      <c r="P2286" t="str">
        <f>VLOOKUP(O2286,'[1]CONFIG.'!$C:$D,2,0)</f>
        <v>74 99523491</v>
      </c>
    </row>
    <row r="2287" spans="1:16" x14ac:dyDescent="0.3">
      <c r="A2287" t="s">
        <v>16285</v>
      </c>
      <c r="B2287" t="s">
        <v>16286</v>
      </c>
      <c r="C2287" t="s">
        <v>16287</v>
      </c>
      <c r="D2287" t="s">
        <v>3881</v>
      </c>
      <c r="E2287" t="s">
        <v>16288</v>
      </c>
      <c r="F2287" t="s">
        <v>16289</v>
      </c>
      <c r="G2287">
        <v>214</v>
      </c>
      <c r="H2287">
        <v>200</v>
      </c>
      <c r="I2287" s="5" t="s">
        <v>16290</v>
      </c>
      <c r="J2287" s="5" t="s">
        <v>16291</v>
      </c>
      <c r="K2287" s="5" t="str">
        <f t="shared" si="70"/>
        <v>https://www.google.com/maps?q=-10.774767, -42.686210</v>
      </c>
      <c r="L2287" s="5" t="str">
        <f t="shared" si="71"/>
        <v>Abrir no Maps</v>
      </c>
      <c r="M2287" t="s">
        <v>16292</v>
      </c>
      <c r="N2287" s="5"/>
      <c r="O2287" t="str">
        <f>VLOOKUP(G2287,'[1]CONFIG.'!$B:$C,2,0)</f>
        <v>GEOVANA</v>
      </c>
      <c r="P2287" t="str">
        <f>VLOOKUP(O2287,'[1]CONFIG.'!$C:$D,2,0)</f>
        <v>74 99523491</v>
      </c>
    </row>
    <row r="2288" spans="1:16" x14ac:dyDescent="0.3">
      <c r="A2288" t="s">
        <v>16293</v>
      </c>
      <c r="B2288" t="s">
        <v>16294</v>
      </c>
      <c r="C2288" t="s">
        <v>16295</v>
      </c>
      <c r="D2288" t="s">
        <v>3881</v>
      </c>
      <c r="E2288" t="s">
        <v>16296</v>
      </c>
      <c r="F2288" t="s">
        <v>15637</v>
      </c>
      <c r="G2288">
        <v>214</v>
      </c>
      <c r="H2288">
        <v>200</v>
      </c>
      <c r="I2288" s="5" t="s">
        <v>16297</v>
      </c>
      <c r="J2288" s="5" t="s">
        <v>16298</v>
      </c>
      <c r="K2288" s="5" t="str">
        <f t="shared" si="70"/>
        <v>https://www.google.com/maps?q=-10.837268, -42.726580</v>
      </c>
      <c r="L2288" s="5" t="str">
        <f t="shared" si="71"/>
        <v>Abrir no Maps</v>
      </c>
      <c r="M2288" t="s">
        <v>16299</v>
      </c>
      <c r="N2288" s="5"/>
      <c r="O2288" t="str">
        <f>VLOOKUP(G2288,'[1]CONFIG.'!$B:$C,2,0)</f>
        <v>GEOVANA</v>
      </c>
      <c r="P2288" t="str">
        <f>VLOOKUP(O2288,'[1]CONFIG.'!$C:$D,2,0)</f>
        <v>74 99523491</v>
      </c>
    </row>
    <row r="2289" spans="1:16" x14ac:dyDescent="0.3">
      <c r="A2289" t="s">
        <v>16300</v>
      </c>
      <c r="B2289" t="s">
        <v>16301</v>
      </c>
      <c r="C2289" t="s">
        <v>16302</v>
      </c>
      <c r="D2289" t="s">
        <v>3881</v>
      </c>
      <c r="E2289" t="s">
        <v>16303</v>
      </c>
      <c r="F2289" t="s">
        <v>15637</v>
      </c>
      <c r="G2289">
        <v>214</v>
      </c>
      <c r="H2289">
        <v>200</v>
      </c>
      <c r="I2289" s="5" t="s">
        <v>16304</v>
      </c>
      <c r="J2289" s="5" t="s">
        <v>16305</v>
      </c>
      <c r="K2289" s="5" t="str">
        <f t="shared" si="70"/>
        <v>https://www.google.com/maps?q=-10.828639, -42.724384</v>
      </c>
      <c r="L2289" s="5" t="str">
        <f t="shared" si="71"/>
        <v>Abrir no Maps</v>
      </c>
      <c r="M2289" t="s">
        <v>16306</v>
      </c>
      <c r="N2289" s="5"/>
      <c r="O2289" t="str">
        <f>VLOOKUP(G2289,'[1]CONFIG.'!$B:$C,2,0)</f>
        <v>GEOVANA</v>
      </c>
      <c r="P2289" t="str">
        <f>VLOOKUP(O2289,'[1]CONFIG.'!$C:$D,2,0)</f>
        <v>74 99523491</v>
      </c>
    </row>
    <row r="2290" spans="1:16" x14ac:dyDescent="0.3">
      <c r="A2290" t="s">
        <v>16307</v>
      </c>
      <c r="B2290" t="s">
        <v>16308</v>
      </c>
      <c r="C2290" t="s">
        <v>16309</v>
      </c>
      <c r="D2290" t="s">
        <v>3881</v>
      </c>
      <c r="E2290" t="s">
        <v>16310</v>
      </c>
      <c r="F2290" t="s">
        <v>15637</v>
      </c>
      <c r="G2290">
        <v>214</v>
      </c>
      <c r="H2290">
        <v>200</v>
      </c>
      <c r="I2290" s="5" t="s">
        <v>16311</v>
      </c>
      <c r="J2290" s="5" t="s">
        <v>16312</v>
      </c>
      <c r="K2290" s="5" t="str">
        <f t="shared" si="70"/>
        <v>https://www.google.com/maps?q=-10.830124, -42.724846</v>
      </c>
      <c r="L2290" s="5" t="str">
        <f t="shared" si="71"/>
        <v>Abrir no Maps</v>
      </c>
      <c r="M2290" t="s">
        <v>16313</v>
      </c>
      <c r="N2290" s="5"/>
      <c r="O2290" t="str">
        <f>VLOOKUP(G2290,'[1]CONFIG.'!$B:$C,2,0)</f>
        <v>GEOVANA</v>
      </c>
      <c r="P2290" t="str">
        <f>VLOOKUP(O2290,'[1]CONFIG.'!$C:$D,2,0)</f>
        <v>74 99523491</v>
      </c>
    </row>
    <row r="2291" spans="1:16" x14ac:dyDescent="0.3">
      <c r="A2291" t="s">
        <v>16314</v>
      </c>
      <c r="B2291" t="s">
        <v>16315</v>
      </c>
      <c r="C2291" t="s">
        <v>16316</v>
      </c>
      <c r="D2291" t="s">
        <v>3881</v>
      </c>
      <c r="E2291" t="s">
        <v>16317</v>
      </c>
      <c r="F2291" t="s">
        <v>15760</v>
      </c>
      <c r="G2291">
        <v>208</v>
      </c>
      <c r="H2291">
        <v>200</v>
      </c>
      <c r="I2291" s="5" t="s">
        <v>16318</v>
      </c>
      <c r="J2291" s="5" t="s">
        <v>16319</v>
      </c>
      <c r="K2291" s="5" t="str">
        <f t="shared" si="70"/>
        <v>https://www.google.com/maps?q=-10.816209, -42.723970</v>
      </c>
      <c r="L2291" s="5" t="str">
        <f t="shared" si="71"/>
        <v>Abrir no Maps</v>
      </c>
      <c r="M2291" t="s">
        <v>16320</v>
      </c>
      <c r="N2291" s="5"/>
      <c r="O2291" t="str">
        <f>VLOOKUP(G2291,'[1]CONFIG.'!$B:$C,2,0)</f>
        <v>NEILTON</v>
      </c>
      <c r="P2291" t="str">
        <f>VLOOKUP(O2291,'[1]CONFIG.'!$C:$D,2,0)</f>
        <v>74 99857115</v>
      </c>
    </row>
    <row r="2292" spans="1:16" x14ac:dyDescent="0.3">
      <c r="A2292" t="s">
        <v>16321</v>
      </c>
      <c r="B2292" t="s">
        <v>16322</v>
      </c>
      <c r="C2292" t="s">
        <v>16323</v>
      </c>
      <c r="D2292" t="s">
        <v>3881</v>
      </c>
      <c r="E2292" t="s">
        <v>16324</v>
      </c>
      <c r="F2292" t="s">
        <v>16009</v>
      </c>
      <c r="G2292">
        <v>214</v>
      </c>
      <c r="H2292">
        <v>200</v>
      </c>
      <c r="I2292" s="5" t="s">
        <v>16325</v>
      </c>
      <c r="J2292" s="5" t="s">
        <v>16326</v>
      </c>
      <c r="K2292" s="5" t="str">
        <f t="shared" si="70"/>
        <v>https://www.google.com/maps?q=-10.825257, -42.716170</v>
      </c>
      <c r="L2292" s="5" t="str">
        <f t="shared" si="71"/>
        <v>Abrir no Maps</v>
      </c>
      <c r="M2292" t="s">
        <v>16327</v>
      </c>
      <c r="N2292" s="5"/>
      <c r="O2292" t="str">
        <f>VLOOKUP(G2292,'[1]CONFIG.'!$B:$C,2,0)</f>
        <v>GEOVANA</v>
      </c>
      <c r="P2292" t="str">
        <f>VLOOKUP(O2292,'[1]CONFIG.'!$C:$D,2,0)</f>
        <v>74 99523491</v>
      </c>
    </row>
    <row r="2293" spans="1:16" x14ac:dyDescent="0.3">
      <c r="A2293" t="s">
        <v>16328</v>
      </c>
      <c r="B2293" t="s">
        <v>16329</v>
      </c>
      <c r="C2293" t="s">
        <v>16330</v>
      </c>
      <c r="D2293" t="s">
        <v>3881</v>
      </c>
      <c r="E2293" t="s">
        <v>16331</v>
      </c>
      <c r="F2293" t="s">
        <v>137</v>
      </c>
      <c r="G2293">
        <v>208</v>
      </c>
      <c r="H2293">
        <v>200</v>
      </c>
      <c r="I2293" s="5" t="s">
        <v>16332</v>
      </c>
      <c r="J2293" s="5" t="s">
        <v>15747</v>
      </c>
      <c r="K2293" s="5" t="str">
        <f t="shared" si="70"/>
        <v>https://www.google.com/maps?q=-10.819915, -42.731323</v>
      </c>
      <c r="L2293" s="5" t="str">
        <f t="shared" si="71"/>
        <v>Abrir no Maps</v>
      </c>
      <c r="M2293" t="s">
        <v>16333</v>
      </c>
      <c r="N2293" s="5"/>
      <c r="O2293" t="str">
        <f>VLOOKUP(G2293,'[1]CONFIG.'!$B:$C,2,0)</f>
        <v>NEILTON</v>
      </c>
      <c r="P2293" t="str">
        <f>VLOOKUP(O2293,'[1]CONFIG.'!$C:$D,2,0)</f>
        <v>74 99857115</v>
      </c>
    </row>
    <row r="2294" spans="1:16" x14ac:dyDescent="0.3">
      <c r="A2294" t="s">
        <v>16334</v>
      </c>
      <c r="B2294" t="s">
        <v>16230</v>
      </c>
      <c r="C2294" t="s">
        <v>16335</v>
      </c>
      <c r="D2294" t="s">
        <v>3881</v>
      </c>
      <c r="E2294" t="s">
        <v>16336</v>
      </c>
      <c r="F2294" t="s">
        <v>15637</v>
      </c>
      <c r="G2294">
        <v>208</v>
      </c>
      <c r="H2294">
        <v>200</v>
      </c>
      <c r="I2294" s="5" t="s">
        <v>16337</v>
      </c>
      <c r="J2294" s="5" t="s">
        <v>16338</v>
      </c>
      <c r="K2294" s="5" t="str">
        <f t="shared" si="70"/>
        <v>https://www.google.com/maps?q=-10.831441, -42.725050</v>
      </c>
      <c r="L2294" s="5" t="str">
        <f t="shared" si="71"/>
        <v>Abrir no Maps</v>
      </c>
      <c r="M2294" t="s">
        <v>16339</v>
      </c>
      <c r="N2294" s="5"/>
      <c r="O2294" t="str">
        <f>VLOOKUP(G2294,'[1]CONFIG.'!$B:$C,2,0)</f>
        <v>NEILTON</v>
      </c>
      <c r="P2294" t="str">
        <f>VLOOKUP(O2294,'[1]CONFIG.'!$C:$D,2,0)</f>
        <v>74 99857115</v>
      </c>
    </row>
    <row r="2295" spans="1:16" x14ac:dyDescent="0.3">
      <c r="A2295" t="s">
        <v>16340</v>
      </c>
      <c r="B2295" t="s">
        <v>16341</v>
      </c>
      <c r="C2295" t="s">
        <v>16342</v>
      </c>
      <c r="D2295" t="s">
        <v>3881</v>
      </c>
      <c r="E2295" t="s">
        <v>16343</v>
      </c>
      <c r="F2295" t="s">
        <v>16009</v>
      </c>
      <c r="G2295">
        <v>208</v>
      </c>
      <c r="H2295">
        <v>200</v>
      </c>
      <c r="I2295" s="5" t="s">
        <v>16344</v>
      </c>
      <c r="J2295" s="5" t="s">
        <v>16345</v>
      </c>
      <c r="K2295" s="5" t="str">
        <f t="shared" si="70"/>
        <v>https://www.google.com/maps?q=-10.829443, -42.722073</v>
      </c>
      <c r="L2295" s="5" t="str">
        <f t="shared" si="71"/>
        <v>Abrir no Maps</v>
      </c>
      <c r="M2295" t="s">
        <v>16346</v>
      </c>
      <c r="N2295" s="5"/>
      <c r="O2295" t="str">
        <f>VLOOKUP(G2295,'[1]CONFIG.'!$B:$C,2,0)</f>
        <v>NEILTON</v>
      </c>
      <c r="P2295" t="str">
        <f>VLOOKUP(O2295,'[1]CONFIG.'!$C:$D,2,0)</f>
        <v>74 99857115</v>
      </c>
    </row>
    <row r="2296" spans="1:16" x14ac:dyDescent="0.3">
      <c r="A2296" t="s">
        <v>16347</v>
      </c>
      <c r="B2296" t="s">
        <v>16348</v>
      </c>
      <c r="C2296" t="s">
        <v>16349</v>
      </c>
      <c r="D2296" t="s">
        <v>3881</v>
      </c>
      <c r="E2296" t="s">
        <v>16350</v>
      </c>
      <c r="F2296" t="s">
        <v>15901</v>
      </c>
      <c r="G2296">
        <v>208</v>
      </c>
      <c r="H2296">
        <v>200</v>
      </c>
      <c r="I2296" s="5" t="s">
        <v>16351</v>
      </c>
      <c r="J2296" s="5" t="s">
        <v>16352</v>
      </c>
      <c r="K2296" s="5" t="str">
        <f t="shared" si="70"/>
        <v>https://www.google.com/maps?q=-10.817918, -42.715250</v>
      </c>
      <c r="L2296" s="5" t="str">
        <f t="shared" si="71"/>
        <v>Abrir no Maps</v>
      </c>
      <c r="M2296" t="s">
        <v>16353</v>
      </c>
      <c r="N2296" s="5"/>
      <c r="O2296" t="str">
        <f>VLOOKUP(G2296,'[1]CONFIG.'!$B:$C,2,0)</f>
        <v>NEILTON</v>
      </c>
      <c r="P2296" t="str">
        <f>VLOOKUP(O2296,'[1]CONFIG.'!$C:$D,2,0)</f>
        <v>74 99857115</v>
      </c>
    </row>
    <row r="2297" spans="1:16" x14ac:dyDescent="0.3">
      <c r="A2297" t="s">
        <v>16354</v>
      </c>
      <c r="B2297" t="s">
        <v>16355</v>
      </c>
      <c r="C2297" t="s">
        <v>16356</v>
      </c>
      <c r="D2297" t="s">
        <v>3881</v>
      </c>
      <c r="E2297" t="s">
        <v>16357</v>
      </c>
      <c r="F2297" t="s">
        <v>137</v>
      </c>
      <c r="G2297">
        <v>214</v>
      </c>
      <c r="H2297">
        <v>200</v>
      </c>
      <c r="I2297" s="5" t="s">
        <v>16358</v>
      </c>
      <c r="J2297" s="5" t="s">
        <v>16359</v>
      </c>
      <c r="K2297" s="5" t="str">
        <f t="shared" si="70"/>
        <v>https://www.google.com/maps?q=-10.822887, -42.730717</v>
      </c>
      <c r="L2297" s="5" t="str">
        <f t="shared" si="71"/>
        <v>Abrir no Maps</v>
      </c>
      <c r="M2297" t="s">
        <v>16360</v>
      </c>
      <c r="N2297" s="5"/>
      <c r="O2297" t="str">
        <f>VLOOKUP(G2297,'[1]CONFIG.'!$B:$C,2,0)</f>
        <v>GEOVANA</v>
      </c>
      <c r="P2297" t="str">
        <f>VLOOKUP(O2297,'[1]CONFIG.'!$C:$D,2,0)</f>
        <v>74 99523491</v>
      </c>
    </row>
    <row r="2298" spans="1:16" x14ac:dyDescent="0.3">
      <c r="A2298" t="s">
        <v>16361</v>
      </c>
      <c r="B2298" t="s">
        <v>16230</v>
      </c>
      <c r="C2298" t="s">
        <v>16362</v>
      </c>
      <c r="D2298" t="s">
        <v>3881</v>
      </c>
      <c r="E2298" t="s">
        <v>16363</v>
      </c>
      <c r="F2298" t="s">
        <v>137</v>
      </c>
      <c r="G2298">
        <v>208</v>
      </c>
      <c r="H2298">
        <v>200</v>
      </c>
      <c r="I2298" s="5" t="s">
        <v>16364</v>
      </c>
      <c r="J2298" s="5" t="s">
        <v>16365</v>
      </c>
      <c r="K2298" s="5" t="str">
        <f t="shared" si="70"/>
        <v>https://www.google.com/maps?q=-10.822890, -42.732120</v>
      </c>
      <c r="L2298" s="5" t="str">
        <f t="shared" si="71"/>
        <v>Abrir no Maps</v>
      </c>
      <c r="M2298" t="s">
        <v>16366</v>
      </c>
      <c r="N2298" s="5"/>
      <c r="O2298" t="str">
        <f>VLOOKUP(G2298,'[1]CONFIG.'!$B:$C,2,0)</f>
        <v>NEILTON</v>
      </c>
      <c r="P2298" t="str">
        <f>VLOOKUP(O2298,'[1]CONFIG.'!$C:$D,2,0)</f>
        <v>74 99857115</v>
      </c>
    </row>
    <row r="2299" spans="1:16" x14ac:dyDescent="0.3">
      <c r="A2299" t="s">
        <v>16367</v>
      </c>
      <c r="B2299" t="s">
        <v>16368</v>
      </c>
      <c r="C2299" t="s">
        <v>16369</v>
      </c>
      <c r="D2299" t="s">
        <v>3881</v>
      </c>
      <c r="E2299" t="s">
        <v>16370</v>
      </c>
      <c r="F2299" t="s">
        <v>137</v>
      </c>
      <c r="G2299">
        <v>208</v>
      </c>
      <c r="H2299">
        <v>200</v>
      </c>
      <c r="I2299" s="5" t="s">
        <v>16371</v>
      </c>
      <c r="J2299" s="5" t="s">
        <v>16372</v>
      </c>
      <c r="K2299" s="5" t="str">
        <f t="shared" si="70"/>
        <v>https://www.google.com/maps?q=-10.820343, -42.725945</v>
      </c>
      <c r="L2299" s="5" t="str">
        <f t="shared" si="71"/>
        <v>Abrir no Maps</v>
      </c>
      <c r="M2299" t="s">
        <v>16373</v>
      </c>
      <c r="N2299" s="5"/>
      <c r="O2299" t="str">
        <f>VLOOKUP(G2299,'[1]CONFIG.'!$B:$C,2,0)</f>
        <v>NEILTON</v>
      </c>
      <c r="P2299" t="str">
        <f>VLOOKUP(O2299,'[1]CONFIG.'!$C:$D,2,0)</f>
        <v>74 99857115</v>
      </c>
    </row>
    <row r="2300" spans="1:16" x14ac:dyDescent="0.3">
      <c r="A2300" t="s">
        <v>16374</v>
      </c>
      <c r="B2300" t="s">
        <v>16375</v>
      </c>
      <c r="C2300" t="s">
        <v>16376</v>
      </c>
      <c r="D2300" t="s">
        <v>3881</v>
      </c>
      <c r="E2300" t="s">
        <v>16377</v>
      </c>
      <c r="F2300" t="s">
        <v>137</v>
      </c>
      <c r="G2300">
        <v>214</v>
      </c>
      <c r="H2300">
        <v>200</v>
      </c>
      <c r="I2300" s="5" t="s">
        <v>16378</v>
      </c>
      <c r="J2300" s="5" t="s">
        <v>16379</v>
      </c>
      <c r="K2300" s="5" t="str">
        <f t="shared" si="70"/>
        <v>https://www.google.com/maps?q=-10.826920, -42.730040</v>
      </c>
      <c r="L2300" s="5" t="str">
        <f t="shared" si="71"/>
        <v>Abrir no Maps</v>
      </c>
      <c r="M2300" t="s">
        <v>16380</v>
      </c>
      <c r="N2300" s="5"/>
      <c r="O2300" t="str">
        <f>VLOOKUP(G2300,'[1]CONFIG.'!$B:$C,2,0)</f>
        <v>GEOVANA</v>
      </c>
      <c r="P2300" t="str">
        <f>VLOOKUP(O2300,'[1]CONFIG.'!$C:$D,2,0)</f>
        <v>74 99523491</v>
      </c>
    </row>
    <row r="2301" spans="1:16" x14ac:dyDescent="0.3">
      <c r="A2301" t="s">
        <v>16381</v>
      </c>
      <c r="B2301" t="s">
        <v>16382</v>
      </c>
      <c r="C2301" t="s">
        <v>16383</v>
      </c>
      <c r="D2301" t="s">
        <v>3881</v>
      </c>
      <c r="E2301" t="s">
        <v>16384</v>
      </c>
      <c r="F2301" t="s">
        <v>137</v>
      </c>
      <c r="G2301">
        <v>214</v>
      </c>
      <c r="H2301">
        <v>200</v>
      </c>
      <c r="I2301" s="5" t="s">
        <v>16385</v>
      </c>
      <c r="J2301" s="5" t="s">
        <v>16386</v>
      </c>
      <c r="K2301" s="5" t="str">
        <f t="shared" si="70"/>
        <v>https://www.google.com/maps?q=-10.827979, -42.732254</v>
      </c>
      <c r="L2301" s="5" t="str">
        <f t="shared" si="71"/>
        <v>Abrir no Maps</v>
      </c>
      <c r="M2301" t="s">
        <v>16387</v>
      </c>
      <c r="N2301" s="5"/>
      <c r="O2301" t="str">
        <f>VLOOKUP(G2301,'[1]CONFIG.'!$B:$C,2,0)</f>
        <v>GEOVANA</v>
      </c>
      <c r="P2301" t="str">
        <f>VLOOKUP(O2301,'[1]CONFIG.'!$C:$D,2,0)</f>
        <v>74 99523491</v>
      </c>
    </row>
    <row r="2302" spans="1:16" x14ac:dyDescent="0.3">
      <c r="A2302" t="s">
        <v>16388</v>
      </c>
      <c r="B2302" t="s">
        <v>16389</v>
      </c>
      <c r="C2302" t="s">
        <v>16390</v>
      </c>
      <c r="D2302" t="s">
        <v>3881</v>
      </c>
      <c r="E2302" t="s">
        <v>16391</v>
      </c>
      <c r="F2302" t="s">
        <v>137</v>
      </c>
      <c r="G2302">
        <v>214</v>
      </c>
      <c r="H2302">
        <v>200</v>
      </c>
      <c r="I2302" s="5" t="s">
        <v>16392</v>
      </c>
      <c r="J2302" s="5" t="s">
        <v>16393</v>
      </c>
      <c r="K2302" s="5" t="str">
        <f t="shared" si="70"/>
        <v>https://www.google.com/maps?q=-10.820081, -42.732006</v>
      </c>
      <c r="L2302" s="5" t="str">
        <f t="shared" si="71"/>
        <v>Abrir no Maps</v>
      </c>
      <c r="M2302" t="s">
        <v>16394</v>
      </c>
      <c r="N2302" s="5"/>
      <c r="O2302" t="str">
        <f>VLOOKUP(G2302,'[1]CONFIG.'!$B:$C,2,0)</f>
        <v>GEOVANA</v>
      </c>
      <c r="P2302" t="str">
        <f>VLOOKUP(O2302,'[1]CONFIG.'!$C:$D,2,0)</f>
        <v>74 99523491</v>
      </c>
    </row>
    <row r="2303" spans="1:16" x14ac:dyDescent="0.3">
      <c r="A2303" t="s">
        <v>16395</v>
      </c>
      <c r="B2303" t="s">
        <v>16396</v>
      </c>
      <c r="C2303" t="s">
        <v>16397</v>
      </c>
      <c r="D2303" t="s">
        <v>3881</v>
      </c>
      <c r="E2303" t="s">
        <v>16398</v>
      </c>
      <c r="F2303" t="s">
        <v>15637</v>
      </c>
      <c r="G2303">
        <v>208</v>
      </c>
      <c r="H2303">
        <v>200</v>
      </c>
      <c r="I2303" s="5" t="s">
        <v>16399</v>
      </c>
      <c r="J2303" s="5" t="s">
        <v>16400</v>
      </c>
      <c r="K2303" s="5" t="str">
        <f t="shared" si="70"/>
        <v>https://www.google.com/maps?q=-10.828188, -42.725110</v>
      </c>
      <c r="L2303" s="5" t="str">
        <f t="shared" si="71"/>
        <v>Abrir no Maps</v>
      </c>
      <c r="M2303" t="s">
        <v>16401</v>
      </c>
      <c r="N2303" s="5"/>
      <c r="O2303" t="str">
        <f>VLOOKUP(G2303,'[1]CONFIG.'!$B:$C,2,0)</f>
        <v>NEILTON</v>
      </c>
      <c r="P2303" t="str">
        <f>VLOOKUP(O2303,'[1]CONFIG.'!$C:$D,2,0)</f>
        <v>74 99857115</v>
      </c>
    </row>
    <row r="2304" spans="1:16" x14ac:dyDescent="0.3">
      <c r="A2304" t="s">
        <v>16402</v>
      </c>
      <c r="B2304" t="s">
        <v>16403</v>
      </c>
      <c r="C2304" t="s">
        <v>16404</v>
      </c>
      <c r="D2304" t="s">
        <v>3881</v>
      </c>
      <c r="E2304" t="s">
        <v>16405</v>
      </c>
      <c r="F2304" t="s">
        <v>137</v>
      </c>
      <c r="G2304">
        <v>214</v>
      </c>
      <c r="H2304">
        <v>200</v>
      </c>
      <c r="I2304" s="5" t="s">
        <v>16406</v>
      </c>
      <c r="J2304" s="5" t="s">
        <v>16407</v>
      </c>
      <c r="K2304" s="5" t="str">
        <f t="shared" si="70"/>
        <v>https://www.google.com/maps?q=-10.821840, -42.732323</v>
      </c>
      <c r="L2304" s="5" t="str">
        <f t="shared" si="71"/>
        <v>Abrir no Maps</v>
      </c>
      <c r="M2304" t="s">
        <v>16408</v>
      </c>
      <c r="N2304" s="5"/>
      <c r="O2304" t="str">
        <f>VLOOKUP(G2304,'[1]CONFIG.'!$B:$C,2,0)</f>
        <v>GEOVANA</v>
      </c>
      <c r="P2304" t="str">
        <f>VLOOKUP(O2304,'[1]CONFIG.'!$C:$D,2,0)</f>
        <v>74 99523491</v>
      </c>
    </row>
    <row r="2305" spans="1:16" x14ac:dyDescent="0.3">
      <c r="A2305" t="s">
        <v>16409</v>
      </c>
      <c r="B2305" t="s">
        <v>16410</v>
      </c>
      <c r="C2305" t="s">
        <v>16411</v>
      </c>
      <c r="D2305" t="s">
        <v>3881</v>
      </c>
      <c r="E2305" t="s">
        <v>16412</v>
      </c>
      <c r="F2305" t="s">
        <v>585</v>
      </c>
      <c r="G2305">
        <v>214</v>
      </c>
      <c r="H2305">
        <v>200</v>
      </c>
      <c r="I2305" s="5" t="s">
        <v>16413</v>
      </c>
      <c r="J2305" s="5" t="s">
        <v>16414</v>
      </c>
      <c r="K2305" s="5" t="str">
        <f t="shared" si="70"/>
        <v>https://www.google.com/maps?q=-10.820647, -42.723686</v>
      </c>
      <c r="L2305" s="5" t="str">
        <f t="shared" si="71"/>
        <v>Abrir no Maps</v>
      </c>
      <c r="M2305" t="s">
        <v>16415</v>
      </c>
      <c r="N2305" s="5"/>
      <c r="O2305" t="str">
        <f>VLOOKUP(G2305,'[1]CONFIG.'!$B:$C,2,0)</f>
        <v>GEOVANA</v>
      </c>
      <c r="P2305" t="str">
        <f>VLOOKUP(O2305,'[1]CONFIG.'!$C:$D,2,0)</f>
        <v>74 99523491</v>
      </c>
    </row>
    <row r="2306" spans="1:16" x14ac:dyDescent="0.3">
      <c r="A2306" t="s">
        <v>16416</v>
      </c>
      <c r="B2306" t="s">
        <v>16417</v>
      </c>
      <c r="C2306" t="s">
        <v>16418</v>
      </c>
      <c r="D2306" t="s">
        <v>3881</v>
      </c>
      <c r="E2306" t="s">
        <v>16419</v>
      </c>
      <c r="F2306" t="s">
        <v>137</v>
      </c>
      <c r="G2306">
        <v>208</v>
      </c>
      <c r="H2306">
        <v>200</v>
      </c>
      <c r="I2306" s="5" t="s">
        <v>16420</v>
      </c>
      <c r="J2306" s="5" t="s">
        <v>16421</v>
      </c>
      <c r="K2306" s="5" t="str">
        <f t="shared" si="70"/>
        <v>https://www.google.com/maps?q=-10.820238, -42.726760</v>
      </c>
      <c r="L2306" s="5" t="str">
        <f t="shared" si="71"/>
        <v>Abrir no Maps</v>
      </c>
      <c r="M2306" t="s">
        <v>16422</v>
      </c>
      <c r="N2306" s="5"/>
      <c r="O2306" t="str">
        <f>VLOOKUP(G2306,'[1]CONFIG.'!$B:$C,2,0)</f>
        <v>NEILTON</v>
      </c>
      <c r="P2306" t="str">
        <f>VLOOKUP(O2306,'[1]CONFIG.'!$C:$D,2,0)</f>
        <v>74 99857115</v>
      </c>
    </row>
    <row r="2307" spans="1:16" x14ac:dyDescent="0.3">
      <c r="A2307" t="s">
        <v>16423</v>
      </c>
      <c r="B2307" t="s">
        <v>16424</v>
      </c>
      <c r="C2307" t="s">
        <v>16425</v>
      </c>
      <c r="D2307" t="s">
        <v>3881</v>
      </c>
      <c r="E2307" t="s">
        <v>16426</v>
      </c>
      <c r="F2307" t="s">
        <v>15637</v>
      </c>
      <c r="G2307">
        <v>214</v>
      </c>
      <c r="H2307">
        <v>200</v>
      </c>
      <c r="I2307" s="5" t="s">
        <v>16427</v>
      </c>
      <c r="J2307" s="5" t="s">
        <v>16428</v>
      </c>
      <c r="K2307" s="5" t="str">
        <f t="shared" si="70"/>
        <v>https://www.google.com/maps?q=-10.828236, -42.727985</v>
      </c>
      <c r="L2307" s="5" t="str">
        <f t="shared" si="71"/>
        <v>Abrir no Maps</v>
      </c>
      <c r="M2307" t="s">
        <v>16429</v>
      </c>
      <c r="N2307" s="5"/>
      <c r="O2307" t="str">
        <f>VLOOKUP(G2307,'[1]CONFIG.'!$B:$C,2,0)</f>
        <v>GEOVANA</v>
      </c>
      <c r="P2307" t="str">
        <f>VLOOKUP(O2307,'[1]CONFIG.'!$C:$D,2,0)</f>
        <v>74 99523491</v>
      </c>
    </row>
    <row r="2308" spans="1:16" x14ac:dyDescent="0.3">
      <c r="A2308" t="s">
        <v>16430</v>
      </c>
      <c r="B2308" t="s">
        <v>16431</v>
      </c>
      <c r="C2308" t="s">
        <v>16432</v>
      </c>
      <c r="D2308" t="s">
        <v>3881</v>
      </c>
      <c r="E2308" t="s">
        <v>16433</v>
      </c>
      <c r="F2308" t="s">
        <v>15901</v>
      </c>
      <c r="G2308">
        <v>214</v>
      </c>
      <c r="H2308">
        <v>200</v>
      </c>
      <c r="I2308" s="5" t="s">
        <v>16434</v>
      </c>
      <c r="J2308" s="5" t="s">
        <v>16435</v>
      </c>
      <c r="K2308" s="5" t="str">
        <f t="shared" ref="K2308:K2371" si="72">"https://www.google.com/maps?q="&amp;""&amp;LEFT(I2308,3)&amp;"."&amp;RIGHT(I2308,6)&amp;", "&amp;LEFT(J2308,3)&amp;"."&amp;RIGHT(J2308,6)</f>
        <v>https://www.google.com/maps?q=-10.819087, -42.715090</v>
      </c>
      <c r="L2308" s="5" t="str">
        <f t="shared" ref="L2308:L2371" si="73">HYPERLINK(K2308,"Abrir no Maps")</f>
        <v>Abrir no Maps</v>
      </c>
      <c r="M2308" t="s">
        <v>16436</v>
      </c>
      <c r="N2308" s="5"/>
      <c r="O2308" t="str">
        <f>VLOOKUP(G2308,'[1]CONFIG.'!$B:$C,2,0)</f>
        <v>GEOVANA</v>
      </c>
      <c r="P2308" t="str">
        <f>VLOOKUP(O2308,'[1]CONFIG.'!$C:$D,2,0)</f>
        <v>74 99523491</v>
      </c>
    </row>
    <row r="2309" spans="1:16" x14ac:dyDescent="0.3">
      <c r="A2309" t="s">
        <v>16437</v>
      </c>
      <c r="B2309" t="s">
        <v>16438</v>
      </c>
      <c r="C2309" t="s">
        <v>16439</v>
      </c>
      <c r="D2309" t="s">
        <v>3881</v>
      </c>
      <c r="E2309" t="s">
        <v>16440</v>
      </c>
      <c r="F2309" t="s">
        <v>15724</v>
      </c>
      <c r="G2309">
        <v>214</v>
      </c>
      <c r="H2309">
        <v>200</v>
      </c>
      <c r="I2309" s="5" t="s">
        <v>16441</v>
      </c>
      <c r="J2309" s="5" t="s">
        <v>16442</v>
      </c>
      <c r="K2309" s="5" t="str">
        <f t="shared" si="72"/>
        <v>https://www.google.com/maps?q=-10.819833, -42.725513</v>
      </c>
      <c r="L2309" s="5" t="str">
        <f t="shared" si="73"/>
        <v>Abrir no Maps</v>
      </c>
      <c r="M2309" t="s">
        <v>16443</v>
      </c>
      <c r="N2309" s="5"/>
      <c r="O2309" t="str">
        <f>VLOOKUP(G2309,'[1]CONFIG.'!$B:$C,2,0)</f>
        <v>GEOVANA</v>
      </c>
      <c r="P2309" t="str">
        <f>VLOOKUP(O2309,'[1]CONFIG.'!$C:$D,2,0)</f>
        <v>74 99523491</v>
      </c>
    </row>
    <row r="2310" spans="1:16" x14ac:dyDescent="0.3">
      <c r="A2310" t="s">
        <v>16444</v>
      </c>
      <c r="B2310" t="s">
        <v>16445</v>
      </c>
      <c r="C2310" t="s">
        <v>16446</v>
      </c>
      <c r="D2310" t="s">
        <v>3881</v>
      </c>
      <c r="E2310" t="s">
        <v>16447</v>
      </c>
      <c r="F2310" t="s">
        <v>137</v>
      </c>
      <c r="G2310">
        <v>208</v>
      </c>
      <c r="H2310">
        <v>200</v>
      </c>
      <c r="I2310" s="5" t="s">
        <v>16448</v>
      </c>
      <c r="J2310" s="5" t="s">
        <v>16449</v>
      </c>
      <c r="K2310" s="5" t="str">
        <f t="shared" si="72"/>
        <v>https://www.google.com/maps?q=-10.821474, -42.729614</v>
      </c>
      <c r="L2310" s="5" t="str">
        <f t="shared" si="73"/>
        <v>Abrir no Maps</v>
      </c>
      <c r="M2310" t="s">
        <v>16450</v>
      </c>
      <c r="N2310" s="5"/>
      <c r="O2310" t="str">
        <f>VLOOKUP(G2310,'[1]CONFIG.'!$B:$C,2,0)</f>
        <v>NEILTON</v>
      </c>
      <c r="P2310" t="str">
        <f>VLOOKUP(O2310,'[1]CONFIG.'!$C:$D,2,0)</f>
        <v>74 99857115</v>
      </c>
    </row>
    <row r="2311" spans="1:16" x14ac:dyDescent="0.3">
      <c r="A2311" t="s">
        <v>16451</v>
      </c>
      <c r="B2311" t="s">
        <v>16452</v>
      </c>
      <c r="C2311" t="s">
        <v>16453</v>
      </c>
      <c r="D2311" t="s">
        <v>3881</v>
      </c>
      <c r="E2311" t="s">
        <v>16454</v>
      </c>
      <c r="F2311" t="s">
        <v>137</v>
      </c>
      <c r="G2311">
        <v>208</v>
      </c>
      <c r="H2311">
        <v>200</v>
      </c>
      <c r="I2311" s="5" t="s">
        <v>16455</v>
      </c>
      <c r="J2311" s="5" t="s">
        <v>16456</v>
      </c>
      <c r="K2311" s="5" t="str">
        <f t="shared" si="72"/>
        <v>https://www.google.com/maps?q=-10.831190, -42.731150</v>
      </c>
      <c r="L2311" s="5" t="str">
        <f t="shared" si="73"/>
        <v>Abrir no Maps</v>
      </c>
      <c r="M2311" t="s">
        <v>16457</v>
      </c>
      <c r="N2311" s="5"/>
      <c r="O2311" t="str">
        <f>VLOOKUP(G2311,'[1]CONFIG.'!$B:$C,2,0)</f>
        <v>NEILTON</v>
      </c>
      <c r="P2311" t="str">
        <f>VLOOKUP(O2311,'[1]CONFIG.'!$C:$D,2,0)</f>
        <v>74 99857115</v>
      </c>
    </row>
    <row r="2312" spans="1:16" x14ac:dyDescent="0.3">
      <c r="A2312" t="s">
        <v>16458</v>
      </c>
      <c r="B2312" t="s">
        <v>16459</v>
      </c>
      <c r="C2312" t="s">
        <v>16460</v>
      </c>
      <c r="D2312" t="s">
        <v>3881</v>
      </c>
      <c r="E2312" t="s">
        <v>16461</v>
      </c>
      <c r="F2312" t="s">
        <v>137</v>
      </c>
      <c r="G2312">
        <v>214</v>
      </c>
      <c r="H2312">
        <v>200</v>
      </c>
      <c r="I2312" s="5" t="s">
        <v>16462</v>
      </c>
      <c r="J2312" s="5" t="s">
        <v>16463</v>
      </c>
      <c r="K2312" s="5" t="str">
        <f t="shared" si="72"/>
        <v>https://www.google.com/maps?q=-10.825892, -42.727790</v>
      </c>
      <c r="L2312" s="5" t="str">
        <f t="shared" si="73"/>
        <v>Abrir no Maps</v>
      </c>
      <c r="M2312" t="s">
        <v>16464</v>
      </c>
      <c r="N2312" s="5"/>
      <c r="O2312" t="str">
        <f>VLOOKUP(G2312,'[1]CONFIG.'!$B:$C,2,0)</f>
        <v>GEOVANA</v>
      </c>
      <c r="P2312" t="str">
        <f>VLOOKUP(O2312,'[1]CONFIG.'!$C:$D,2,0)</f>
        <v>74 99523491</v>
      </c>
    </row>
    <row r="2313" spans="1:16" x14ac:dyDescent="0.3">
      <c r="A2313" t="s">
        <v>16465</v>
      </c>
      <c r="B2313" t="s">
        <v>16466</v>
      </c>
      <c r="C2313" t="s">
        <v>16467</v>
      </c>
      <c r="D2313" t="s">
        <v>3881</v>
      </c>
      <c r="E2313" t="s">
        <v>16468</v>
      </c>
      <c r="F2313" t="s">
        <v>137</v>
      </c>
      <c r="G2313">
        <v>214</v>
      </c>
      <c r="H2313">
        <v>200</v>
      </c>
      <c r="I2313" s="5" t="s">
        <v>16469</v>
      </c>
      <c r="J2313" s="5" t="s">
        <v>16470</v>
      </c>
      <c r="K2313" s="5" t="str">
        <f t="shared" si="72"/>
        <v>https://www.google.com/maps?q=-10.822304, -42.731457</v>
      </c>
      <c r="L2313" s="5" t="str">
        <f t="shared" si="73"/>
        <v>Abrir no Maps</v>
      </c>
      <c r="M2313" t="s">
        <v>16471</v>
      </c>
      <c r="N2313" s="5"/>
      <c r="O2313" t="str">
        <f>VLOOKUP(G2313,'[1]CONFIG.'!$B:$C,2,0)</f>
        <v>GEOVANA</v>
      </c>
      <c r="P2313" t="str">
        <f>VLOOKUP(O2313,'[1]CONFIG.'!$C:$D,2,0)</f>
        <v>74 99523491</v>
      </c>
    </row>
    <row r="2314" spans="1:16" x14ac:dyDescent="0.3">
      <c r="A2314" t="s">
        <v>16472</v>
      </c>
      <c r="B2314" t="s">
        <v>16473</v>
      </c>
      <c r="C2314" t="s">
        <v>16474</v>
      </c>
      <c r="D2314" t="s">
        <v>3881</v>
      </c>
      <c r="E2314" t="s">
        <v>16475</v>
      </c>
      <c r="F2314" t="s">
        <v>137</v>
      </c>
      <c r="G2314">
        <v>208</v>
      </c>
      <c r="H2314">
        <v>200</v>
      </c>
      <c r="I2314" s="5" t="s">
        <v>16476</v>
      </c>
      <c r="J2314" s="5" t="s">
        <v>16477</v>
      </c>
      <c r="K2314" s="5" t="str">
        <f t="shared" si="72"/>
        <v>https://www.google.com/maps?q=-10.827716, -42.730766</v>
      </c>
      <c r="L2314" s="5" t="str">
        <f t="shared" si="73"/>
        <v>Abrir no Maps</v>
      </c>
      <c r="M2314" t="s">
        <v>16478</v>
      </c>
      <c r="N2314" s="5"/>
      <c r="O2314" t="str">
        <f>VLOOKUP(G2314,'[1]CONFIG.'!$B:$C,2,0)</f>
        <v>NEILTON</v>
      </c>
      <c r="P2314" t="str">
        <f>VLOOKUP(O2314,'[1]CONFIG.'!$C:$D,2,0)</f>
        <v>74 99857115</v>
      </c>
    </row>
    <row r="2315" spans="1:16" x14ac:dyDescent="0.3">
      <c r="A2315" t="s">
        <v>16479</v>
      </c>
      <c r="B2315" t="s">
        <v>16480</v>
      </c>
      <c r="C2315" t="s">
        <v>16481</v>
      </c>
      <c r="D2315" t="s">
        <v>3881</v>
      </c>
      <c r="E2315" t="s">
        <v>16482</v>
      </c>
      <c r="F2315" t="s">
        <v>15823</v>
      </c>
      <c r="G2315">
        <v>208</v>
      </c>
      <c r="H2315">
        <v>200</v>
      </c>
      <c r="I2315" s="5" t="s">
        <v>16483</v>
      </c>
      <c r="J2315" s="5" t="s">
        <v>16484</v>
      </c>
      <c r="K2315" s="5" t="str">
        <f t="shared" si="72"/>
        <v>https://www.google.com/maps?q=-10.819273, -42.717476</v>
      </c>
      <c r="L2315" s="5" t="str">
        <f t="shared" si="73"/>
        <v>Abrir no Maps</v>
      </c>
      <c r="M2315" t="s">
        <v>16485</v>
      </c>
      <c r="N2315" s="5"/>
      <c r="O2315" t="str">
        <f>VLOOKUP(G2315,'[1]CONFIG.'!$B:$C,2,0)</f>
        <v>NEILTON</v>
      </c>
      <c r="P2315" t="str">
        <f>VLOOKUP(O2315,'[1]CONFIG.'!$C:$D,2,0)</f>
        <v>74 99857115</v>
      </c>
    </row>
    <row r="2316" spans="1:16" x14ac:dyDescent="0.3">
      <c r="A2316" t="s">
        <v>16486</v>
      </c>
      <c r="B2316" t="s">
        <v>16487</v>
      </c>
      <c r="C2316" t="s">
        <v>16488</v>
      </c>
      <c r="D2316" t="s">
        <v>3881</v>
      </c>
      <c r="E2316" t="s">
        <v>16489</v>
      </c>
      <c r="F2316" t="s">
        <v>137</v>
      </c>
      <c r="G2316">
        <v>214</v>
      </c>
      <c r="H2316">
        <v>200</v>
      </c>
      <c r="I2316" s="5" t="s">
        <v>16490</v>
      </c>
      <c r="J2316" s="5" t="s">
        <v>16491</v>
      </c>
      <c r="K2316" s="5" t="str">
        <f t="shared" si="72"/>
        <v>https://www.google.com/maps?q=-10.823658, -42.728886</v>
      </c>
      <c r="L2316" s="5" t="str">
        <f t="shared" si="73"/>
        <v>Abrir no Maps</v>
      </c>
      <c r="M2316" t="s">
        <v>16492</v>
      </c>
      <c r="N2316" s="5"/>
      <c r="O2316" t="str">
        <f>VLOOKUP(G2316,'[1]CONFIG.'!$B:$C,2,0)</f>
        <v>GEOVANA</v>
      </c>
      <c r="P2316" t="str">
        <f>VLOOKUP(O2316,'[1]CONFIG.'!$C:$D,2,0)</f>
        <v>74 99523491</v>
      </c>
    </row>
    <row r="2317" spans="1:16" x14ac:dyDescent="0.3">
      <c r="A2317" t="s">
        <v>16493</v>
      </c>
      <c r="B2317" t="s">
        <v>16494</v>
      </c>
      <c r="C2317" t="s">
        <v>16495</v>
      </c>
      <c r="D2317" t="s">
        <v>3881</v>
      </c>
      <c r="E2317" t="s">
        <v>16496</v>
      </c>
      <c r="F2317" t="s">
        <v>137</v>
      </c>
      <c r="G2317">
        <v>214</v>
      </c>
      <c r="H2317">
        <v>200</v>
      </c>
      <c r="I2317" s="5" t="s">
        <v>16497</v>
      </c>
      <c r="J2317" s="5" t="s">
        <v>16498</v>
      </c>
      <c r="K2317" s="5" t="str">
        <f t="shared" si="72"/>
        <v>https://www.google.com/maps?q=-10.828033, -42.724735</v>
      </c>
      <c r="L2317" s="5" t="str">
        <f t="shared" si="73"/>
        <v>Abrir no Maps</v>
      </c>
      <c r="M2317" t="s">
        <v>16499</v>
      </c>
      <c r="N2317" s="5"/>
      <c r="O2317" t="str">
        <f>VLOOKUP(G2317,'[1]CONFIG.'!$B:$C,2,0)</f>
        <v>GEOVANA</v>
      </c>
      <c r="P2317" t="str">
        <f>VLOOKUP(O2317,'[1]CONFIG.'!$C:$D,2,0)</f>
        <v>74 99523491</v>
      </c>
    </row>
    <row r="2318" spans="1:16" x14ac:dyDescent="0.3">
      <c r="A2318" t="s">
        <v>16500</v>
      </c>
      <c r="B2318" t="s">
        <v>16501</v>
      </c>
      <c r="C2318" t="s">
        <v>16502</v>
      </c>
      <c r="D2318" t="s">
        <v>3881</v>
      </c>
      <c r="E2318" t="s">
        <v>16503</v>
      </c>
      <c r="F2318" t="s">
        <v>137</v>
      </c>
      <c r="G2318">
        <v>214</v>
      </c>
      <c r="H2318">
        <v>200</v>
      </c>
      <c r="I2318" s="5" t="s">
        <v>16504</v>
      </c>
      <c r="J2318" s="5" t="s">
        <v>16505</v>
      </c>
      <c r="K2318" s="5" t="str">
        <f t="shared" si="72"/>
        <v>https://www.google.com/maps?q=-10.823698, -42.732640</v>
      </c>
      <c r="L2318" s="5" t="str">
        <f t="shared" si="73"/>
        <v>Abrir no Maps</v>
      </c>
      <c r="M2318" t="s">
        <v>16506</v>
      </c>
      <c r="N2318" s="5"/>
      <c r="O2318" t="str">
        <f>VLOOKUP(G2318,'[1]CONFIG.'!$B:$C,2,0)</f>
        <v>GEOVANA</v>
      </c>
      <c r="P2318" t="str">
        <f>VLOOKUP(O2318,'[1]CONFIG.'!$C:$D,2,0)</f>
        <v>74 99523491</v>
      </c>
    </row>
    <row r="2319" spans="1:16" x14ac:dyDescent="0.3">
      <c r="A2319" t="s">
        <v>16507</v>
      </c>
      <c r="B2319" t="s">
        <v>16508</v>
      </c>
      <c r="C2319" t="s">
        <v>16509</v>
      </c>
      <c r="D2319" t="s">
        <v>3881</v>
      </c>
      <c r="E2319" t="s">
        <v>16510</v>
      </c>
      <c r="F2319" t="s">
        <v>137</v>
      </c>
      <c r="G2319">
        <v>214</v>
      </c>
      <c r="H2319">
        <v>200</v>
      </c>
      <c r="I2319" s="5" t="s">
        <v>16511</v>
      </c>
      <c r="J2319" s="5" t="s">
        <v>16512</v>
      </c>
      <c r="K2319" s="5" t="str">
        <f t="shared" si="72"/>
        <v>https://www.google.com/maps?q=-10.828491, -42.731260</v>
      </c>
      <c r="L2319" s="5" t="str">
        <f t="shared" si="73"/>
        <v>Abrir no Maps</v>
      </c>
      <c r="M2319" t="s">
        <v>16513</v>
      </c>
      <c r="N2319" s="5"/>
      <c r="O2319" t="str">
        <f>VLOOKUP(G2319,'[1]CONFIG.'!$B:$C,2,0)</f>
        <v>GEOVANA</v>
      </c>
      <c r="P2319" t="str">
        <f>VLOOKUP(O2319,'[1]CONFIG.'!$C:$D,2,0)</f>
        <v>74 99523491</v>
      </c>
    </row>
    <row r="2320" spans="1:16" x14ac:dyDescent="0.3">
      <c r="A2320" t="s">
        <v>16514</v>
      </c>
      <c r="B2320" t="s">
        <v>16515</v>
      </c>
      <c r="C2320" t="s">
        <v>16516</v>
      </c>
      <c r="D2320" t="s">
        <v>3881</v>
      </c>
      <c r="E2320" t="s">
        <v>16517</v>
      </c>
      <c r="F2320" t="s">
        <v>16518</v>
      </c>
      <c r="G2320">
        <v>214</v>
      </c>
      <c r="H2320">
        <v>200</v>
      </c>
      <c r="I2320" s="5" t="s">
        <v>16519</v>
      </c>
      <c r="J2320" s="5" t="s">
        <v>16520</v>
      </c>
      <c r="K2320" s="5" t="str">
        <f t="shared" si="72"/>
        <v>https://www.google.com/maps?q=-10.829289, -42.715252</v>
      </c>
      <c r="L2320" s="5" t="str">
        <f t="shared" si="73"/>
        <v>Abrir no Maps</v>
      </c>
      <c r="M2320" t="s">
        <v>16521</v>
      </c>
      <c r="N2320" s="5"/>
      <c r="O2320" t="str">
        <f>VLOOKUP(G2320,'[1]CONFIG.'!$B:$C,2,0)</f>
        <v>GEOVANA</v>
      </c>
      <c r="P2320" t="str">
        <f>VLOOKUP(O2320,'[1]CONFIG.'!$C:$D,2,0)</f>
        <v>74 99523491</v>
      </c>
    </row>
    <row r="2321" spans="1:16" x14ac:dyDescent="0.3">
      <c r="A2321" t="s">
        <v>16522</v>
      </c>
      <c r="B2321" t="s">
        <v>16523</v>
      </c>
      <c r="C2321" t="s">
        <v>16524</v>
      </c>
      <c r="D2321" t="s">
        <v>3881</v>
      </c>
      <c r="E2321" t="s">
        <v>16525</v>
      </c>
      <c r="F2321" t="s">
        <v>16518</v>
      </c>
      <c r="G2321">
        <v>214</v>
      </c>
      <c r="H2321">
        <v>200</v>
      </c>
      <c r="I2321" s="5" t="s">
        <v>16526</v>
      </c>
      <c r="J2321" s="5" t="s">
        <v>16527</v>
      </c>
      <c r="K2321" s="5" t="str">
        <f t="shared" si="72"/>
        <v>https://www.google.com/maps?q=-10.828415, -42.714847</v>
      </c>
      <c r="L2321" s="5" t="str">
        <f t="shared" si="73"/>
        <v>Abrir no Maps</v>
      </c>
      <c r="M2321" t="s">
        <v>16528</v>
      </c>
      <c r="N2321" s="5"/>
      <c r="O2321" t="str">
        <f>VLOOKUP(G2321,'[1]CONFIG.'!$B:$C,2,0)</f>
        <v>GEOVANA</v>
      </c>
      <c r="P2321" t="str">
        <f>VLOOKUP(O2321,'[1]CONFIG.'!$C:$D,2,0)</f>
        <v>74 99523491</v>
      </c>
    </row>
    <row r="2322" spans="1:16" x14ac:dyDescent="0.3">
      <c r="A2322" t="s">
        <v>16529</v>
      </c>
      <c r="B2322" t="s">
        <v>16530</v>
      </c>
      <c r="C2322" t="s">
        <v>16531</v>
      </c>
      <c r="D2322" t="s">
        <v>3881</v>
      </c>
      <c r="E2322" t="s">
        <v>16532</v>
      </c>
      <c r="F2322" t="s">
        <v>137</v>
      </c>
      <c r="G2322">
        <v>208</v>
      </c>
      <c r="H2322">
        <v>200</v>
      </c>
      <c r="I2322" s="5" t="s">
        <v>16533</v>
      </c>
      <c r="J2322" s="5" t="s">
        <v>16534</v>
      </c>
      <c r="K2322" s="5" t="str">
        <f t="shared" si="72"/>
        <v>https://www.google.com/maps?q=-10.816446, -42.723965</v>
      </c>
      <c r="L2322" s="5" t="str">
        <f t="shared" si="73"/>
        <v>Abrir no Maps</v>
      </c>
      <c r="M2322" t="s">
        <v>16535</v>
      </c>
      <c r="N2322" s="5"/>
      <c r="O2322" t="str">
        <f>VLOOKUP(G2322,'[1]CONFIG.'!$B:$C,2,0)</f>
        <v>NEILTON</v>
      </c>
      <c r="P2322" t="str">
        <f>VLOOKUP(O2322,'[1]CONFIG.'!$C:$D,2,0)</f>
        <v>74 99857115</v>
      </c>
    </row>
    <row r="2323" spans="1:16" x14ac:dyDescent="0.3">
      <c r="A2323" t="s">
        <v>16536</v>
      </c>
      <c r="B2323" t="s">
        <v>16537</v>
      </c>
      <c r="C2323" t="s">
        <v>16538</v>
      </c>
      <c r="D2323" t="s">
        <v>3881</v>
      </c>
      <c r="E2323" t="s">
        <v>16539</v>
      </c>
      <c r="F2323" t="s">
        <v>137</v>
      </c>
      <c r="G2323">
        <v>208</v>
      </c>
      <c r="H2323">
        <v>200</v>
      </c>
      <c r="I2323" s="5" t="s">
        <v>16540</v>
      </c>
      <c r="J2323" s="5" t="s">
        <v>16541</v>
      </c>
      <c r="K2323" s="5" t="str">
        <f t="shared" si="72"/>
        <v>https://www.google.com/maps?q=-10.821910, -42.730423</v>
      </c>
      <c r="L2323" s="5" t="str">
        <f t="shared" si="73"/>
        <v>Abrir no Maps</v>
      </c>
      <c r="M2323" t="s">
        <v>16542</v>
      </c>
      <c r="N2323" s="5"/>
      <c r="O2323" t="str">
        <f>VLOOKUP(G2323,'[1]CONFIG.'!$B:$C,2,0)</f>
        <v>NEILTON</v>
      </c>
      <c r="P2323" t="str">
        <f>VLOOKUP(O2323,'[1]CONFIG.'!$C:$D,2,0)</f>
        <v>74 99857115</v>
      </c>
    </row>
    <row r="2324" spans="1:16" x14ac:dyDescent="0.3">
      <c r="A2324" t="s">
        <v>16543</v>
      </c>
      <c r="B2324" t="s">
        <v>16544</v>
      </c>
      <c r="C2324" t="s">
        <v>16545</v>
      </c>
      <c r="D2324" t="s">
        <v>3881</v>
      </c>
      <c r="E2324" t="s">
        <v>16546</v>
      </c>
      <c r="F2324" t="s">
        <v>137</v>
      </c>
      <c r="G2324">
        <v>208</v>
      </c>
      <c r="H2324">
        <v>200</v>
      </c>
      <c r="I2324" s="5" t="s">
        <v>16547</v>
      </c>
      <c r="J2324" s="5" t="s">
        <v>16548</v>
      </c>
      <c r="K2324" s="5" t="str">
        <f t="shared" si="72"/>
        <v>https://www.google.com/maps?q=-10.822365, -42.726944</v>
      </c>
      <c r="L2324" s="5" t="str">
        <f t="shared" si="73"/>
        <v>Abrir no Maps</v>
      </c>
      <c r="M2324" t="s">
        <v>16549</v>
      </c>
      <c r="N2324" s="5"/>
      <c r="O2324" t="str">
        <f>VLOOKUP(G2324,'[1]CONFIG.'!$B:$C,2,0)</f>
        <v>NEILTON</v>
      </c>
      <c r="P2324" t="str">
        <f>VLOOKUP(O2324,'[1]CONFIG.'!$C:$D,2,0)</f>
        <v>74 99857115</v>
      </c>
    </row>
    <row r="2325" spans="1:16" x14ac:dyDescent="0.3">
      <c r="A2325" t="s">
        <v>16550</v>
      </c>
      <c r="B2325" t="s">
        <v>16551</v>
      </c>
      <c r="C2325" t="s">
        <v>16552</v>
      </c>
      <c r="D2325" t="s">
        <v>3881</v>
      </c>
      <c r="E2325" t="s">
        <v>16553</v>
      </c>
      <c r="F2325" t="s">
        <v>3881</v>
      </c>
      <c r="G2325">
        <v>208</v>
      </c>
      <c r="H2325">
        <v>200</v>
      </c>
      <c r="I2325" s="5" t="s">
        <v>16554</v>
      </c>
      <c r="J2325" s="5" t="s">
        <v>16555</v>
      </c>
      <c r="K2325" s="5" t="str">
        <f t="shared" si="72"/>
        <v>https://www.google.com/maps?q=-10.820394, -42.727720</v>
      </c>
      <c r="L2325" s="5" t="str">
        <f t="shared" si="73"/>
        <v>Abrir no Maps</v>
      </c>
      <c r="M2325" t="s">
        <v>16556</v>
      </c>
      <c r="N2325" s="5"/>
      <c r="O2325" t="str">
        <f>VLOOKUP(G2325,'[1]CONFIG.'!$B:$C,2,0)</f>
        <v>NEILTON</v>
      </c>
      <c r="P2325" t="str">
        <f>VLOOKUP(O2325,'[1]CONFIG.'!$C:$D,2,0)</f>
        <v>74 99857115</v>
      </c>
    </row>
    <row r="2326" spans="1:16" x14ac:dyDescent="0.3">
      <c r="A2326" t="s">
        <v>16557</v>
      </c>
      <c r="B2326" t="s">
        <v>16558</v>
      </c>
      <c r="C2326" t="s">
        <v>16559</v>
      </c>
      <c r="D2326" t="s">
        <v>3881</v>
      </c>
      <c r="E2326" t="s">
        <v>16560</v>
      </c>
      <c r="F2326" t="s">
        <v>137</v>
      </c>
      <c r="G2326">
        <v>214</v>
      </c>
      <c r="H2326">
        <v>200</v>
      </c>
      <c r="I2326" s="5" t="s">
        <v>16561</v>
      </c>
      <c r="J2326" s="5" t="s">
        <v>16562</v>
      </c>
      <c r="K2326" s="5" t="str">
        <f t="shared" si="72"/>
        <v>https://www.google.com/maps?q=-10.818736, -42.731358</v>
      </c>
      <c r="L2326" s="5" t="str">
        <f t="shared" si="73"/>
        <v>Abrir no Maps</v>
      </c>
      <c r="M2326" t="s">
        <v>16563</v>
      </c>
      <c r="N2326" s="5"/>
      <c r="O2326" t="str">
        <f>VLOOKUP(G2326,'[1]CONFIG.'!$B:$C,2,0)</f>
        <v>GEOVANA</v>
      </c>
      <c r="P2326" t="str">
        <f>VLOOKUP(O2326,'[1]CONFIG.'!$C:$D,2,0)</f>
        <v>74 99523491</v>
      </c>
    </row>
    <row r="2327" spans="1:16" x14ac:dyDescent="0.3">
      <c r="A2327" t="s">
        <v>16564</v>
      </c>
      <c r="B2327" t="s">
        <v>16565</v>
      </c>
      <c r="C2327" t="s">
        <v>16566</v>
      </c>
      <c r="D2327" t="s">
        <v>3881</v>
      </c>
      <c r="E2327" t="s">
        <v>16567</v>
      </c>
      <c r="F2327" t="s">
        <v>137</v>
      </c>
      <c r="G2327">
        <v>214</v>
      </c>
      <c r="H2327">
        <v>200</v>
      </c>
      <c r="I2327" s="5" t="s">
        <v>16568</v>
      </c>
      <c r="J2327" s="5" t="s">
        <v>16569</v>
      </c>
      <c r="K2327" s="5" t="str">
        <f t="shared" si="72"/>
        <v>https://www.google.com/maps?q=-10.827071, -42.727036</v>
      </c>
      <c r="L2327" s="5" t="str">
        <f t="shared" si="73"/>
        <v>Abrir no Maps</v>
      </c>
      <c r="M2327" t="s">
        <v>16570</v>
      </c>
      <c r="N2327" s="5"/>
      <c r="O2327" t="str">
        <f>VLOOKUP(G2327,'[1]CONFIG.'!$B:$C,2,0)</f>
        <v>GEOVANA</v>
      </c>
      <c r="P2327" t="str">
        <f>VLOOKUP(O2327,'[1]CONFIG.'!$C:$D,2,0)</f>
        <v>74 99523491</v>
      </c>
    </row>
    <row r="2328" spans="1:16" x14ac:dyDescent="0.3">
      <c r="A2328" t="s">
        <v>16571</v>
      </c>
      <c r="B2328" t="s">
        <v>16572</v>
      </c>
      <c r="C2328" t="s">
        <v>16573</v>
      </c>
      <c r="D2328" t="s">
        <v>3881</v>
      </c>
      <c r="E2328" t="s">
        <v>16574</v>
      </c>
      <c r="F2328" t="s">
        <v>16575</v>
      </c>
      <c r="G2328">
        <v>208</v>
      </c>
      <c r="H2328">
        <v>200</v>
      </c>
      <c r="I2328" s="5" t="s">
        <v>16576</v>
      </c>
      <c r="J2328" s="5" t="s">
        <v>16577</v>
      </c>
      <c r="K2328" s="5" t="str">
        <f t="shared" si="72"/>
        <v>https://www.google.com/maps?q=-10.817252, -42.717965</v>
      </c>
      <c r="L2328" s="5" t="str">
        <f t="shared" si="73"/>
        <v>Abrir no Maps</v>
      </c>
      <c r="M2328" t="s">
        <v>16578</v>
      </c>
      <c r="N2328" s="5"/>
      <c r="O2328" t="str">
        <f>VLOOKUP(G2328,'[1]CONFIG.'!$B:$C,2,0)</f>
        <v>NEILTON</v>
      </c>
      <c r="P2328" t="str">
        <f>VLOOKUP(O2328,'[1]CONFIG.'!$C:$D,2,0)</f>
        <v>74 99857115</v>
      </c>
    </row>
    <row r="2329" spans="1:16" x14ac:dyDescent="0.3">
      <c r="A2329" t="s">
        <v>16579</v>
      </c>
      <c r="B2329" t="s">
        <v>16580</v>
      </c>
      <c r="C2329" t="s">
        <v>16581</v>
      </c>
      <c r="D2329" t="s">
        <v>3881</v>
      </c>
      <c r="E2329" t="s">
        <v>16582</v>
      </c>
      <c r="F2329" t="s">
        <v>15637</v>
      </c>
      <c r="G2329">
        <v>214</v>
      </c>
      <c r="H2329">
        <v>200</v>
      </c>
      <c r="I2329" s="5" t="s">
        <v>16583</v>
      </c>
      <c r="J2329" s="5" t="s">
        <v>16584</v>
      </c>
      <c r="K2329" s="5" t="str">
        <f t="shared" si="72"/>
        <v>https://www.google.com/maps?q=-10.828649, -42.722622</v>
      </c>
      <c r="L2329" s="5" t="str">
        <f t="shared" si="73"/>
        <v>Abrir no Maps</v>
      </c>
      <c r="M2329" t="s">
        <v>16585</v>
      </c>
      <c r="N2329" s="5"/>
      <c r="O2329" t="str">
        <f>VLOOKUP(G2329,'[1]CONFIG.'!$B:$C,2,0)</f>
        <v>GEOVANA</v>
      </c>
      <c r="P2329" t="str">
        <f>VLOOKUP(O2329,'[1]CONFIG.'!$C:$D,2,0)</f>
        <v>74 99523491</v>
      </c>
    </row>
    <row r="2330" spans="1:16" x14ac:dyDescent="0.3">
      <c r="A2330" t="s">
        <v>16586</v>
      </c>
      <c r="B2330" t="s">
        <v>16587</v>
      </c>
      <c r="C2330" t="s">
        <v>16588</v>
      </c>
      <c r="D2330" t="s">
        <v>3881</v>
      </c>
      <c r="E2330" t="s">
        <v>16589</v>
      </c>
      <c r="F2330" t="s">
        <v>137</v>
      </c>
      <c r="G2330">
        <v>208</v>
      </c>
      <c r="H2330">
        <v>200</v>
      </c>
      <c r="I2330" s="5" t="s">
        <v>16590</v>
      </c>
      <c r="J2330" s="5" t="s">
        <v>16591</v>
      </c>
      <c r="K2330" s="5" t="str">
        <f t="shared" si="72"/>
        <v>https://www.google.com/maps?q=-10.829999, -42.731310</v>
      </c>
      <c r="L2330" s="5" t="str">
        <f t="shared" si="73"/>
        <v>Abrir no Maps</v>
      </c>
      <c r="M2330" t="s">
        <v>16592</v>
      </c>
      <c r="N2330" s="5"/>
      <c r="O2330" t="str">
        <f>VLOOKUP(G2330,'[1]CONFIG.'!$B:$C,2,0)</f>
        <v>NEILTON</v>
      </c>
      <c r="P2330" t="str">
        <f>VLOOKUP(O2330,'[1]CONFIG.'!$C:$D,2,0)</f>
        <v>74 99857115</v>
      </c>
    </row>
    <row r="2331" spans="1:16" x14ac:dyDescent="0.3">
      <c r="A2331" t="s">
        <v>16593</v>
      </c>
      <c r="B2331" t="s">
        <v>16594</v>
      </c>
      <c r="C2331" t="s">
        <v>16595</v>
      </c>
      <c r="D2331" t="s">
        <v>3881</v>
      </c>
      <c r="E2331" t="s">
        <v>16596</v>
      </c>
      <c r="F2331" t="s">
        <v>137</v>
      </c>
      <c r="G2331">
        <v>214</v>
      </c>
      <c r="H2331">
        <v>200</v>
      </c>
      <c r="I2331" s="5" t="s">
        <v>16597</v>
      </c>
      <c r="J2331" s="5" t="s">
        <v>16598</v>
      </c>
      <c r="K2331" s="5" t="str">
        <f t="shared" si="72"/>
        <v>https://www.google.com/maps?q=-10.818258, -42.727875</v>
      </c>
      <c r="L2331" s="5" t="str">
        <f t="shared" si="73"/>
        <v>Abrir no Maps</v>
      </c>
      <c r="M2331" t="s">
        <v>16599</v>
      </c>
      <c r="N2331" s="5"/>
      <c r="O2331" t="str">
        <f>VLOOKUP(G2331,'[1]CONFIG.'!$B:$C,2,0)</f>
        <v>GEOVANA</v>
      </c>
      <c r="P2331" t="str">
        <f>VLOOKUP(O2331,'[1]CONFIG.'!$C:$D,2,0)</f>
        <v>74 99523491</v>
      </c>
    </row>
    <row r="2332" spans="1:16" x14ac:dyDescent="0.3">
      <c r="A2332" t="s">
        <v>16600</v>
      </c>
      <c r="B2332" t="s">
        <v>16601</v>
      </c>
      <c r="C2332" t="s">
        <v>16602</v>
      </c>
      <c r="D2332" t="s">
        <v>3881</v>
      </c>
      <c r="E2332" t="s">
        <v>16603</v>
      </c>
      <c r="F2332" t="s">
        <v>137</v>
      </c>
      <c r="G2332">
        <v>208</v>
      </c>
      <c r="H2332">
        <v>200</v>
      </c>
      <c r="I2332" s="5" t="s">
        <v>16604</v>
      </c>
      <c r="J2332" s="5" t="s">
        <v>16605</v>
      </c>
      <c r="K2332" s="5" t="str">
        <f t="shared" si="72"/>
        <v>https://www.google.com/maps?q=-10.827692, -42.731537</v>
      </c>
      <c r="L2332" s="5" t="str">
        <f t="shared" si="73"/>
        <v>Abrir no Maps</v>
      </c>
      <c r="M2332" t="s">
        <v>16606</v>
      </c>
      <c r="N2332" s="5"/>
      <c r="O2332" t="str">
        <f>VLOOKUP(G2332,'[1]CONFIG.'!$B:$C,2,0)</f>
        <v>NEILTON</v>
      </c>
      <c r="P2332" t="str">
        <f>VLOOKUP(O2332,'[1]CONFIG.'!$C:$D,2,0)</f>
        <v>74 99857115</v>
      </c>
    </row>
    <row r="2333" spans="1:16" x14ac:dyDescent="0.3">
      <c r="A2333" t="s">
        <v>16607</v>
      </c>
      <c r="B2333" t="s">
        <v>16608</v>
      </c>
      <c r="C2333" t="s">
        <v>16609</v>
      </c>
      <c r="D2333" t="s">
        <v>3881</v>
      </c>
      <c r="E2333" t="s">
        <v>16610</v>
      </c>
      <c r="F2333" t="s">
        <v>137</v>
      </c>
      <c r="G2333">
        <v>214</v>
      </c>
      <c r="H2333">
        <v>200</v>
      </c>
      <c r="I2333" s="5" t="s">
        <v>16611</v>
      </c>
      <c r="J2333" s="5" t="s">
        <v>16555</v>
      </c>
      <c r="K2333" s="5" t="str">
        <f t="shared" si="72"/>
        <v>https://www.google.com/maps?q=-10.825317, -42.727720</v>
      </c>
      <c r="L2333" s="5" t="str">
        <f t="shared" si="73"/>
        <v>Abrir no Maps</v>
      </c>
      <c r="M2333" t="s">
        <v>16612</v>
      </c>
      <c r="N2333" s="5"/>
      <c r="O2333" t="str">
        <f>VLOOKUP(G2333,'[1]CONFIG.'!$B:$C,2,0)</f>
        <v>GEOVANA</v>
      </c>
      <c r="P2333" t="str">
        <f>VLOOKUP(O2333,'[1]CONFIG.'!$C:$D,2,0)</f>
        <v>74 99523491</v>
      </c>
    </row>
    <row r="2334" spans="1:16" x14ac:dyDescent="0.3">
      <c r="A2334" t="s">
        <v>16613</v>
      </c>
      <c r="B2334" t="s">
        <v>16614</v>
      </c>
      <c r="C2334" t="s">
        <v>16615</v>
      </c>
      <c r="D2334" t="s">
        <v>3881</v>
      </c>
      <c r="E2334" t="s">
        <v>16616</v>
      </c>
      <c r="F2334" t="s">
        <v>137</v>
      </c>
      <c r="G2334">
        <v>214</v>
      </c>
      <c r="H2334">
        <v>200</v>
      </c>
      <c r="I2334" s="5" t="s">
        <v>16617</v>
      </c>
      <c r="J2334" s="5" t="s">
        <v>16618</v>
      </c>
      <c r="K2334" s="5" t="str">
        <f t="shared" si="72"/>
        <v>https://www.google.com/maps?q=-10.822478, -42.732647</v>
      </c>
      <c r="L2334" s="5" t="str">
        <f t="shared" si="73"/>
        <v>Abrir no Maps</v>
      </c>
      <c r="M2334" t="s">
        <v>16619</v>
      </c>
      <c r="N2334" s="5"/>
      <c r="O2334" t="str">
        <f>VLOOKUP(G2334,'[1]CONFIG.'!$B:$C,2,0)</f>
        <v>GEOVANA</v>
      </c>
      <c r="P2334" t="str">
        <f>VLOOKUP(O2334,'[1]CONFIG.'!$C:$D,2,0)</f>
        <v>74 99523491</v>
      </c>
    </row>
    <row r="2335" spans="1:16" x14ac:dyDescent="0.3">
      <c r="A2335" t="s">
        <v>16620</v>
      </c>
      <c r="B2335" t="s">
        <v>16621</v>
      </c>
      <c r="C2335" t="s">
        <v>16622</v>
      </c>
      <c r="D2335" t="s">
        <v>3881</v>
      </c>
      <c r="E2335" t="s">
        <v>16623</v>
      </c>
      <c r="F2335" t="s">
        <v>16624</v>
      </c>
      <c r="G2335">
        <v>214</v>
      </c>
      <c r="H2335">
        <v>200</v>
      </c>
      <c r="I2335" s="5" t="s">
        <v>16625</v>
      </c>
      <c r="J2335" s="5" t="s">
        <v>16626</v>
      </c>
      <c r="K2335" s="5" t="str">
        <f t="shared" si="72"/>
        <v>https://www.google.com/maps?q=-10.819865, -42.716614</v>
      </c>
      <c r="L2335" s="5" t="str">
        <f t="shared" si="73"/>
        <v>Abrir no Maps</v>
      </c>
      <c r="M2335" t="s">
        <v>16627</v>
      </c>
      <c r="N2335" s="5"/>
      <c r="O2335" t="str">
        <f>VLOOKUP(G2335,'[1]CONFIG.'!$B:$C,2,0)</f>
        <v>GEOVANA</v>
      </c>
      <c r="P2335" t="str">
        <f>VLOOKUP(O2335,'[1]CONFIG.'!$C:$D,2,0)</f>
        <v>74 99523491</v>
      </c>
    </row>
    <row r="2336" spans="1:16" x14ac:dyDescent="0.3">
      <c r="A2336" t="s">
        <v>16628</v>
      </c>
      <c r="B2336" t="s">
        <v>16629</v>
      </c>
      <c r="C2336" t="s">
        <v>16630</v>
      </c>
      <c r="D2336" t="s">
        <v>3881</v>
      </c>
      <c r="E2336" t="s">
        <v>16631</v>
      </c>
      <c r="F2336" t="s">
        <v>137</v>
      </c>
      <c r="G2336">
        <v>208</v>
      </c>
      <c r="H2336">
        <v>200</v>
      </c>
      <c r="I2336" s="5" t="s">
        <v>16632</v>
      </c>
      <c r="J2336" s="5" t="s">
        <v>16633</v>
      </c>
      <c r="K2336" s="5" t="str">
        <f t="shared" si="72"/>
        <v>https://www.google.com/maps?q=-10.822866, -42.731170</v>
      </c>
      <c r="L2336" s="5" t="str">
        <f t="shared" si="73"/>
        <v>Abrir no Maps</v>
      </c>
      <c r="M2336" t="s">
        <v>16634</v>
      </c>
      <c r="N2336" s="5"/>
      <c r="O2336" t="str">
        <f>VLOOKUP(G2336,'[1]CONFIG.'!$B:$C,2,0)</f>
        <v>NEILTON</v>
      </c>
      <c r="P2336" t="str">
        <f>VLOOKUP(O2336,'[1]CONFIG.'!$C:$D,2,0)</f>
        <v>74 99857115</v>
      </c>
    </row>
    <row r="2337" spans="1:16" x14ac:dyDescent="0.3">
      <c r="A2337" t="s">
        <v>16635</v>
      </c>
      <c r="B2337" t="s">
        <v>16636</v>
      </c>
      <c r="C2337" t="s">
        <v>16637</v>
      </c>
      <c r="D2337" t="s">
        <v>3881</v>
      </c>
      <c r="E2337" t="s">
        <v>16638</v>
      </c>
      <c r="F2337" t="s">
        <v>137</v>
      </c>
      <c r="G2337">
        <v>214</v>
      </c>
      <c r="H2337">
        <v>200</v>
      </c>
      <c r="I2337" s="5" t="s">
        <v>16639</v>
      </c>
      <c r="J2337" s="5" t="s">
        <v>16640</v>
      </c>
      <c r="K2337" s="5" t="str">
        <f t="shared" si="72"/>
        <v>https://www.google.com/maps?q=-10.830534, -42.731230</v>
      </c>
      <c r="L2337" s="5" t="str">
        <f t="shared" si="73"/>
        <v>Abrir no Maps</v>
      </c>
      <c r="M2337" t="s">
        <v>16641</v>
      </c>
      <c r="N2337" s="5"/>
      <c r="O2337" t="str">
        <f>VLOOKUP(G2337,'[1]CONFIG.'!$B:$C,2,0)</f>
        <v>GEOVANA</v>
      </c>
      <c r="P2337" t="str">
        <f>VLOOKUP(O2337,'[1]CONFIG.'!$C:$D,2,0)</f>
        <v>74 99523491</v>
      </c>
    </row>
    <row r="2338" spans="1:16" x14ac:dyDescent="0.3">
      <c r="A2338" t="s">
        <v>16642</v>
      </c>
      <c r="B2338" t="s">
        <v>16643</v>
      </c>
      <c r="C2338" t="s">
        <v>16644</v>
      </c>
      <c r="D2338" t="s">
        <v>3881</v>
      </c>
      <c r="E2338" t="s">
        <v>16645</v>
      </c>
      <c r="F2338" t="s">
        <v>137</v>
      </c>
      <c r="G2338">
        <v>214</v>
      </c>
      <c r="H2338">
        <v>200</v>
      </c>
      <c r="I2338" s="5" t="s">
        <v>16646</v>
      </c>
      <c r="J2338" s="5" t="s">
        <v>16647</v>
      </c>
      <c r="K2338" s="5" t="str">
        <f t="shared" si="72"/>
        <v>https://www.google.com/maps?q=-10.824881, -42.726643</v>
      </c>
      <c r="L2338" s="5" t="str">
        <f t="shared" si="73"/>
        <v>Abrir no Maps</v>
      </c>
      <c r="M2338" t="s">
        <v>16648</v>
      </c>
      <c r="N2338" s="5"/>
      <c r="O2338" t="str">
        <f>VLOOKUP(G2338,'[1]CONFIG.'!$B:$C,2,0)</f>
        <v>GEOVANA</v>
      </c>
      <c r="P2338" t="str">
        <f>VLOOKUP(O2338,'[1]CONFIG.'!$C:$D,2,0)</f>
        <v>74 99523491</v>
      </c>
    </row>
    <row r="2339" spans="1:16" x14ac:dyDescent="0.3">
      <c r="A2339" t="s">
        <v>16649</v>
      </c>
      <c r="B2339" t="s">
        <v>16650</v>
      </c>
      <c r="C2339" t="s">
        <v>16651</v>
      </c>
      <c r="D2339" t="s">
        <v>3881</v>
      </c>
      <c r="E2339" t="s">
        <v>16652</v>
      </c>
      <c r="F2339" t="s">
        <v>137</v>
      </c>
      <c r="G2339">
        <v>214</v>
      </c>
      <c r="H2339">
        <v>200</v>
      </c>
      <c r="I2339" s="5" t="s">
        <v>16653</v>
      </c>
      <c r="J2339" s="5" t="s">
        <v>16654</v>
      </c>
      <c r="K2339" s="5" t="str">
        <f t="shared" si="72"/>
        <v>https://www.google.com/maps?q=-10.828306, -42.730670</v>
      </c>
      <c r="L2339" s="5" t="str">
        <f t="shared" si="73"/>
        <v>Abrir no Maps</v>
      </c>
      <c r="M2339" t="s">
        <v>16655</v>
      </c>
      <c r="N2339" s="5"/>
      <c r="O2339" t="str">
        <f>VLOOKUP(G2339,'[1]CONFIG.'!$B:$C,2,0)</f>
        <v>GEOVANA</v>
      </c>
      <c r="P2339" t="str">
        <f>VLOOKUP(O2339,'[1]CONFIG.'!$C:$D,2,0)</f>
        <v>74 99523491</v>
      </c>
    </row>
    <row r="2340" spans="1:16" x14ac:dyDescent="0.3">
      <c r="A2340" t="s">
        <v>16656</v>
      </c>
      <c r="B2340" t="s">
        <v>16657</v>
      </c>
      <c r="C2340" t="s">
        <v>16658</v>
      </c>
      <c r="D2340" t="s">
        <v>3881</v>
      </c>
      <c r="E2340" t="s">
        <v>16659</v>
      </c>
      <c r="F2340" t="s">
        <v>137</v>
      </c>
      <c r="G2340">
        <v>214</v>
      </c>
      <c r="H2340">
        <v>200</v>
      </c>
      <c r="I2340" s="5" t="s">
        <v>16660</v>
      </c>
      <c r="J2340" s="5" t="s">
        <v>16661</v>
      </c>
      <c r="K2340" s="5" t="str">
        <f t="shared" si="72"/>
        <v>https://www.google.com/maps?q=-10.820684, -42.725956</v>
      </c>
      <c r="L2340" s="5" t="str">
        <f t="shared" si="73"/>
        <v>Abrir no Maps</v>
      </c>
      <c r="M2340" t="s">
        <v>16662</v>
      </c>
      <c r="N2340" s="5"/>
      <c r="O2340" t="str">
        <f>VLOOKUP(G2340,'[1]CONFIG.'!$B:$C,2,0)</f>
        <v>GEOVANA</v>
      </c>
      <c r="P2340" t="str">
        <f>VLOOKUP(O2340,'[1]CONFIG.'!$C:$D,2,0)</f>
        <v>74 99523491</v>
      </c>
    </row>
    <row r="2341" spans="1:16" x14ac:dyDescent="0.3">
      <c r="A2341" t="s">
        <v>16663</v>
      </c>
      <c r="B2341" t="s">
        <v>16664</v>
      </c>
      <c r="C2341" t="s">
        <v>16665</v>
      </c>
      <c r="D2341" t="s">
        <v>3881</v>
      </c>
      <c r="E2341" t="s">
        <v>16666</v>
      </c>
      <c r="F2341" t="s">
        <v>137</v>
      </c>
      <c r="G2341">
        <v>214</v>
      </c>
      <c r="H2341">
        <v>200</v>
      </c>
      <c r="I2341" s="5" t="s">
        <v>16667</v>
      </c>
      <c r="J2341" s="5" t="s">
        <v>16668</v>
      </c>
      <c r="K2341" s="5" t="str">
        <f t="shared" si="72"/>
        <v>https://www.google.com/maps?q=-10.820660, -42.730812</v>
      </c>
      <c r="L2341" s="5" t="str">
        <f t="shared" si="73"/>
        <v>Abrir no Maps</v>
      </c>
      <c r="M2341" t="s">
        <v>16669</v>
      </c>
      <c r="N2341" s="5"/>
      <c r="O2341" t="str">
        <f>VLOOKUP(G2341,'[1]CONFIG.'!$B:$C,2,0)</f>
        <v>GEOVANA</v>
      </c>
      <c r="P2341" t="str">
        <f>VLOOKUP(O2341,'[1]CONFIG.'!$C:$D,2,0)</f>
        <v>74 99523491</v>
      </c>
    </row>
    <row r="2342" spans="1:16" x14ac:dyDescent="0.3">
      <c r="A2342" t="s">
        <v>16670</v>
      </c>
      <c r="B2342" t="s">
        <v>16671</v>
      </c>
      <c r="C2342" t="s">
        <v>16672</v>
      </c>
      <c r="D2342" t="s">
        <v>3881</v>
      </c>
      <c r="E2342" t="s">
        <v>16673</v>
      </c>
      <c r="F2342" t="s">
        <v>137</v>
      </c>
      <c r="G2342">
        <v>214</v>
      </c>
      <c r="H2342">
        <v>200</v>
      </c>
      <c r="I2342" s="5" t="s">
        <v>16674</v>
      </c>
      <c r="J2342" s="5" t="s">
        <v>16675</v>
      </c>
      <c r="K2342" s="5" t="str">
        <f t="shared" si="72"/>
        <v>https://www.google.com/maps?q=-10.820232, -42.729890</v>
      </c>
      <c r="L2342" s="5" t="str">
        <f t="shared" si="73"/>
        <v>Abrir no Maps</v>
      </c>
      <c r="M2342" t="s">
        <v>16676</v>
      </c>
      <c r="N2342" s="5"/>
      <c r="O2342" t="str">
        <f>VLOOKUP(G2342,'[1]CONFIG.'!$B:$C,2,0)</f>
        <v>GEOVANA</v>
      </c>
      <c r="P2342" t="str">
        <f>VLOOKUP(O2342,'[1]CONFIG.'!$C:$D,2,0)</f>
        <v>74 99523491</v>
      </c>
    </row>
    <row r="2343" spans="1:16" x14ac:dyDescent="0.3">
      <c r="A2343" t="s">
        <v>16677</v>
      </c>
      <c r="B2343" t="s">
        <v>16678</v>
      </c>
      <c r="C2343" t="s">
        <v>16679</v>
      </c>
      <c r="D2343" t="s">
        <v>3881</v>
      </c>
      <c r="E2343" t="s">
        <v>16680</v>
      </c>
      <c r="F2343" t="s">
        <v>16681</v>
      </c>
      <c r="G2343">
        <v>214</v>
      </c>
      <c r="H2343">
        <v>200</v>
      </c>
      <c r="I2343" s="5" t="s">
        <v>16682</v>
      </c>
      <c r="J2343" s="5" t="s">
        <v>16683</v>
      </c>
      <c r="K2343" s="5" t="str">
        <f t="shared" si="72"/>
        <v>https://www.google.com/maps?q=-10.818908, -42.713920</v>
      </c>
      <c r="L2343" s="5" t="str">
        <f t="shared" si="73"/>
        <v>Abrir no Maps</v>
      </c>
      <c r="M2343" t="s">
        <v>16684</v>
      </c>
      <c r="N2343" s="5"/>
      <c r="O2343" t="str">
        <f>VLOOKUP(G2343,'[1]CONFIG.'!$B:$C,2,0)</f>
        <v>GEOVANA</v>
      </c>
      <c r="P2343" t="str">
        <f>VLOOKUP(O2343,'[1]CONFIG.'!$C:$D,2,0)</f>
        <v>74 99523491</v>
      </c>
    </row>
    <row r="2344" spans="1:16" x14ac:dyDescent="0.3">
      <c r="A2344" t="s">
        <v>16685</v>
      </c>
      <c r="B2344" t="s">
        <v>16686</v>
      </c>
      <c r="C2344" t="s">
        <v>16687</v>
      </c>
      <c r="D2344" t="s">
        <v>3881</v>
      </c>
      <c r="E2344" t="s">
        <v>16688</v>
      </c>
      <c r="F2344" t="s">
        <v>16518</v>
      </c>
      <c r="G2344">
        <v>214</v>
      </c>
      <c r="H2344">
        <v>200</v>
      </c>
      <c r="I2344" s="5" t="s">
        <v>16689</v>
      </c>
      <c r="J2344" s="5" t="s">
        <v>16690</v>
      </c>
      <c r="K2344" s="5" t="str">
        <f t="shared" si="72"/>
        <v>https://www.google.com/maps?q=-10.828698, -42.714920</v>
      </c>
      <c r="L2344" s="5" t="str">
        <f t="shared" si="73"/>
        <v>Abrir no Maps</v>
      </c>
      <c r="M2344" t="s">
        <v>16691</v>
      </c>
      <c r="N2344" s="5"/>
      <c r="O2344" t="str">
        <f>VLOOKUP(G2344,'[1]CONFIG.'!$B:$C,2,0)</f>
        <v>GEOVANA</v>
      </c>
      <c r="P2344" t="str">
        <f>VLOOKUP(O2344,'[1]CONFIG.'!$C:$D,2,0)</f>
        <v>74 99523491</v>
      </c>
    </row>
    <row r="2345" spans="1:16" x14ac:dyDescent="0.3">
      <c r="A2345" t="s">
        <v>16692</v>
      </c>
      <c r="B2345" t="s">
        <v>16693</v>
      </c>
      <c r="C2345" t="s">
        <v>16694</v>
      </c>
      <c r="D2345" t="s">
        <v>3881</v>
      </c>
      <c r="E2345" t="s">
        <v>16695</v>
      </c>
      <c r="F2345" t="s">
        <v>137</v>
      </c>
      <c r="G2345">
        <v>208</v>
      </c>
      <c r="H2345">
        <v>200</v>
      </c>
      <c r="I2345" s="5" t="s">
        <v>16696</v>
      </c>
      <c r="J2345" s="5" t="s">
        <v>16697</v>
      </c>
      <c r="K2345" s="5" t="str">
        <f t="shared" si="72"/>
        <v>https://www.google.com/maps?q=-10.824203, -42.724979</v>
      </c>
      <c r="L2345" s="5" t="str">
        <f t="shared" si="73"/>
        <v>Abrir no Maps</v>
      </c>
      <c r="M2345" t="s">
        <v>16698</v>
      </c>
      <c r="N2345" s="5"/>
      <c r="O2345" t="str">
        <f>VLOOKUP(G2345,'[1]CONFIG.'!$B:$C,2,0)</f>
        <v>NEILTON</v>
      </c>
      <c r="P2345" t="str">
        <f>VLOOKUP(O2345,'[1]CONFIG.'!$C:$D,2,0)</f>
        <v>74 99857115</v>
      </c>
    </row>
    <row r="2346" spans="1:16" x14ac:dyDescent="0.3">
      <c r="A2346" t="s">
        <v>16699</v>
      </c>
      <c r="B2346" t="s">
        <v>16700</v>
      </c>
      <c r="C2346" t="s">
        <v>16701</v>
      </c>
      <c r="D2346" t="s">
        <v>3881</v>
      </c>
      <c r="E2346" t="s">
        <v>16702</v>
      </c>
      <c r="F2346" t="s">
        <v>16703</v>
      </c>
      <c r="G2346">
        <v>214</v>
      </c>
      <c r="H2346">
        <v>200</v>
      </c>
      <c r="I2346" s="5" t="s">
        <v>16704</v>
      </c>
      <c r="J2346" s="5" t="s">
        <v>16705</v>
      </c>
      <c r="K2346" s="5" t="str">
        <f t="shared" si="72"/>
        <v>https://www.google.com/maps?q=-10.828018, -42.724792</v>
      </c>
      <c r="L2346" s="5" t="str">
        <f t="shared" si="73"/>
        <v>Abrir no Maps</v>
      </c>
      <c r="M2346" t="s">
        <v>16706</v>
      </c>
      <c r="N2346" s="5"/>
      <c r="O2346" t="str">
        <f>VLOOKUP(G2346,'[1]CONFIG.'!$B:$C,2,0)</f>
        <v>GEOVANA</v>
      </c>
      <c r="P2346" t="str">
        <f>VLOOKUP(O2346,'[1]CONFIG.'!$C:$D,2,0)</f>
        <v>74 99523491</v>
      </c>
    </row>
    <row r="2347" spans="1:16" x14ac:dyDescent="0.3">
      <c r="A2347" t="s">
        <v>16707</v>
      </c>
      <c r="B2347" t="s">
        <v>16708</v>
      </c>
      <c r="C2347" t="s">
        <v>16709</v>
      </c>
      <c r="D2347" t="s">
        <v>3881</v>
      </c>
      <c r="E2347" t="s">
        <v>16710</v>
      </c>
      <c r="F2347" t="s">
        <v>137</v>
      </c>
      <c r="G2347">
        <v>214</v>
      </c>
      <c r="H2347">
        <v>200</v>
      </c>
      <c r="I2347" s="5" t="s">
        <v>16711</v>
      </c>
      <c r="J2347" s="5" t="s">
        <v>16712</v>
      </c>
      <c r="K2347" s="5" t="str">
        <f t="shared" si="72"/>
        <v>https://www.google.com/maps?q=-10.821326, -42.731298</v>
      </c>
      <c r="L2347" s="5" t="str">
        <f t="shared" si="73"/>
        <v>Abrir no Maps</v>
      </c>
      <c r="M2347" t="s">
        <v>16713</v>
      </c>
      <c r="N2347" s="5"/>
      <c r="O2347" t="str">
        <f>VLOOKUP(G2347,'[1]CONFIG.'!$B:$C,2,0)</f>
        <v>GEOVANA</v>
      </c>
      <c r="P2347" t="str">
        <f>VLOOKUP(O2347,'[1]CONFIG.'!$C:$D,2,0)</f>
        <v>74 99523491</v>
      </c>
    </row>
    <row r="2348" spans="1:16" x14ac:dyDescent="0.3">
      <c r="A2348" t="s">
        <v>16714</v>
      </c>
      <c r="B2348" t="s">
        <v>16715</v>
      </c>
      <c r="C2348" t="s">
        <v>16716</v>
      </c>
      <c r="D2348" t="s">
        <v>3881</v>
      </c>
      <c r="E2348" t="s">
        <v>16717</v>
      </c>
      <c r="F2348" t="s">
        <v>137</v>
      </c>
      <c r="G2348">
        <v>208</v>
      </c>
      <c r="H2348">
        <v>200</v>
      </c>
      <c r="I2348" s="5" t="s">
        <v>16718</v>
      </c>
      <c r="J2348" s="5" t="s">
        <v>16719</v>
      </c>
      <c r="K2348" s="5" t="str">
        <f t="shared" si="72"/>
        <v>https://www.google.com/maps?q=-10.818821, -42.730593</v>
      </c>
      <c r="L2348" s="5" t="str">
        <f t="shared" si="73"/>
        <v>Abrir no Maps</v>
      </c>
      <c r="M2348" t="s">
        <v>16401</v>
      </c>
      <c r="N2348" s="5"/>
      <c r="O2348" t="str">
        <f>VLOOKUP(G2348,'[1]CONFIG.'!$B:$C,2,0)</f>
        <v>NEILTON</v>
      </c>
      <c r="P2348" t="str">
        <f>VLOOKUP(O2348,'[1]CONFIG.'!$C:$D,2,0)</f>
        <v>74 99857115</v>
      </c>
    </row>
    <row r="2349" spans="1:16" x14ac:dyDescent="0.3">
      <c r="A2349" t="s">
        <v>16720</v>
      </c>
      <c r="B2349" t="s">
        <v>16721</v>
      </c>
      <c r="C2349" t="s">
        <v>16722</v>
      </c>
      <c r="D2349" t="s">
        <v>3881</v>
      </c>
      <c r="E2349" t="s">
        <v>16723</v>
      </c>
      <c r="F2349" t="s">
        <v>137</v>
      </c>
      <c r="G2349">
        <v>208</v>
      </c>
      <c r="H2349">
        <v>200</v>
      </c>
      <c r="I2349" s="5" t="s">
        <v>16724</v>
      </c>
      <c r="J2349" s="5" t="s">
        <v>16725</v>
      </c>
      <c r="K2349" s="5" t="str">
        <f t="shared" si="72"/>
        <v>https://www.google.com/maps?q=-10.830948, -42.731338</v>
      </c>
      <c r="L2349" s="5" t="str">
        <f t="shared" si="73"/>
        <v>Abrir no Maps</v>
      </c>
      <c r="M2349" t="s">
        <v>16726</v>
      </c>
      <c r="N2349" s="5"/>
      <c r="O2349" t="str">
        <f>VLOOKUP(G2349,'[1]CONFIG.'!$B:$C,2,0)</f>
        <v>NEILTON</v>
      </c>
      <c r="P2349" t="str">
        <f>VLOOKUP(O2349,'[1]CONFIG.'!$C:$D,2,0)</f>
        <v>74 99857115</v>
      </c>
    </row>
    <row r="2350" spans="1:16" x14ac:dyDescent="0.3">
      <c r="A2350" t="s">
        <v>16727</v>
      </c>
      <c r="B2350" t="s">
        <v>16728</v>
      </c>
      <c r="C2350" t="s">
        <v>16729</v>
      </c>
      <c r="D2350" t="s">
        <v>3881</v>
      </c>
      <c r="E2350" t="s">
        <v>16730</v>
      </c>
      <c r="F2350" t="s">
        <v>137</v>
      </c>
      <c r="G2350">
        <v>214</v>
      </c>
      <c r="H2350">
        <v>200</v>
      </c>
      <c r="I2350" s="5" t="s">
        <v>16731</v>
      </c>
      <c r="J2350" s="5" t="s">
        <v>16732</v>
      </c>
      <c r="K2350" s="5" t="str">
        <f t="shared" si="72"/>
        <v>https://www.google.com/maps?q=-10.819840, -42.731429</v>
      </c>
      <c r="L2350" s="5" t="str">
        <f t="shared" si="73"/>
        <v>Abrir no Maps</v>
      </c>
      <c r="M2350" t="s">
        <v>16733</v>
      </c>
      <c r="N2350" s="5"/>
      <c r="O2350" t="str">
        <f>VLOOKUP(G2350,'[1]CONFIG.'!$B:$C,2,0)</f>
        <v>GEOVANA</v>
      </c>
      <c r="P2350" t="str">
        <f>VLOOKUP(O2350,'[1]CONFIG.'!$C:$D,2,0)</f>
        <v>74 99523491</v>
      </c>
    </row>
    <row r="2351" spans="1:16" x14ac:dyDescent="0.3">
      <c r="A2351" t="s">
        <v>16734</v>
      </c>
      <c r="B2351" t="s">
        <v>16735</v>
      </c>
      <c r="C2351" t="s">
        <v>16736</v>
      </c>
      <c r="D2351" t="s">
        <v>3881</v>
      </c>
      <c r="E2351" t="s">
        <v>16737</v>
      </c>
      <c r="F2351" t="s">
        <v>16738</v>
      </c>
      <c r="G2351">
        <v>214</v>
      </c>
      <c r="H2351">
        <v>200</v>
      </c>
      <c r="I2351" s="5" t="s">
        <v>16739</v>
      </c>
      <c r="J2351" s="5" t="s">
        <v>16740</v>
      </c>
      <c r="K2351" s="5" t="str">
        <f t="shared" si="72"/>
        <v>https://www.google.com/maps?q=-10.828901, -42.718277</v>
      </c>
      <c r="L2351" s="5" t="str">
        <f t="shared" si="73"/>
        <v>Abrir no Maps</v>
      </c>
      <c r="M2351" t="s">
        <v>16741</v>
      </c>
      <c r="N2351" s="5"/>
      <c r="O2351" t="str">
        <f>VLOOKUP(G2351,'[1]CONFIG.'!$B:$C,2,0)</f>
        <v>GEOVANA</v>
      </c>
      <c r="P2351" t="str">
        <f>VLOOKUP(O2351,'[1]CONFIG.'!$C:$D,2,0)</f>
        <v>74 99523491</v>
      </c>
    </row>
    <row r="2352" spans="1:16" x14ac:dyDescent="0.3">
      <c r="A2352" t="s">
        <v>16742</v>
      </c>
      <c r="B2352" t="s">
        <v>16743</v>
      </c>
      <c r="C2352" t="s">
        <v>16744</v>
      </c>
      <c r="D2352" t="s">
        <v>3881</v>
      </c>
      <c r="E2352" t="s">
        <v>16745</v>
      </c>
      <c r="F2352" t="s">
        <v>137</v>
      </c>
      <c r="G2352">
        <v>208</v>
      </c>
      <c r="H2352">
        <v>200</v>
      </c>
      <c r="I2352" s="5" t="s">
        <v>16746</v>
      </c>
      <c r="J2352" s="5" t="s">
        <v>16747</v>
      </c>
      <c r="K2352" s="5" t="str">
        <f t="shared" si="72"/>
        <v>https://www.google.com/maps?q=-10.822952, -42.732452</v>
      </c>
      <c r="L2352" s="5" t="str">
        <f t="shared" si="73"/>
        <v>Abrir no Maps</v>
      </c>
      <c r="M2352" t="s">
        <v>16748</v>
      </c>
      <c r="N2352" s="5"/>
      <c r="O2352" t="str">
        <f>VLOOKUP(G2352,'[1]CONFIG.'!$B:$C,2,0)</f>
        <v>NEILTON</v>
      </c>
      <c r="P2352" t="str">
        <f>VLOOKUP(O2352,'[1]CONFIG.'!$C:$D,2,0)</f>
        <v>74 99857115</v>
      </c>
    </row>
    <row r="2353" spans="1:16" x14ac:dyDescent="0.3">
      <c r="A2353" t="s">
        <v>16749</v>
      </c>
      <c r="B2353" t="s">
        <v>16750</v>
      </c>
      <c r="C2353" t="s">
        <v>16751</v>
      </c>
      <c r="D2353" t="s">
        <v>3881</v>
      </c>
      <c r="E2353" t="s">
        <v>16752</v>
      </c>
      <c r="F2353" t="s">
        <v>137</v>
      </c>
      <c r="G2353">
        <v>214</v>
      </c>
      <c r="H2353">
        <v>200</v>
      </c>
      <c r="I2353" s="5" t="s">
        <v>16753</v>
      </c>
      <c r="J2353" s="5" t="s">
        <v>16754</v>
      </c>
      <c r="K2353" s="5" t="str">
        <f t="shared" si="72"/>
        <v>https://www.google.com/maps?q=-10.822842, -42.731148</v>
      </c>
      <c r="L2353" s="5" t="str">
        <f t="shared" si="73"/>
        <v>Abrir no Maps</v>
      </c>
      <c r="M2353" t="s">
        <v>16755</v>
      </c>
      <c r="N2353" s="5"/>
      <c r="O2353" t="str">
        <f>VLOOKUP(G2353,'[1]CONFIG.'!$B:$C,2,0)</f>
        <v>GEOVANA</v>
      </c>
      <c r="P2353" t="str">
        <f>VLOOKUP(O2353,'[1]CONFIG.'!$C:$D,2,0)</f>
        <v>74 99523491</v>
      </c>
    </row>
    <row r="2354" spans="1:16" x14ac:dyDescent="0.3">
      <c r="A2354" t="s">
        <v>16756</v>
      </c>
      <c r="B2354" t="s">
        <v>16757</v>
      </c>
      <c r="C2354" t="s">
        <v>16758</v>
      </c>
      <c r="D2354" t="s">
        <v>3881</v>
      </c>
      <c r="E2354" t="s">
        <v>16759</v>
      </c>
      <c r="F2354" t="s">
        <v>15724</v>
      </c>
      <c r="G2354">
        <v>208</v>
      </c>
      <c r="H2354">
        <v>200</v>
      </c>
      <c r="I2354" s="5" t="s">
        <v>16760</v>
      </c>
      <c r="J2354" s="5" t="s">
        <v>16761</v>
      </c>
      <c r="K2354" s="5" t="str">
        <f t="shared" si="72"/>
        <v>https://www.google.com/maps?q=-10.820740, -42.717214</v>
      </c>
      <c r="L2354" s="5" t="str">
        <f t="shared" si="73"/>
        <v>Abrir no Maps</v>
      </c>
      <c r="M2354" t="s">
        <v>16762</v>
      </c>
      <c r="N2354" s="5"/>
      <c r="O2354" t="str">
        <f>VLOOKUP(G2354,'[1]CONFIG.'!$B:$C,2,0)</f>
        <v>NEILTON</v>
      </c>
      <c r="P2354" t="str">
        <f>VLOOKUP(O2354,'[1]CONFIG.'!$C:$D,2,0)</f>
        <v>74 99857115</v>
      </c>
    </row>
    <row r="2355" spans="1:16" x14ac:dyDescent="0.3">
      <c r="A2355" t="s">
        <v>16763</v>
      </c>
      <c r="B2355" t="s">
        <v>16764</v>
      </c>
      <c r="C2355" t="s">
        <v>16765</v>
      </c>
      <c r="D2355" t="s">
        <v>3881</v>
      </c>
      <c r="E2355" t="s">
        <v>16766</v>
      </c>
      <c r="F2355" t="s">
        <v>16518</v>
      </c>
      <c r="G2355">
        <v>214</v>
      </c>
      <c r="H2355">
        <v>200</v>
      </c>
      <c r="I2355" s="5" t="s">
        <v>16767</v>
      </c>
      <c r="J2355" s="5" t="s">
        <v>16768</v>
      </c>
      <c r="K2355" s="5" t="str">
        <f t="shared" si="72"/>
        <v>https://www.google.com/maps?q=-10.825353, -42.716214</v>
      </c>
      <c r="L2355" s="5" t="str">
        <f t="shared" si="73"/>
        <v>Abrir no Maps</v>
      </c>
      <c r="M2355" t="s">
        <v>16769</v>
      </c>
      <c r="N2355" s="5"/>
      <c r="O2355" t="str">
        <f>VLOOKUP(G2355,'[1]CONFIG.'!$B:$C,2,0)</f>
        <v>GEOVANA</v>
      </c>
      <c r="P2355" t="str">
        <f>VLOOKUP(O2355,'[1]CONFIG.'!$C:$D,2,0)</f>
        <v>74 99523491</v>
      </c>
    </row>
    <row r="2356" spans="1:16" x14ac:dyDescent="0.3">
      <c r="A2356" t="s">
        <v>16770</v>
      </c>
      <c r="B2356" t="s">
        <v>16771</v>
      </c>
      <c r="C2356" t="s">
        <v>16772</v>
      </c>
      <c r="D2356" t="s">
        <v>3881</v>
      </c>
      <c r="E2356" t="s">
        <v>16773</v>
      </c>
      <c r="F2356" t="s">
        <v>16518</v>
      </c>
      <c r="G2356">
        <v>214</v>
      </c>
      <c r="H2356">
        <v>200</v>
      </c>
      <c r="I2356" s="5" t="s">
        <v>16774</v>
      </c>
      <c r="J2356" s="5" t="s">
        <v>16775</v>
      </c>
      <c r="K2356" s="5" t="str">
        <f t="shared" si="72"/>
        <v>https://www.google.com/maps?q=-10.829693, -42.720365</v>
      </c>
      <c r="L2356" s="5" t="str">
        <f t="shared" si="73"/>
        <v>Abrir no Maps</v>
      </c>
      <c r="M2356" t="s">
        <v>16776</v>
      </c>
      <c r="N2356" s="5"/>
      <c r="O2356" t="str">
        <f>VLOOKUP(G2356,'[1]CONFIG.'!$B:$C,2,0)</f>
        <v>GEOVANA</v>
      </c>
      <c r="P2356" t="str">
        <f>VLOOKUP(O2356,'[1]CONFIG.'!$C:$D,2,0)</f>
        <v>74 99523491</v>
      </c>
    </row>
    <row r="2357" spans="1:16" x14ac:dyDescent="0.3">
      <c r="A2357" t="s">
        <v>16777</v>
      </c>
      <c r="B2357" t="s">
        <v>16778</v>
      </c>
      <c r="C2357" t="s">
        <v>16779</v>
      </c>
      <c r="D2357" t="s">
        <v>3881</v>
      </c>
      <c r="E2357" t="s">
        <v>16780</v>
      </c>
      <c r="F2357" t="s">
        <v>16518</v>
      </c>
      <c r="G2357">
        <v>214</v>
      </c>
      <c r="H2357">
        <v>200</v>
      </c>
      <c r="I2357" s="5" t="s">
        <v>16781</v>
      </c>
      <c r="J2357" s="5" t="s">
        <v>16782</v>
      </c>
      <c r="K2357" s="5" t="str">
        <f t="shared" si="72"/>
        <v>https://www.google.com/maps?q=-10.831355, -42.721876</v>
      </c>
      <c r="L2357" s="5" t="str">
        <f t="shared" si="73"/>
        <v>Abrir no Maps</v>
      </c>
      <c r="M2357" t="s">
        <v>16755</v>
      </c>
      <c r="N2357" s="5"/>
      <c r="O2357" t="str">
        <f>VLOOKUP(G2357,'[1]CONFIG.'!$B:$C,2,0)</f>
        <v>GEOVANA</v>
      </c>
      <c r="P2357" t="str">
        <f>VLOOKUP(O2357,'[1]CONFIG.'!$C:$D,2,0)</f>
        <v>74 99523491</v>
      </c>
    </row>
    <row r="2358" spans="1:16" x14ac:dyDescent="0.3">
      <c r="A2358" t="s">
        <v>16783</v>
      </c>
      <c r="B2358" t="s">
        <v>16784</v>
      </c>
      <c r="C2358" t="s">
        <v>16785</v>
      </c>
      <c r="D2358" t="s">
        <v>3881</v>
      </c>
      <c r="E2358" t="s">
        <v>16786</v>
      </c>
      <c r="F2358" t="s">
        <v>137</v>
      </c>
      <c r="G2358">
        <v>214</v>
      </c>
      <c r="H2358">
        <v>200</v>
      </c>
      <c r="I2358" s="5" t="s">
        <v>16787</v>
      </c>
      <c r="J2358" s="5" t="s">
        <v>16788</v>
      </c>
      <c r="K2358" s="5" t="str">
        <f t="shared" si="72"/>
        <v>https://www.google.com/maps?q=-10.822903, -42.725678</v>
      </c>
      <c r="L2358" s="5" t="str">
        <f t="shared" si="73"/>
        <v>Abrir no Maps</v>
      </c>
      <c r="M2358" t="s">
        <v>16789</v>
      </c>
      <c r="N2358" s="5"/>
      <c r="O2358" t="str">
        <f>VLOOKUP(G2358,'[1]CONFIG.'!$B:$C,2,0)</f>
        <v>GEOVANA</v>
      </c>
      <c r="P2358" t="str">
        <f>VLOOKUP(O2358,'[1]CONFIG.'!$C:$D,2,0)</f>
        <v>74 99523491</v>
      </c>
    </row>
    <row r="2359" spans="1:16" x14ac:dyDescent="0.3">
      <c r="A2359" t="s">
        <v>16790</v>
      </c>
      <c r="B2359" t="s">
        <v>16791</v>
      </c>
      <c r="C2359" t="s">
        <v>16792</v>
      </c>
      <c r="D2359" t="s">
        <v>3881</v>
      </c>
      <c r="E2359" t="s">
        <v>16793</v>
      </c>
      <c r="F2359" t="s">
        <v>6922</v>
      </c>
      <c r="G2359">
        <v>208</v>
      </c>
      <c r="H2359">
        <v>200</v>
      </c>
      <c r="I2359" s="5" t="s">
        <v>16794</v>
      </c>
      <c r="J2359" s="5" t="s">
        <v>16795</v>
      </c>
      <c r="K2359" s="5" t="str">
        <f t="shared" si="72"/>
        <v>https://www.google.com/maps?q=-11.403788, -42.664374</v>
      </c>
      <c r="L2359" s="5" t="str">
        <f t="shared" si="73"/>
        <v>Abrir no Maps</v>
      </c>
      <c r="M2359" t="s">
        <v>16796</v>
      </c>
      <c r="N2359" s="5"/>
      <c r="O2359" t="str">
        <f>VLOOKUP(G2359,'[1]CONFIG.'!$B:$C,2,0)</f>
        <v>NEILTON</v>
      </c>
      <c r="P2359" t="str">
        <f>VLOOKUP(O2359,'[1]CONFIG.'!$C:$D,2,0)</f>
        <v>74 99857115</v>
      </c>
    </row>
    <row r="2360" spans="1:16" x14ac:dyDescent="0.3">
      <c r="A2360" t="s">
        <v>16797</v>
      </c>
      <c r="B2360" t="s">
        <v>16798</v>
      </c>
      <c r="C2360" t="s">
        <v>16799</v>
      </c>
      <c r="D2360" t="s">
        <v>3881</v>
      </c>
      <c r="E2360" t="s">
        <v>16800</v>
      </c>
      <c r="F2360" t="s">
        <v>137</v>
      </c>
      <c r="G2360">
        <v>214</v>
      </c>
      <c r="H2360">
        <v>200</v>
      </c>
      <c r="I2360" s="5" t="s">
        <v>16801</v>
      </c>
      <c r="J2360" s="5" t="s">
        <v>16802</v>
      </c>
      <c r="K2360" s="5" t="str">
        <f t="shared" si="72"/>
        <v>https://www.google.com/maps?q=-10.829894, -42.723690</v>
      </c>
      <c r="L2360" s="5" t="str">
        <f t="shared" si="73"/>
        <v>Abrir no Maps</v>
      </c>
      <c r="M2360" t="s">
        <v>16803</v>
      </c>
      <c r="N2360" s="5"/>
      <c r="O2360" t="str">
        <f>VLOOKUP(G2360,'[1]CONFIG.'!$B:$C,2,0)</f>
        <v>GEOVANA</v>
      </c>
      <c r="P2360" t="str">
        <f>VLOOKUP(O2360,'[1]CONFIG.'!$C:$D,2,0)</f>
        <v>74 99523491</v>
      </c>
    </row>
    <row r="2361" spans="1:16" x14ac:dyDescent="0.3">
      <c r="A2361" t="s">
        <v>16804</v>
      </c>
      <c r="B2361" t="s">
        <v>16805</v>
      </c>
      <c r="C2361" t="s">
        <v>16806</v>
      </c>
      <c r="D2361" t="s">
        <v>3881</v>
      </c>
      <c r="E2361" t="s">
        <v>16807</v>
      </c>
      <c r="F2361" t="s">
        <v>15637</v>
      </c>
      <c r="G2361">
        <v>214</v>
      </c>
      <c r="H2361">
        <v>200</v>
      </c>
      <c r="I2361" s="5" t="s">
        <v>16808</v>
      </c>
      <c r="J2361" s="5" t="s">
        <v>16809</v>
      </c>
      <c r="K2361" s="5" t="str">
        <f t="shared" si="72"/>
        <v>https://www.google.com/maps?q=-10.831231, -42.727707</v>
      </c>
      <c r="L2361" s="5" t="str">
        <f t="shared" si="73"/>
        <v>Abrir no Maps</v>
      </c>
      <c r="M2361" t="s">
        <v>16810</v>
      </c>
      <c r="N2361" s="5"/>
      <c r="O2361" t="str">
        <f>VLOOKUP(G2361,'[1]CONFIG.'!$B:$C,2,0)</f>
        <v>GEOVANA</v>
      </c>
      <c r="P2361" t="str">
        <f>VLOOKUP(O2361,'[1]CONFIG.'!$C:$D,2,0)</f>
        <v>74 99523491</v>
      </c>
    </row>
    <row r="2362" spans="1:16" x14ac:dyDescent="0.3">
      <c r="A2362" t="s">
        <v>16811</v>
      </c>
      <c r="B2362" t="s">
        <v>16812</v>
      </c>
      <c r="C2362" t="s">
        <v>16813</v>
      </c>
      <c r="D2362" t="s">
        <v>3881</v>
      </c>
      <c r="E2362" t="s">
        <v>16814</v>
      </c>
      <c r="F2362" t="s">
        <v>3881</v>
      </c>
      <c r="G2362">
        <v>214</v>
      </c>
      <c r="H2362">
        <v>200</v>
      </c>
      <c r="I2362" s="5" t="s">
        <v>16815</v>
      </c>
      <c r="J2362" s="5" t="s">
        <v>16816</v>
      </c>
      <c r="K2362" s="5" t="str">
        <f t="shared" si="72"/>
        <v>https://www.google.com/maps?q=-10.822279, -42.731580</v>
      </c>
      <c r="L2362" s="5" t="str">
        <f t="shared" si="73"/>
        <v>Abrir no Maps</v>
      </c>
      <c r="M2362" t="s">
        <v>16306</v>
      </c>
      <c r="N2362" s="5"/>
      <c r="O2362" t="str">
        <f>VLOOKUP(G2362,'[1]CONFIG.'!$B:$C,2,0)</f>
        <v>GEOVANA</v>
      </c>
      <c r="P2362" t="str">
        <f>VLOOKUP(O2362,'[1]CONFIG.'!$C:$D,2,0)</f>
        <v>74 99523491</v>
      </c>
    </row>
    <row r="2363" spans="1:16" x14ac:dyDescent="0.3">
      <c r="A2363" t="s">
        <v>16817</v>
      </c>
      <c r="B2363" t="s">
        <v>16818</v>
      </c>
      <c r="C2363" t="s">
        <v>16819</v>
      </c>
      <c r="D2363" t="s">
        <v>3881</v>
      </c>
      <c r="E2363" t="s">
        <v>16820</v>
      </c>
      <c r="F2363" t="s">
        <v>16703</v>
      </c>
      <c r="G2363">
        <v>214</v>
      </c>
      <c r="H2363">
        <v>200</v>
      </c>
      <c r="I2363" s="5" t="s">
        <v>16821</v>
      </c>
      <c r="J2363" s="5" t="s">
        <v>16822</v>
      </c>
      <c r="K2363" s="5" t="str">
        <f t="shared" si="72"/>
        <v>https://www.google.com/maps?q=-10.839025, -42.727185</v>
      </c>
      <c r="L2363" s="5" t="str">
        <f t="shared" si="73"/>
        <v>Abrir no Maps</v>
      </c>
      <c r="M2363" t="s">
        <v>16823</v>
      </c>
      <c r="N2363" s="5"/>
      <c r="O2363" t="str">
        <f>VLOOKUP(G2363,'[1]CONFIG.'!$B:$C,2,0)</f>
        <v>GEOVANA</v>
      </c>
      <c r="P2363" t="str">
        <f>VLOOKUP(O2363,'[1]CONFIG.'!$C:$D,2,0)</f>
        <v>74 99523491</v>
      </c>
    </row>
    <row r="2364" spans="1:16" x14ac:dyDescent="0.3">
      <c r="A2364" t="s">
        <v>16824</v>
      </c>
      <c r="B2364" t="s">
        <v>16825</v>
      </c>
      <c r="C2364" t="s">
        <v>16826</v>
      </c>
      <c r="D2364" t="s">
        <v>3881</v>
      </c>
      <c r="E2364" t="s">
        <v>16827</v>
      </c>
      <c r="F2364" t="s">
        <v>137</v>
      </c>
      <c r="G2364">
        <v>208</v>
      </c>
      <c r="H2364">
        <v>200</v>
      </c>
      <c r="I2364" s="5" t="s">
        <v>16828</v>
      </c>
      <c r="J2364" s="5" t="s">
        <v>16829</v>
      </c>
      <c r="K2364" s="5" t="str">
        <f t="shared" si="72"/>
        <v>https://www.google.com/maps?q=-10.830169, -42.731223</v>
      </c>
      <c r="L2364" s="5" t="str">
        <f t="shared" si="73"/>
        <v>Abrir no Maps</v>
      </c>
      <c r="M2364" t="s">
        <v>16830</v>
      </c>
      <c r="N2364" s="5"/>
      <c r="O2364" t="str">
        <f>VLOOKUP(G2364,'[1]CONFIG.'!$B:$C,2,0)</f>
        <v>NEILTON</v>
      </c>
      <c r="P2364" t="str">
        <f>VLOOKUP(O2364,'[1]CONFIG.'!$C:$D,2,0)</f>
        <v>74 99857115</v>
      </c>
    </row>
    <row r="2365" spans="1:16" x14ac:dyDescent="0.3">
      <c r="A2365" t="s">
        <v>16831</v>
      </c>
      <c r="B2365" t="s">
        <v>16832</v>
      </c>
      <c r="C2365" t="s">
        <v>16833</v>
      </c>
      <c r="D2365" t="s">
        <v>3881</v>
      </c>
      <c r="E2365" t="s">
        <v>16834</v>
      </c>
      <c r="F2365" t="s">
        <v>137</v>
      </c>
      <c r="G2365">
        <v>208</v>
      </c>
      <c r="H2365">
        <v>200</v>
      </c>
      <c r="I2365" s="5" t="s">
        <v>16157</v>
      </c>
      <c r="J2365" s="5" t="s">
        <v>16835</v>
      </c>
      <c r="K2365" s="5" t="str">
        <f t="shared" si="72"/>
        <v>https://www.google.com/maps?q=-10.822802, -42.727241</v>
      </c>
      <c r="L2365" s="5" t="str">
        <f t="shared" si="73"/>
        <v>Abrir no Maps</v>
      </c>
      <c r="M2365" t="s">
        <v>16836</v>
      </c>
      <c r="N2365" s="5"/>
      <c r="O2365" t="str">
        <f>VLOOKUP(G2365,'[1]CONFIG.'!$B:$C,2,0)</f>
        <v>NEILTON</v>
      </c>
      <c r="P2365" t="str">
        <f>VLOOKUP(O2365,'[1]CONFIG.'!$C:$D,2,0)</f>
        <v>74 99857115</v>
      </c>
    </row>
    <row r="2366" spans="1:16" x14ac:dyDescent="0.3">
      <c r="A2366" t="s">
        <v>16837</v>
      </c>
      <c r="B2366" t="s">
        <v>16838</v>
      </c>
      <c r="C2366" t="s">
        <v>16839</v>
      </c>
      <c r="D2366" t="s">
        <v>3881</v>
      </c>
      <c r="E2366" t="s">
        <v>16840</v>
      </c>
      <c r="F2366" t="s">
        <v>137</v>
      </c>
      <c r="G2366">
        <v>208</v>
      </c>
      <c r="H2366">
        <v>200</v>
      </c>
      <c r="I2366" s="5" t="s">
        <v>16841</v>
      </c>
      <c r="J2366" s="5" t="s">
        <v>16842</v>
      </c>
      <c r="K2366" s="5" t="str">
        <f t="shared" si="72"/>
        <v>https://www.google.com/maps?q=-10.830891, -42.731296</v>
      </c>
      <c r="L2366" s="5" t="str">
        <f t="shared" si="73"/>
        <v>Abrir no Maps</v>
      </c>
      <c r="M2366" t="s">
        <v>16843</v>
      </c>
      <c r="N2366" s="5"/>
      <c r="O2366" t="str">
        <f>VLOOKUP(G2366,'[1]CONFIG.'!$B:$C,2,0)</f>
        <v>NEILTON</v>
      </c>
      <c r="P2366" t="str">
        <f>VLOOKUP(O2366,'[1]CONFIG.'!$C:$D,2,0)</f>
        <v>74 99857115</v>
      </c>
    </row>
    <row r="2367" spans="1:16" x14ac:dyDescent="0.3">
      <c r="A2367" t="s">
        <v>16844</v>
      </c>
      <c r="B2367" t="s">
        <v>16845</v>
      </c>
      <c r="C2367" t="s">
        <v>16846</v>
      </c>
      <c r="D2367" t="s">
        <v>3881</v>
      </c>
      <c r="E2367" t="s">
        <v>16847</v>
      </c>
      <c r="F2367" t="s">
        <v>137</v>
      </c>
      <c r="G2367">
        <v>208</v>
      </c>
      <c r="H2367">
        <v>200</v>
      </c>
      <c r="I2367" s="5" t="s">
        <v>16848</v>
      </c>
      <c r="J2367" s="5" t="s">
        <v>16849</v>
      </c>
      <c r="K2367" s="5" t="str">
        <f t="shared" si="72"/>
        <v>https://www.google.com/maps?q=-10.821053, -42.731683</v>
      </c>
      <c r="L2367" s="5" t="str">
        <f t="shared" si="73"/>
        <v>Abrir no Maps</v>
      </c>
      <c r="M2367" t="s">
        <v>16850</v>
      </c>
      <c r="N2367" s="5"/>
      <c r="O2367" t="str">
        <f>VLOOKUP(G2367,'[1]CONFIG.'!$B:$C,2,0)</f>
        <v>NEILTON</v>
      </c>
      <c r="P2367" t="str">
        <f>VLOOKUP(O2367,'[1]CONFIG.'!$C:$D,2,0)</f>
        <v>74 99857115</v>
      </c>
    </row>
    <row r="2368" spans="1:16" x14ac:dyDescent="0.3">
      <c r="A2368" t="s">
        <v>16851</v>
      </c>
      <c r="B2368" t="s">
        <v>16852</v>
      </c>
      <c r="C2368" t="s">
        <v>16853</v>
      </c>
      <c r="D2368" t="s">
        <v>3881</v>
      </c>
      <c r="E2368" t="s">
        <v>16854</v>
      </c>
      <c r="F2368" t="s">
        <v>585</v>
      </c>
      <c r="G2368">
        <v>214</v>
      </c>
      <c r="H2368">
        <v>200</v>
      </c>
      <c r="I2368" s="5" t="s">
        <v>16855</v>
      </c>
      <c r="J2368" s="5" t="s">
        <v>16856</v>
      </c>
      <c r="K2368" s="5" t="str">
        <f t="shared" si="72"/>
        <v>https://www.google.com/maps?q=-10.825517, -42.715319</v>
      </c>
      <c r="L2368" s="5" t="str">
        <f t="shared" si="73"/>
        <v>Abrir no Maps</v>
      </c>
      <c r="M2368" t="s">
        <v>16857</v>
      </c>
      <c r="N2368" s="5"/>
      <c r="O2368" t="str">
        <f>VLOOKUP(G2368,'[1]CONFIG.'!$B:$C,2,0)</f>
        <v>GEOVANA</v>
      </c>
      <c r="P2368" t="str">
        <f>VLOOKUP(O2368,'[1]CONFIG.'!$C:$D,2,0)</f>
        <v>74 99523491</v>
      </c>
    </row>
    <row r="2369" spans="1:16" x14ac:dyDescent="0.3">
      <c r="A2369" t="s">
        <v>16858</v>
      </c>
      <c r="B2369" t="s">
        <v>16859</v>
      </c>
      <c r="C2369" t="s">
        <v>16860</v>
      </c>
      <c r="D2369" t="s">
        <v>3881</v>
      </c>
      <c r="E2369" t="s">
        <v>16861</v>
      </c>
      <c r="F2369" t="s">
        <v>585</v>
      </c>
      <c r="G2369">
        <v>214</v>
      </c>
      <c r="H2369">
        <v>200</v>
      </c>
      <c r="I2369" s="5" t="s">
        <v>16862</v>
      </c>
      <c r="J2369" s="5" t="s">
        <v>16863</v>
      </c>
      <c r="K2369" s="5" t="str">
        <f t="shared" si="72"/>
        <v>https://www.google.com/maps?q=-10.820147, -42.714585</v>
      </c>
      <c r="L2369" s="5" t="str">
        <f t="shared" si="73"/>
        <v>Abrir no Maps</v>
      </c>
      <c r="M2369" t="s">
        <v>16864</v>
      </c>
      <c r="N2369" s="5"/>
      <c r="O2369" t="str">
        <f>VLOOKUP(G2369,'[1]CONFIG.'!$B:$C,2,0)</f>
        <v>GEOVANA</v>
      </c>
      <c r="P2369" t="str">
        <f>VLOOKUP(O2369,'[1]CONFIG.'!$C:$D,2,0)</f>
        <v>74 99523491</v>
      </c>
    </row>
    <row r="2370" spans="1:16" x14ac:dyDescent="0.3">
      <c r="A2370" t="s">
        <v>16865</v>
      </c>
      <c r="B2370" t="s">
        <v>16866</v>
      </c>
      <c r="C2370" t="s">
        <v>16867</v>
      </c>
      <c r="D2370" t="s">
        <v>3881</v>
      </c>
      <c r="E2370" t="s">
        <v>16868</v>
      </c>
      <c r="F2370" t="s">
        <v>137</v>
      </c>
      <c r="G2370">
        <v>214</v>
      </c>
      <c r="H2370">
        <v>200</v>
      </c>
      <c r="I2370" s="5" t="s">
        <v>16869</v>
      </c>
      <c r="J2370" s="5" t="s">
        <v>16870</v>
      </c>
      <c r="K2370" s="5" t="str">
        <f t="shared" si="72"/>
        <v>https://www.google.com/maps?q=-10.820187, -42.726728</v>
      </c>
      <c r="L2370" s="5" t="str">
        <f t="shared" si="73"/>
        <v>Abrir no Maps</v>
      </c>
      <c r="M2370" t="s">
        <v>16871</v>
      </c>
      <c r="N2370" s="5"/>
      <c r="O2370" t="str">
        <f>VLOOKUP(G2370,'[1]CONFIG.'!$B:$C,2,0)</f>
        <v>GEOVANA</v>
      </c>
      <c r="P2370" t="str">
        <f>VLOOKUP(O2370,'[1]CONFIG.'!$C:$D,2,0)</f>
        <v>74 99523491</v>
      </c>
    </row>
    <row r="2371" spans="1:16" x14ac:dyDescent="0.3">
      <c r="A2371" t="s">
        <v>16872</v>
      </c>
      <c r="B2371" t="s">
        <v>16873</v>
      </c>
      <c r="C2371" t="s">
        <v>16874</v>
      </c>
      <c r="D2371" t="s">
        <v>3881</v>
      </c>
      <c r="E2371" t="s">
        <v>16875</v>
      </c>
      <c r="F2371" t="s">
        <v>137</v>
      </c>
      <c r="G2371">
        <v>214</v>
      </c>
      <c r="H2371">
        <v>200</v>
      </c>
      <c r="I2371" s="5" t="s">
        <v>16876</v>
      </c>
      <c r="J2371" s="5" t="s">
        <v>16877</v>
      </c>
      <c r="K2371" s="5" t="str">
        <f t="shared" si="72"/>
        <v>https://www.google.com/maps?q=-10.823500, -42.730079</v>
      </c>
      <c r="L2371" s="5" t="str">
        <f t="shared" si="73"/>
        <v>Abrir no Maps</v>
      </c>
      <c r="M2371" t="s">
        <v>16878</v>
      </c>
      <c r="N2371" s="5"/>
      <c r="O2371" t="str">
        <f>VLOOKUP(G2371,'[1]CONFIG.'!$B:$C,2,0)</f>
        <v>GEOVANA</v>
      </c>
      <c r="P2371" t="str">
        <f>VLOOKUP(O2371,'[1]CONFIG.'!$C:$D,2,0)</f>
        <v>74 99523491</v>
      </c>
    </row>
    <row r="2372" spans="1:16" x14ac:dyDescent="0.3">
      <c r="A2372" t="s">
        <v>16879</v>
      </c>
      <c r="B2372" t="s">
        <v>16880</v>
      </c>
      <c r="C2372" t="s">
        <v>16881</v>
      </c>
      <c r="D2372" t="s">
        <v>3881</v>
      </c>
      <c r="E2372" t="s">
        <v>16882</v>
      </c>
      <c r="F2372" t="s">
        <v>16883</v>
      </c>
      <c r="G2372">
        <v>214</v>
      </c>
      <c r="H2372">
        <v>200</v>
      </c>
      <c r="I2372" s="5" t="s">
        <v>16884</v>
      </c>
      <c r="J2372" s="5" t="s">
        <v>16885</v>
      </c>
      <c r="K2372" s="5" t="str">
        <f t="shared" ref="K2372:K2435" si="74">"https://www.google.com/maps?q="&amp;""&amp;LEFT(I2372,3)&amp;"."&amp;RIGHT(I2372,6)&amp;", "&amp;LEFT(J2372,3)&amp;"."&amp;RIGHT(J2372,6)</f>
        <v>https://www.google.com/maps?q=-10.821361, -42.731240</v>
      </c>
      <c r="L2372" s="5" t="str">
        <f t="shared" ref="L2372:L2435" si="75">HYPERLINK(K2372,"Abrir no Maps")</f>
        <v>Abrir no Maps</v>
      </c>
      <c r="M2372" t="s">
        <v>16886</v>
      </c>
      <c r="N2372" s="5"/>
      <c r="O2372" t="str">
        <f>VLOOKUP(G2372,'[1]CONFIG.'!$B:$C,2,0)</f>
        <v>GEOVANA</v>
      </c>
      <c r="P2372" t="str">
        <f>VLOOKUP(O2372,'[1]CONFIG.'!$C:$D,2,0)</f>
        <v>74 99523491</v>
      </c>
    </row>
    <row r="2373" spans="1:16" x14ac:dyDescent="0.3">
      <c r="A2373" t="s">
        <v>16887</v>
      </c>
      <c r="B2373" t="s">
        <v>16888</v>
      </c>
      <c r="C2373" t="s">
        <v>16889</v>
      </c>
      <c r="D2373" t="s">
        <v>3881</v>
      </c>
      <c r="E2373" t="s">
        <v>16890</v>
      </c>
      <c r="F2373" t="s">
        <v>137</v>
      </c>
      <c r="G2373">
        <v>214</v>
      </c>
      <c r="H2373">
        <v>200</v>
      </c>
      <c r="I2373" s="5" t="s">
        <v>16891</v>
      </c>
      <c r="J2373" s="5" t="s">
        <v>16892</v>
      </c>
      <c r="K2373" s="5" t="str">
        <f t="shared" si="74"/>
        <v>https://www.google.com/maps?q=-10.818133, -42.731243</v>
      </c>
      <c r="L2373" s="5" t="str">
        <f t="shared" si="75"/>
        <v>Abrir no Maps</v>
      </c>
      <c r="M2373" t="s">
        <v>16893</v>
      </c>
      <c r="N2373" s="5"/>
      <c r="O2373" t="str">
        <f>VLOOKUP(G2373,'[1]CONFIG.'!$B:$C,2,0)</f>
        <v>GEOVANA</v>
      </c>
      <c r="P2373" t="str">
        <f>VLOOKUP(O2373,'[1]CONFIG.'!$C:$D,2,0)</f>
        <v>74 99523491</v>
      </c>
    </row>
    <row r="2374" spans="1:16" x14ac:dyDescent="0.3">
      <c r="A2374" t="s">
        <v>16894</v>
      </c>
      <c r="B2374" t="s">
        <v>16895</v>
      </c>
      <c r="C2374" t="s">
        <v>16896</v>
      </c>
      <c r="D2374" t="s">
        <v>3881</v>
      </c>
      <c r="E2374" t="s">
        <v>16897</v>
      </c>
      <c r="F2374" t="s">
        <v>16898</v>
      </c>
      <c r="G2374">
        <v>208</v>
      </c>
      <c r="H2374">
        <v>200</v>
      </c>
      <c r="I2374" s="5" t="s">
        <v>16899</v>
      </c>
      <c r="J2374" s="5" t="s">
        <v>16900</v>
      </c>
      <c r="K2374" s="5" t="str">
        <f t="shared" si="74"/>
        <v>https://www.google.com/maps?q=-10.821235, -42.731456</v>
      </c>
      <c r="L2374" s="5" t="str">
        <f t="shared" si="75"/>
        <v>Abrir no Maps</v>
      </c>
      <c r="M2374" t="s">
        <v>16901</v>
      </c>
      <c r="N2374" s="5"/>
      <c r="O2374" t="str">
        <f>VLOOKUP(G2374,'[1]CONFIG.'!$B:$C,2,0)</f>
        <v>NEILTON</v>
      </c>
      <c r="P2374" t="str">
        <f>VLOOKUP(O2374,'[1]CONFIG.'!$C:$D,2,0)</f>
        <v>74 99857115</v>
      </c>
    </row>
    <row r="2375" spans="1:16" x14ac:dyDescent="0.3">
      <c r="A2375" t="s">
        <v>16902</v>
      </c>
      <c r="B2375" t="s">
        <v>16903</v>
      </c>
      <c r="C2375" t="s">
        <v>16904</v>
      </c>
      <c r="D2375" t="s">
        <v>3881</v>
      </c>
      <c r="E2375" t="s">
        <v>16905</v>
      </c>
      <c r="F2375" t="s">
        <v>16883</v>
      </c>
      <c r="G2375">
        <v>208</v>
      </c>
      <c r="H2375">
        <v>200</v>
      </c>
      <c r="I2375" s="5" t="s">
        <v>16906</v>
      </c>
      <c r="J2375" s="5" t="s">
        <v>16907</v>
      </c>
      <c r="K2375" s="5" t="str">
        <f t="shared" si="74"/>
        <v>https://www.google.com/maps?q=-10.826842, -42.732103</v>
      </c>
      <c r="L2375" s="5" t="str">
        <f t="shared" si="75"/>
        <v>Abrir no Maps</v>
      </c>
      <c r="M2375" t="s">
        <v>16908</v>
      </c>
      <c r="N2375" s="5"/>
      <c r="O2375" t="str">
        <f>VLOOKUP(G2375,'[1]CONFIG.'!$B:$C,2,0)</f>
        <v>NEILTON</v>
      </c>
      <c r="P2375" t="str">
        <f>VLOOKUP(O2375,'[1]CONFIG.'!$C:$D,2,0)</f>
        <v>74 99857115</v>
      </c>
    </row>
    <row r="2376" spans="1:16" x14ac:dyDescent="0.3">
      <c r="A2376" t="s">
        <v>16909</v>
      </c>
      <c r="B2376" t="s">
        <v>16910</v>
      </c>
      <c r="C2376" t="s">
        <v>16911</v>
      </c>
      <c r="D2376" t="s">
        <v>6876</v>
      </c>
      <c r="E2376" t="s">
        <v>16912</v>
      </c>
      <c r="F2376" t="s">
        <v>137</v>
      </c>
      <c r="G2376">
        <v>208</v>
      </c>
      <c r="H2376">
        <v>200</v>
      </c>
      <c r="I2376" s="5" t="s">
        <v>16913</v>
      </c>
      <c r="J2376" s="5" t="s">
        <v>16914</v>
      </c>
      <c r="K2376" s="5" t="str">
        <f t="shared" si="74"/>
        <v>https://www.google.com/maps?q=-11.427312, -42.503952</v>
      </c>
      <c r="L2376" s="5" t="str">
        <f t="shared" si="75"/>
        <v>Abrir no Maps</v>
      </c>
      <c r="M2376" t="s">
        <v>16915</v>
      </c>
      <c r="N2376" s="5"/>
      <c r="O2376" t="str">
        <f>VLOOKUP(G2376,'[1]CONFIG.'!$B:$C,2,0)</f>
        <v>NEILTON</v>
      </c>
      <c r="P2376" t="str">
        <f>VLOOKUP(O2376,'[1]CONFIG.'!$C:$D,2,0)</f>
        <v>74 99857115</v>
      </c>
    </row>
    <row r="2377" spans="1:16" x14ac:dyDescent="0.3">
      <c r="A2377" t="s">
        <v>16916</v>
      </c>
      <c r="B2377" t="s">
        <v>16917</v>
      </c>
      <c r="C2377" t="s">
        <v>16918</v>
      </c>
      <c r="D2377" t="s">
        <v>6876</v>
      </c>
      <c r="E2377" t="s">
        <v>16919</v>
      </c>
      <c r="F2377" t="s">
        <v>137</v>
      </c>
      <c r="G2377">
        <v>208</v>
      </c>
      <c r="H2377">
        <v>200</v>
      </c>
      <c r="I2377" s="5" t="s">
        <v>16920</v>
      </c>
      <c r="J2377" s="5" t="s">
        <v>16921</v>
      </c>
      <c r="K2377" s="5" t="str">
        <f t="shared" si="74"/>
        <v>https://www.google.com/maps?q=-11.432713, -42.507862</v>
      </c>
      <c r="L2377" s="5" t="str">
        <f t="shared" si="75"/>
        <v>Abrir no Maps</v>
      </c>
      <c r="M2377" t="s">
        <v>16922</v>
      </c>
      <c r="N2377" s="5"/>
      <c r="O2377" t="str">
        <f>VLOOKUP(G2377,'[1]CONFIG.'!$B:$C,2,0)</f>
        <v>NEILTON</v>
      </c>
      <c r="P2377" t="str">
        <f>VLOOKUP(O2377,'[1]CONFIG.'!$C:$D,2,0)</f>
        <v>74 99857115</v>
      </c>
    </row>
    <row r="2378" spans="1:16" x14ac:dyDescent="0.3">
      <c r="A2378" t="s">
        <v>16923</v>
      </c>
      <c r="B2378" t="s">
        <v>16924</v>
      </c>
      <c r="C2378" t="s">
        <v>16925</v>
      </c>
      <c r="D2378" t="s">
        <v>6876</v>
      </c>
      <c r="E2378" t="s">
        <v>16926</v>
      </c>
      <c r="F2378" t="s">
        <v>137</v>
      </c>
      <c r="G2378">
        <v>208</v>
      </c>
      <c r="H2378">
        <v>200</v>
      </c>
      <c r="I2378" s="5" t="s">
        <v>16927</v>
      </c>
      <c r="J2378" s="5" t="s">
        <v>16928</v>
      </c>
      <c r="K2378" s="5" t="str">
        <f t="shared" si="74"/>
        <v>https://www.google.com/maps?q=-11.428644, -42.504770</v>
      </c>
      <c r="L2378" s="5" t="str">
        <f t="shared" si="75"/>
        <v>Abrir no Maps</v>
      </c>
      <c r="M2378" t="s">
        <v>16929</v>
      </c>
      <c r="N2378" s="5"/>
      <c r="O2378" t="str">
        <f>VLOOKUP(G2378,'[1]CONFIG.'!$B:$C,2,0)</f>
        <v>NEILTON</v>
      </c>
      <c r="P2378" t="str">
        <f>VLOOKUP(O2378,'[1]CONFIG.'!$C:$D,2,0)</f>
        <v>74 99857115</v>
      </c>
    </row>
    <row r="2379" spans="1:16" x14ac:dyDescent="0.3">
      <c r="A2379" t="s">
        <v>16930</v>
      </c>
      <c r="B2379" t="s">
        <v>16931</v>
      </c>
      <c r="C2379" t="s">
        <v>16932</v>
      </c>
      <c r="D2379" t="s">
        <v>6876</v>
      </c>
      <c r="E2379" t="s">
        <v>16933</v>
      </c>
      <c r="F2379" t="s">
        <v>137</v>
      </c>
      <c r="G2379">
        <v>208</v>
      </c>
      <c r="H2379">
        <v>200</v>
      </c>
      <c r="I2379" s="5" t="s">
        <v>16934</v>
      </c>
      <c r="J2379" s="5" t="s">
        <v>16935</v>
      </c>
      <c r="K2379" s="5" t="str">
        <f t="shared" si="74"/>
        <v>https://www.google.com/maps?q=-11.428803, -42.504864</v>
      </c>
      <c r="L2379" s="5" t="str">
        <f t="shared" si="75"/>
        <v>Abrir no Maps</v>
      </c>
      <c r="M2379" t="s">
        <v>16936</v>
      </c>
      <c r="N2379" s="5"/>
      <c r="O2379" t="str">
        <f>VLOOKUP(G2379,'[1]CONFIG.'!$B:$C,2,0)</f>
        <v>NEILTON</v>
      </c>
      <c r="P2379" t="str">
        <f>VLOOKUP(O2379,'[1]CONFIG.'!$C:$D,2,0)</f>
        <v>74 99857115</v>
      </c>
    </row>
    <row r="2380" spans="1:16" x14ac:dyDescent="0.3">
      <c r="A2380" t="s">
        <v>16937</v>
      </c>
      <c r="B2380" t="s">
        <v>16938</v>
      </c>
      <c r="C2380" t="s">
        <v>16939</v>
      </c>
      <c r="D2380" t="s">
        <v>6876</v>
      </c>
      <c r="E2380" t="s">
        <v>16940</v>
      </c>
      <c r="F2380" t="s">
        <v>137</v>
      </c>
      <c r="G2380">
        <v>208</v>
      </c>
      <c r="H2380">
        <v>200</v>
      </c>
      <c r="I2380" s="5" t="s">
        <v>16941</v>
      </c>
      <c r="J2380" s="5" t="s">
        <v>16935</v>
      </c>
      <c r="K2380" s="5" t="str">
        <f t="shared" si="74"/>
        <v>https://www.google.com/maps?q=-11.428802, -42.504864</v>
      </c>
      <c r="L2380" s="5" t="str">
        <f t="shared" si="75"/>
        <v>Abrir no Maps</v>
      </c>
      <c r="M2380" t="s">
        <v>16942</v>
      </c>
      <c r="N2380" s="5"/>
      <c r="O2380" t="str">
        <f>VLOOKUP(G2380,'[1]CONFIG.'!$B:$C,2,0)</f>
        <v>NEILTON</v>
      </c>
      <c r="P2380" t="str">
        <f>VLOOKUP(O2380,'[1]CONFIG.'!$C:$D,2,0)</f>
        <v>74 99857115</v>
      </c>
    </row>
    <row r="2381" spans="1:16" x14ac:dyDescent="0.3">
      <c r="A2381" t="s">
        <v>16943</v>
      </c>
      <c r="B2381" t="s">
        <v>16944</v>
      </c>
      <c r="C2381" t="s">
        <v>16945</v>
      </c>
      <c r="D2381" t="s">
        <v>6876</v>
      </c>
      <c r="E2381" t="s">
        <v>16946</v>
      </c>
      <c r="F2381" t="s">
        <v>137</v>
      </c>
      <c r="G2381">
        <v>208</v>
      </c>
      <c r="H2381">
        <v>200</v>
      </c>
      <c r="I2381" s="5" t="s">
        <v>16947</v>
      </c>
      <c r="J2381" s="5" t="s">
        <v>16948</v>
      </c>
      <c r="K2381" s="5" t="str">
        <f t="shared" si="74"/>
        <v>https://www.google.com/maps?q=-11.429960, -42.505775</v>
      </c>
      <c r="L2381" s="5" t="str">
        <f t="shared" si="75"/>
        <v>Abrir no Maps</v>
      </c>
      <c r="M2381" t="s">
        <v>16949</v>
      </c>
      <c r="N2381" s="5"/>
      <c r="O2381" t="str">
        <f>VLOOKUP(G2381,'[1]CONFIG.'!$B:$C,2,0)</f>
        <v>NEILTON</v>
      </c>
      <c r="P2381" t="str">
        <f>VLOOKUP(O2381,'[1]CONFIG.'!$C:$D,2,0)</f>
        <v>74 99857115</v>
      </c>
    </row>
    <row r="2382" spans="1:16" x14ac:dyDescent="0.3">
      <c r="A2382" t="s">
        <v>16950</v>
      </c>
      <c r="B2382" t="s">
        <v>16951</v>
      </c>
      <c r="C2382" t="s">
        <v>16952</v>
      </c>
      <c r="D2382" t="s">
        <v>6876</v>
      </c>
      <c r="E2382" t="s">
        <v>16953</v>
      </c>
      <c r="F2382" t="s">
        <v>6922</v>
      </c>
      <c r="G2382">
        <v>208</v>
      </c>
      <c r="H2382">
        <v>200</v>
      </c>
      <c r="I2382" s="5" t="s">
        <v>16954</v>
      </c>
      <c r="J2382" s="5" t="s">
        <v>16955</v>
      </c>
      <c r="K2382" s="5" t="str">
        <f t="shared" si="74"/>
        <v>https://www.google.com/maps?q=-11.401994, -42.664494</v>
      </c>
      <c r="L2382" s="5" t="str">
        <f t="shared" si="75"/>
        <v>Abrir no Maps</v>
      </c>
      <c r="M2382" t="s">
        <v>16956</v>
      </c>
      <c r="N2382" s="5"/>
      <c r="O2382" t="str">
        <f>VLOOKUP(G2382,'[1]CONFIG.'!$B:$C,2,0)</f>
        <v>NEILTON</v>
      </c>
      <c r="P2382" t="str">
        <f>VLOOKUP(O2382,'[1]CONFIG.'!$C:$D,2,0)</f>
        <v>74 99857115</v>
      </c>
    </row>
    <row r="2383" spans="1:16" x14ac:dyDescent="0.3">
      <c r="A2383" t="s">
        <v>16957</v>
      </c>
      <c r="B2383" t="s">
        <v>16958</v>
      </c>
      <c r="C2383" t="s">
        <v>16959</v>
      </c>
      <c r="D2383" t="s">
        <v>6876</v>
      </c>
      <c r="E2383" t="s">
        <v>16960</v>
      </c>
      <c r="F2383" t="s">
        <v>6899</v>
      </c>
      <c r="G2383">
        <v>208</v>
      </c>
      <c r="H2383">
        <v>200</v>
      </c>
      <c r="I2383" s="5" t="s">
        <v>16961</v>
      </c>
      <c r="J2383" s="5" t="s">
        <v>16962</v>
      </c>
      <c r="K2383" s="5" t="str">
        <f t="shared" si="74"/>
        <v>https://www.google.com/maps?q=-11.110697, -42.720623</v>
      </c>
      <c r="L2383" s="5" t="str">
        <f t="shared" si="75"/>
        <v>Abrir no Maps</v>
      </c>
      <c r="M2383">
        <v>0</v>
      </c>
      <c r="N2383" s="5"/>
      <c r="O2383" t="str">
        <f>VLOOKUP(G2383,'[1]CONFIG.'!$B:$C,2,0)</f>
        <v>NEILTON</v>
      </c>
      <c r="P2383" t="str">
        <f>VLOOKUP(O2383,'[1]CONFIG.'!$C:$D,2,0)</f>
        <v>74 99857115</v>
      </c>
    </row>
    <row r="2384" spans="1:16" x14ac:dyDescent="0.3">
      <c r="A2384" t="s">
        <v>16963</v>
      </c>
      <c r="B2384" t="s">
        <v>16964</v>
      </c>
      <c r="C2384" t="s">
        <v>16965</v>
      </c>
      <c r="D2384" t="s">
        <v>6876</v>
      </c>
      <c r="E2384" t="s">
        <v>16966</v>
      </c>
      <c r="F2384" t="s">
        <v>137</v>
      </c>
      <c r="G2384">
        <v>208</v>
      </c>
      <c r="H2384">
        <v>200</v>
      </c>
      <c r="I2384" s="5" t="s">
        <v>16967</v>
      </c>
      <c r="J2384" s="5" t="s">
        <v>16968</v>
      </c>
      <c r="K2384" s="5" t="str">
        <f t="shared" si="74"/>
        <v>https://www.google.com/maps?q=-11.428822, -42.504803</v>
      </c>
      <c r="L2384" s="5" t="str">
        <f t="shared" si="75"/>
        <v>Abrir no Maps</v>
      </c>
      <c r="M2384" t="s">
        <v>16969</v>
      </c>
      <c r="N2384" s="5"/>
      <c r="O2384" t="str">
        <f>VLOOKUP(G2384,'[1]CONFIG.'!$B:$C,2,0)</f>
        <v>NEILTON</v>
      </c>
      <c r="P2384" t="str">
        <f>VLOOKUP(O2384,'[1]CONFIG.'!$C:$D,2,0)</f>
        <v>74 99857115</v>
      </c>
    </row>
    <row r="2385" spans="1:16" x14ac:dyDescent="0.3">
      <c r="A2385" t="s">
        <v>16970</v>
      </c>
      <c r="B2385" t="s">
        <v>16971</v>
      </c>
      <c r="C2385" t="s">
        <v>16972</v>
      </c>
      <c r="D2385" t="s">
        <v>6876</v>
      </c>
      <c r="E2385" t="s">
        <v>16973</v>
      </c>
      <c r="F2385" t="s">
        <v>137</v>
      </c>
      <c r="G2385">
        <v>208</v>
      </c>
      <c r="H2385">
        <v>200</v>
      </c>
      <c r="I2385" s="5" t="s">
        <v>16974</v>
      </c>
      <c r="J2385" s="5" t="s">
        <v>16975</v>
      </c>
      <c r="K2385" s="5" t="str">
        <f t="shared" si="74"/>
        <v>https://www.google.com/maps?q=-11.429370, -42.502500</v>
      </c>
      <c r="L2385" s="5" t="str">
        <f t="shared" si="75"/>
        <v>Abrir no Maps</v>
      </c>
      <c r="M2385" t="s">
        <v>16976</v>
      </c>
      <c r="N2385" s="5"/>
      <c r="O2385" t="str">
        <f>VLOOKUP(G2385,'[1]CONFIG.'!$B:$C,2,0)</f>
        <v>NEILTON</v>
      </c>
      <c r="P2385" t="str">
        <f>VLOOKUP(O2385,'[1]CONFIG.'!$C:$D,2,0)</f>
        <v>74 99857115</v>
      </c>
    </row>
    <row r="2386" spans="1:16" x14ac:dyDescent="0.3">
      <c r="A2386" t="s">
        <v>16977</v>
      </c>
      <c r="B2386" t="s">
        <v>16978</v>
      </c>
      <c r="C2386" t="s">
        <v>16979</v>
      </c>
      <c r="D2386" t="s">
        <v>6876</v>
      </c>
      <c r="E2386" t="s">
        <v>16980</v>
      </c>
      <c r="F2386" t="s">
        <v>137</v>
      </c>
      <c r="G2386">
        <v>208</v>
      </c>
      <c r="H2386">
        <v>200</v>
      </c>
      <c r="I2386" s="5" t="s">
        <v>16981</v>
      </c>
      <c r="J2386" s="5" t="s">
        <v>16982</v>
      </c>
      <c r="K2386" s="5" t="str">
        <f t="shared" si="74"/>
        <v>https://www.google.com/maps?q=-11.429734, -42.505486</v>
      </c>
      <c r="L2386" s="5" t="str">
        <f t="shared" si="75"/>
        <v>Abrir no Maps</v>
      </c>
      <c r="M2386" t="s">
        <v>16983</v>
      </c>
      <c r="N2386" s="5"/>
      <c r="O2386" t="str">
        <f>VLOOKUP(G2386,'[1]CONFIG.'!$B:$C,2,0)</f>
        <v>NEILTON</v>
      </c>
      <c r="P2386" t="str">
        <f>VLOOKUP(O2386,'[1]CONFIG.'!$C:$D,2,0)</f>
        <v>74 99857115</v>
      </c>
    </row>
    <row r="2387" spans="1:16" x14ac:dyDescent="0.3">
      <c r="A2387" t="s">
        <v>16984</v>
      </c>
      <c r="B2387" t="s">
        <v>16985</v>
      </c>
      <c r="C2387" t="s">
        <v>16986</v>
      </c>
      <c r="D2387" t="s">
        <v>6876</v>
      </c>
      <c r="E2387" t="s">
        <v>16987</v>
      </c>
      <c r="F2387" t="s">
        <v>137</v>
      </c>
      <c r="G2387">
        <v>208</v>
      </c>
      <c r="H2387">
        <v>200</v>
      </c>
      <c r="I2387" s="5" t="s">
        <v>16988</v>
      </c>
      <c r="J2387" s="5" t="s">
        <v>16989</v>
      </c>
      <c r="K2387" s="5" t="str">
        <f t="shared" si="74"/>
        <v>https://www.google.com/maps?q=-11.428544, -42.504402</v>
      </c>
      <c r="L2387" s="5" t="str">
        <f t="shared" si="75"/>
        <v>Abrir no Maps</v>
      </c>
      <c r="M2387" t="s">
        <v>16990</v>
      </c>
      <c r="N2387" s="5"/>
      <c r="O2387" t="str">
        <f>VLOOKUP(G2387,'[1]CONFIG.'!$B:$C,2,0)</f>
        <v>NEILTON</v>
      </c>
      <c r="P2387" t="str">
        <f>VLOOKUP(O2387,'[1]CONFIG.'!$C:$D,2,0)</f>
        <v>74 99857115</v>
      </c>
    </row>
    <row r="2388" spans="1:16" x14ac:dyDescent="0.3">
      <c r="A2388" t="s">
        <v>16991</v>
      </c>
      <c r="B2388" t="s">
        <v>16992</v>
      </c>
      <c r="C2388" t="s">
        <v>16993</v>
      </c>
      <c r="D2388" t="s">
        <v>6876</v>
      </c>
      <c r="E2388" t="s">
        <v>16994</v>
      </c>
      <c r="F2388" t="s">
        <v>137</v>
      </c>
      <c r="G2388">
        <v>208</v>
      </c>
      <c r="H2388">
        <v>200</v>
      </c>
      <c r="I2388" s="5" t="s">
        <v>16995</v>
      </c>
      <c r="J2388" s="5" t="s">
        <v>16996</v>
      </c>
      <c r="K2388" s="5" t="str">
        <f t="shared" si="74"/>
        <v>https://www.google.com/maps?q=-11.428828, -42.504868</v>
      </c>
      <c r="L2388" s="5" t="str">
        <f t="shared" si="75"/>
        <v>Abrir no Maps</v>
      </c>
      <c r="M2388" t="s">
        <v>16997</v>
      </c>
      <c r="N2388" s="5"/>
      <c r="O2388" t="str">
        <f>VLOOKUP(G2388,'[1]CONFIG.'!$B:$C,2,0)</f>
        <v>NEILTON</v>
      </c>
      <c r="P2388" t="str">
        <f>VLOOKUP(O2388,'[1]CONFIG.'!$C:$D,2,0)</f>
        <v>74 99857115</v>
      </c>
    </row>
    <row r="2389" spans="1:16" x14ac:dyDescent="0.3">
      <c r="A2389" t="s">
        <v>16998</v>
      </c>
      <c r="B2389" t="s">
        <v>16999</v>
      </c>
      <c r="C2389" t="s">
        <v>17000</v>
      </c>
      <c r="D2389" t="s">
        <v>6876</v>
      </c>
      <c r="E2389" t="s">
        <v>17001</v>
      </c>
      <c r="F2389" t="s">
        <v>137</v>
      </c>
      <c r="G2389">
        <v>208</v>
      </c>
      <c r="H2389">
        <v>200</v>
      </c>
      <c r="I2389" s="5" t="s">
        <v>17002</v>
      </c>
      <c r="J2389" s="5" t="s">
        <v>17003</v>
      </c>
      <c r="K2389" s="5" t="str">
        <f t="shared" si="74"/>
        <v>https://www.google.com/maps?q=-11.429934, -42.505610</v>
      </c>
      <c r="L2389" s="5" t="str">
        <f t="shared" si="75"/>
        <v>Abrir no Maps</v>
      </c>
      <c r="M2389" t="s">
        <v>17004</v>
      </c>
      <c r="N2389" s="5"/>
      <c r="O2389" t="str">
        <f>VLOOKUP(G2389,'[1]CONFIG.'!$B:$C,2,0)</f>
        <v>NEILTON</v>
      </c>
      <c r="P2389" t="str">
        <f>VLOOKUP(O2389,'[1]CONFIG.'!$C:$D,2,0)</f>
        <v>74 99857115</v>
      </c>
    </row>
    <row r="2390" spans="1:16" x14ac:dyDescent="0.3">
      <c r="A2390" t="s">
        <v>17005</v>
      </c>
      <c r="B2390" t="s">
        <v>17006</v>
      </c>
      <c r="C2390" t="s">
        <v>17007</v>
      </c>
      <c r="D2390" t="s">
        <v>6876</v>
      </c>
      <c r="E2390" t="s">
        <v>17008</v>
      </c>
      <c r="F2390" t="s">
        <v>17009</v>
      </c>
      <c r="G2390">
        <v>208</v>
      </c>
      <c r="H2390">
        <v>200</v>
      </c>
      <c r="I2390" s="5" t="s">
        <v>17010</v>
      </c>
      <c r="J2390" s="5" t="s">
        <v>17011</v>
      </c>
      <c r="K2390" s="5" t="str">
        <f t="shared" si="74"/>
        <v>https://www.google.com/maps?q=-11.403984, -42.664303</v>
      </c>
      <c r="L2390" s="5" t="str">
        <f t="shared" si="75"/>
        <v>Abrir no Maps</v>
      </c>
      <c r="M2390" t="s">
        <v>17012</v>
      </c>
      <c r="N2390" s="5"/>
      <c r="O2390" t="str">
        <f>VLOOKUP(G2390,'[1]CONFIG.'!$B:$C,2,0)</f>
        <v>NEILTON</v>
      </c>
      <c r="P2390" t="str">
        <f>VLOOKUP(O2390,'[1]CONFIG.'!$C:$D,2,0)</f>
        <v>74 99857115</v>
      </c>
    </row>
    <row r="2391" spans="1:16" x14ac:dyDescent="0.3">
      <c r="A2391" t="s">
        <v>17013</v>
      </c>
      <c r="B2391" t="s">
        <v>17014</v>
      </c>
      <c r="C2391" t="s">
        <v>17015</v>
      </c>
      <c r="D2391" t="s">
        <v>6876</v>
      </c>
      <c r="E2391" t="s">
        <v>17016</v>
      </c>
      <c r="F2391" t="s">
        <v>137</v>
      </c>
      <c r="G2391">
        <v>208</v>
      </c>
      <c r="H2391">
        <v>200</v>
      </c>
      <c r="I2391" s="5" t="s">
        <v>17017</v>
      </c>
      <c r="J2391" s="5" t="s">
        <v>17018</v>
      </c>
      <c r="K2391" s="5" t="str">
        <f t="shared" si="74"/>
        <v>https://www.google.com/maps?q=-11.431207, -42.506485</v>
      </c>
      <c r="L2391" s="5" t="str">
        <f t="shared" si="75"/>
        <v>Abrir no Maps</v>
      </c>
      <c r="M2391">
        <v>0</v>
      </c>
      <c r="N2391" s="5"/>
      <c r="O2391" t="str">
        <f>VLOOKUP(G2391,'[1]CONFIG.'!$B:$C,2,0)</f>
        <v>NEILTON</v>
      </c>
      <c r="P2391" t="str">
        <f>VLOOKUP(O2391,'[1]CONFIG.'!$C:$D,2,0)</f>
        <v>74 99857115</v>
      </c>
    </row>
    <row r="2392" spans="1:16" x14ac:dyDescent="0.3">
      <c r="A2392" t="s">
        <v>17019</v>
      </c>
      <c r="B2392" t="s">
        <v>17020</v>
      </c>
      <c r="C2392" t="s">
        <v>17021</v>
      </c>
      <c r="D2392" t="s">
        <v>6876</v>
      </c>
      <c r="E2392" t="s">
        <v>17022</v>
      </c>
      <c r="F2392" t="s">
        <v>6922</v>
      </c>
      <c r="G2392">
        <v>208</v>
      </c>
      <c r="H2392">
        <v>200</v>
      </c>
      <c r="I2392" s="5" t="s">
        <v>17023</v>
      </c>
      <c r="J2392" s="5" t="s">
        <v>17024</v>
      </c>
      <c r="K2392" s="5" t="str">
        <f t="shared" si="74"/>
        <v>https://www.google.com/maps?q=-11.400835, -42.664967</v>
      </c>
      <c r="L2392" s="5" t="str">
        <f t="shared" si="75"/>
        <v>Abrir no Maps</v>
      </c>
      <c r="M2392" t="s">
        <v>17025</v>
      </c>
      <c r="N2392" s="5"/>
      <c r="O2392" t="str">
        <f>VLOOKUP(G2392,'[1]CONFIG.'!$B:$C,2,0)</f>
        <v>NEILTON</v>
      </c>
      <c r="P2392" t="str">
        <f>VLOOKUP(O2392,'[1]CONFIG.'!$C:$D,2,0)</f>
        <v>74 99857115</v>
      </c>
    </row>
    <row r="2393" spans="1:16" x14ac:dyDescent="0.3">
      <c r="A2393" t="s">
        <v>17026</v>
      </c>
      <c r="B2393" t="s">
        <v>17027</v>
      </c>
      <c r="C2393" t="s">
        <v>17028</v>
      </c>
      <c r="D2393" t="s">
        <v>6876</v>
      </c>
      <c r="E2393" t="s">
        <v>17029</v>
      </c>
      <c r="F2393" t="s">
        <v>137</v>
      </c>
      <c r="G2393">
        <v>208</v>
      </c>
      <c r="H2393">
        <v>200</v>
      </c>
      <c r="I2393" s="5" t="s">
        <v>17030</v>
      </c>
      <c r="J2393" s="5" t="s">
        <v>17031</v>
      </c>
      <c r="K2393" s="5" t="str">
        <f t="shared" si="74"/>
        <v>https://www.google.com/maps?q=-11.429687, -42.510864</v>
      </c>
      <c r="L2393" s="5" t="str">
        <f t="shared" si="75"/>
        <v>Abrir no Maps</v>
      </c>
      <c r="M2393" t="s">
        <v>17032</v>
      </c>
      <c r="N2393" s="5"/>
      <c r="O2393" t="str">
        <f>VLOOKUP(G2393,'[1]CONFIG.'!$B:$C,2,0)</f>
        <v>NEILTON</v>
      </c>
      <c r="P2393" t="str">
        <f>VLOOKUP(O2393,'[1]CONFIG.'!$C:$D,2,0)</f>
        <v>74 99857115</v>
      </c>
    </row>
    <row r="2394" spans="1:16" x14ac:dyDescent="0.3">
      <c r="A2394" t="s">
        <v>17033</v>
      </c>
      <c r="B2394" t="s">
        <v>17034</v>
      </c>
      <c r="C2394" t="s">
        <v>17035</v>
      </c>
      <c r="D2394" t="s">
        <v>6876</v>
      </c>
      <c r="E2394" t="s">
        <v>17036</v>
      </c>
      <c r="F2394" t="s">
        <v>6922</v>
      </c>
      <c r="G2394">
        <v>208</v>
      </c>
      <c r="H2394">
        <v>200</v>
      </c>
      <c r="I2394" s="5" t="s">
        <v>17037</v>
      </c>
      <c r="J2394" s="5" t="s">
        <v>17038</v>
      </c>
      <c r="K2394" s="5" t="str">
        <f t="shared" si="74"/>
        <v>https://www.google.com/maps?q=-11.401525, -42.663956</v>
      </c>
      <c r="L2394" s="5" t="str">
        <f t="shared" si="75"/>
        <v>Abrir no Maps</v>
      </c>
      <c r="M2394" t="s">
        <v>17039</v>
      </c>
      <c r="N2394" s="5"/>
      <c r="O2394" t="str">
        <f>VLOOKUP(G2394,'[1]CONFIG.'!$B:$C,2,0)</f>
        <v>NEILTON</v>
      </c>
      <c r="P2394" t="str">
        <f>VLOOKUP(O2394,'[1]CONFIG.'!$C:$D,2,0)</f>
        <v>74 99857115</v>
      </c>
    </row>
    <row r="2395" spans="1:16" x14ac:dyDescent="0.3">
      <c r="A2395" t="s">
        <v>17040</v>
      </c>
      <c r="B2395" t="s">
        <v>17041</v>
      </c>
      <c r="C2395" t="s">
        <v>17042</v>
      </c>
      <c r="D2395" t="s">
        <v>6876</v>
      </c>
      <c r="E2395" t="s">
        <v>17043</v>
      </c>
      <c r="F2395" t="s">
        <v>137</v>
      </c>
      <c r="G2395">
        <v>208</v>
      </c>
      <c r="H2395">
        <v>200</v>
      </c>
      <c r="I2395" s="5" t="s">
        <v>17044</v>
      </c>
      <c r="J2395" s="5" t="s">
        <v>17045</v>
      </c>
      <c r="K2395" s="5" t="str">
        <f t="shared" si="74"/>
        <v>https://www.google.com/maps?q=-11.433077, -42.506523</v>
      </c>
      <c r="L2395" s="5" t="str">
        <f t="shared" si="75"/>
        <v>Abrir no Maps</v>
      </c>
      <c r="M2395" t="s">
        <v>17046</v>
      </c>
      <c r="N2395" s="5"/>
      <c r="O2395" t="str">
        <f>VLOOKUP(G2395,'[1]CONFIG.'!$B:$C,2,0)</f>
        <v>NEILTON</v>
      </c>
      <c r="P2395" t="str">
        <f>VLOOKUP(O2395,'[1]CONFIG.'!$C:$D,2,0)</f>
        <v>74 99857115</v>
      </c>
    </row>
    <row r="2396" spans="1:16" x14ac:dyDescent="0.3">
      <c r="A2396" t="s">
        <v>17047</v>
      </c>
      <c r="B2396" t="s">
        <v>17048</v>
      </c>
      <c r="C2396" t="s">
        <v>17049</v>
      </c>
      <c r="D2396" t="s">
        <v>6876</v>
      </c>
      <c r="E2396" t="s">
        <v>17050</v>
      </c>
      <c r="F2396" t="s">
        <v>4659</v>
      </c>
      <c r="G2396">
        <v>208</v>
      </c>
      <c r="H2396">
        <v>200</v>
      </c>
      <c r="I2396" s="5" t="s">
        <v>17051</v>
      </c>
      <c r="J2396" s="5" t="s">
        <v>17052</v>
      </c>
      <c r="K2396" s="5" t="str">
        <f t="shared" si="74"/>
        <v>https://www.google.com/maps?q=-11.300313, -42.658020</v>
      </c>
      <c r="L2396" s="5" t="str">
        <f t="shared" si="75"/>
        <v>Abrir no Maps</v>
      </c>
      <c r="M2396" t="s">
        <v>17053</v>
      </c>
      <c r="N2396" s="5"/>
      <c r="O2396" t="str">
        <f>VLOOKUP(G2396,'[1]CONFIG.'!$B:$C,2,0)</f>
        <v>NEILTON</v>
      </c>
      <c r="P2396" t="str">
        <f>VLOOKUP(O2396,'[1]CONFIG.'!$C:$D,2,0)</f>
        <v>74 99857115</v>
      </c>
    </row>
    <row r="2397" spans="1:16" x14ac:dyDescent="0.3">
      <c r="A2397" t="s">
        <v>17054</v>
      </c>
      <c r="B2397" t="s">
        <v>17055</v>
      </c>
      <c r="C2397" t="s">
        <v>17056</v>
      </c>
      <c r="D2397" t="s">
        <v>6876</v>
      </c>
      <c r="E2397" t="s">
        <v>17057</v>
      </c>
      <c r="F2397" t="s">
        <v>137</v>
      </c>
      <c r="G2397">
        <v>208</v>
      </c>
      <c r="H2397">
        <v>200</v>
      </c>
      <c r="I2397" s="5" t="s">
        <v>17058</v>
      </c>
      <c r="J2397" s="5" t="s">
        <v>17059</v>
      </c>
      <c r="K2397" s="5" t="str">
        <f t="shared" si="74"/>
        <v>https://www.google.com/maps?q=-11.434270, -42.505627</v>
      </c>
      <c r="L2397" s="5" t="str">
        <f t="shared" si="75"/>
        <v>Abrir no Maps</v>
      </c>
      <c r="M2397" t="s">
        <v>17060</v>
      </c>
      <c r="N2397" s="5"/>
      <c r="O2397" t="str">
        <f>VLOOKUP(G2397,'[1]CONFIG.'!$B:$C,2,0)</f>
        <v>NEILTON</v>
      </c>
      <c r="P2397" t="str">
        <f>VLOOKUP(O2397,'[1]CONFIG.'!$C:$D,2,0)</f>
        <v>74 99857115</v>
      </c>
    </row>
    <row r="2398" spans="1:16" x14ac:dyDescent="0.3">
      <c r="A2398" t="s">
        <v>17061</v>
      </c>
      <c r="B2398" t="s">
        <v>17062</v>
      </c>
      <c r="C2398" t="s">
        <v>17063</v>
      </c>
      <c r="D2398" t="s">
        <v>6876</v>
      </c>
      <c r="E2398" t="s">
        <v>17064</v>
      </c>
      <c r="F2398" t="s">
        <v>137</v>
      </c>
      <c r="G2398">
        <v>208</v>
      </c>
      <c r="H2398">
        <v>200</v>
      </c>
      <c r="I2398" s="5" t="s">
        <v>17065</v>
      </c>
      <c r="J2398" s="5" t="s">
        <v>17066</v>
      </c>
      <c r="K2398" s="5" t="str">
        <f t="shared" si="74"/>
        <v>https://www.google.com/maps?q=-11.429842, -42.505592</v>
      </c>
      <c r="L2398" s="5" t="str">
        <f t="shared" si="75"/>
        <v>Abrir no Maps</v>
      </c>
      <c r="M2398">
        <v>0</v>
      </c>
      <c r="N2398" s="5"/>
      <c r="O2398" t="str">
        <f>VLOOKUP(G2398,'[1]CONFIG.'!$B:$C,2,0)</f>
        <v>NEILTON</v>
      </c>
      <c r="P2398" t="str">
        <f>VLOOKUP(O2398,'[1]CONFIG.'!$C:$D,2,0)</f>
        <v>74 99857115</v>
      </c>
    </row>
    <row r="2399" spans="1:16" x14ac:dyDescent="0.3">
      <c r="A2399" t="s">
        <v>17067</v>
      </c>
      <c r="B2399" t="s">
        <v>17068</v>
      </c>
      <c r="C2399" t="s">
        <v>17069</v>
      </c>
      <c r="D2399" t="s">
        <v>6876</v>
      </c>
      <c r="E2399" t="s">
        <v>17070</v>
      </c>
      <c r="F2399" t="s">
        <v>137</v>
      </c>
      <c r="G2399">
        <v>208</v>
      </c>
      <c r="H2399">
        <v>200</v>
      </c>
      <c r="I2399" s="5" t="s">
        <v>17071</v>
      </c>
      <c r="J2399" s="5" t="s">
        <v>17072</v>
      </c>
      <c r="K2399" s="5" t="str">
        <f t="shared" si="74"/>
        <v>https://www.google.com/maps?q=-11.436125, -42.506326</v>
      </c>
      <c r="L2399" s="5" t="str">
        <f t="shared" si="75"/>
        <v>Abrir no Maps</v>
      </c>
      <c r="M2399" t="s">
        <v>17073</v>
      </c>
      <c r="N2399" s="5"/>
      <c r="O2399" t="str">
        <f>VLOOKUP(G2399,'[1]CONFIG.'!$B:$C,2,0)</f>
        <v>NEILTON</v>
      </c>
      <c r="P2399" t="str">
        <f>VLOOKUP(O2399,'[1]CONFIG.'!$C:$D,2,0)</f>
        <v>74 99857115</v>
      </c>
    </row>
    <row r="2400" spans="1:16" x14ac:dyDescent="0.3">
      <c r="A2400" t="s">
        <v>17074</v>
      </c>
      <c r="B2400" t="s">
        <v>17075</v>
      </c>
      <c r="C2400" t="s">
        <v>17076</v>
      </c>
      <c r="D2400" t="s">
        <v>6876</v>
      </c>
      <c r="E2400" t="s">
        <v>17077</v>
      </c>
      <c r="F2400" t="s">
        <v>137</v>
      </c>
      <c r="G2400">
        <v>208</v>
      </c>
      <c r="H2400">
        <v>200</v>
      </c>
      <c r="I2400" s="5" t="s">
        <v>17078</v>
      </c>
      <c r="J2400" s="5" t="s">
        <v>17079</v>
      </c>
      <c r="K2400" s="5" t="str">
        <f t="shared" si="74"/>
        <v>https://www.google.com/maps?q=-11.431346, -42.505833</v>
      </c>
      <c r="L2400" s="5" t="str">
        <f t="shared" si="75"/>
        <v>Abrir no Maps</v>
      </c>
      <c r="M2400" t="s">
        <v>16306</v>
      </c>
      <c r="N2400" s="5"/>
      <c r="O2400" t="str">
        <f>VLOOKUP(G2400,'[1]CONFIG.'!$B:$C,2,0)</f>
        <v>NEILTON</v>
      </c>
      <c r="P2400" t="str">
        <f>VLOOKUP(O2400,'[1]CONFIG.'!$C:$D,2,0)</f>
        <v>74 99857115</v>
      </c>
    </row>
    <row r="2401" spans="1:16" x14ac:dyDescent="0.3">
      <c r="A2401" t="s">
        <v>17080</v>
      </c>
      <c r="B2401" t="s">
        <v>17081</v>
      </c>
      <c r="C2401" t="s">
        <v>17082</v>
      </c>
      <c r="D2401" t="s">
        <v>6876</v>
      </c>
      <c r="E2401" t="s">
        <v>17083</v>
      </c>
      <c r="F2401" t="s">
        <v>6922</v>
      </c>
      <c r="G2401">
        <v>208</v>
      </c>
      <c r="H2401">
        <v>200</v>
      </c>
      <c r="I2401" s="5" t="s">
        <v>17084</v>
      </c>
      <c r="J2401" s="5" t="s">
        <v>17085</v>
      </c>
      <c r="K2401" s="5" t="str">
        <f t="shared" si="74"/>
        <v>https://www.google.com/maps?q=-11.403047, -42.663790</v>
      </c>
      <c r="L2401" s="5" t="str">
        <f t="shared" si="75"/>
        <v>Abrir no Maps</v>
      </c>
      <c r="M2401" t="s">
        <v>17086</v>
      </c>
      <c r="N2401" s="5"/>
      <c r="O2401" t="str">
        <f>VLOOKUP(G2401,'[1]CONFIG.'!$B:$C,2,0)</f>
        <v>NEILTON</v>
      </c>
      <c r="P2401" t="str">
        <f>VLOOKUP(O2401,'[1]CONFIG.'!$C:$D,2,0)</f>
        <v>74 99857115</v>
      </c>
    </row>
    <row r="2402" spans="1:16" x14ac:dyDescent="0.3">
      <c r="A2402" t="s">
        <v>17087</v>
      </c>
      <c r="B2402" t="s">
        <v>17088</v>
      </c>
      <c r="C2402" t="s">
        <v>17089</v>
      </c>
      <c r="D2402" t="s">
        <v>6876</v>
      </c>
      <c r="E2402" t="s">
        <v>17090</v>
      </c>
      <c r="F2402" t="s">
        <v>6922</v>
      </c>
      <c r="G2402">
        <v>208</v>
      </c>
      <c r="H2402">
        <v>200</v>
      </c>
      <c r="I2402" s="5" t="s">
        <v>17091</v>
      </c>
      <c r="J2402" s="5" t="s">
        <v>17092</v>
      </c>
      <c r="K2402" s="5" t="str">
        <f t="shared" si="74"/>
        <v>https://www.google.com/maps?q=-11.403889, -42.664585</v>
      </c>
      <c r="L2402" s="5" t="str">
        <f t="shared" si="75"/>
        <v>Abrir no Maps</v>
      </c>
      <c r="M2402" t="s">
        <v>17093</v>
      </c>
      <c r="N2402" s="5"/>
      <c r="O2402" t="str">
        <f>VLOOKUP(G2402,'[1]CONFIG.'!$B:$C,2,0)</f>
        <v>NEILTON</v>
      </c>
      <c r="P2402" t="str">
        <f>VLOOKUP(O2402,'[1]CONFIG.'!$C:$D,2,0)</f>
        <v>74 99857115</v>
      </c>
    </row>
    <row r="2403" spans="1:16" x14ac:dyDescent="0.3">
      <c r="A2403" t="s">
        <v>17094</v>
      </c>
      <c r="B2403" t="s">
        <v>17095</v>
      </c>
      <c r="C2403" t="s">
        <v>17096</v>
      </c>
      <c r="D2403" t="s">
        <v>6876</v>
      </c>
      <c r="E2403" t="s">
        <v>17097</v>
      </c>
      <c r="F2403" t="s">
        <v>17098</v>
      </c>
      <c r="G2403">
        <v>208</v>
      </c>
      <c r="H2403">
        <v>200</v>
      </c>
      <c r="I2403" s="5" t="s">
        <v>17099</v>
      </c>
      <c r="J2403" s="5" t="s">
        <v>17100</v>
      </c>
      <c r="K2403" s="5" t="str">
        <f t="shared" si="74"/>
        <v>https://www.google.com/maps?q=-11.434324, -42.510452</v>
      </c>
      <c r="L2403" s="5" t="str">
        <f t="shared" si="75"/>
        <v>Abrir no Maps</v>
      </c>
      <c r="M2403" t="s">
        <v>17101</v>
      </c>
      <c r="N2403" s="5"/>
      <c r="O2403" t="str">
        <f>VLOOKUP(G2403,'[1]CONFIG.'!$B:$C,2,0)</f>
        <v>NEILTON</v>
      </c>
      <c r="P2403" t="str">
        <f>VLOOKUP(O2403,'[1]CONFIG.'!$C:$D,2,0)</f>
        <v>74 99857115</v>
      </c>
    </row>
    <row r="2404" spans="1:16" x14ac:dyDescent="0.3">
      <c r="A2404" t="s">
        <v>17102</v>
      </c>
      <c r="B2404" t="s">
        <v>17103</v>
      </c>
      <c r="C2404" t="s">
        <v>17104</v>
      </c>
      <c r="D2404" t="s">
        <v>6876</v>
      </c>
      <c r="E2404" t="s">
        <v>17105</v>
      </c>
      <c r="F2404" t="s">
        <v>137</v>
      </c>
      <c r="G2404">
        <v>208</v>
      </c>
      <c r="H2404">
        <v>200</v>
      </c>
      <c r="I2404" s="5" t="s">
        <v>17106</v>
      </c>
      <c r="J2404" s="5" t="s">
        <v>17107</v>
      </c>
      <c r="K2404" s="5" t="str">
        <f t="shared" si="74"/>
        <v>https://www.google.com/maps?q=-11.433526, -42.506306</v>
      </c>
      <c r="L2404" s="5" t="str">
        <f t="shared" si="75"/>
        <v>Abrir no Maps</v>
      </c>
      <c r="M2404" t="s">
        <v>17108</v>
      </c>
      <c r="N2404" s="5"/>
      <c r="O2404" t="str">
        <f>VLOOKUP(G2404,'[1]CONFIG.'!$B:$C,2,0)</f>
        <v>NEILTON</v>
      </c>
      <c r="P2404" t="str">
        <f>VLOOKUP(O2404,'[1]CONFIG.'!$C:$D,2,0)</f>
        <v>74 99857115</v>
      </c>
    </row>
    <row r="2405" spans="1:16" x14ac:dyDescent="0.3">
      <c r="A2405" t="s">
        <v>17109</v>
      </c>
      <c r="B2405" t="s">
        <v>17110</v>
      </c>
      <c r="C2405" t="s">
        <v>17111</v>
      </c>
      <c r="D2405" t="s">
        <v>6876</v>
      </c>
      <c r="E2405" t="s">
        <v>17112</v>
      </c>
      <c r="F2405" t="s">
        <v>137</v>
      </c>
      <c r="G2405">
        <v>208</v>
      </c>
      <c r="H2405">
        <v>200</v>
      </c>
      <c r="I2405" s="5" t="s">
        <v>17113</v>
      </c>
      <c r="J2405" s="5" t="s">
        <v>17114</v>
      </c>
      <c r="K2405" s="5" t="str">
        <f t="shared" si="74"/>
        <v>https://www.google.com/maps?q=-11.428760, -42.504910</v>
      </c>
      <c r="L2405" s="5" t="str">
        <f t="shared" si="75"/>
        <v>Abrir no Maps</v>
      </c>
      <c r="M2405" t="s">
        <v>17115</v>
      </c>
      <c r="N2405" s="5"/>
      <c r="O2405" t="str">
        <f>VLOOKUP(G2405,'[1]CONFIG.'!$B:$C,2,0)</f>
        <v>NEILTON</v>
      </c>
      <c r="P2405" t="str">
        <f>VLOOKUP(O2405,'[1]CONFIG.'!$C:$D,2,0)</f>
        <v>74 99857115</v>
      </c>
    </row>
    <row r="2406" spans="1:16" x14ac:dyDescent="0.3">
      <c r="A2406" t="s">
        <v>17116</v>
      </c>
      <c r="B2406" t="s">
        <v>17117</v>
      </c>
      <c r="C2406" t="s">
        <v>17118</v>
      </c>
      <c r="D2406" t="s">
        <v>6876</v>
      </c>
      <c r="E2406" t="s">
        <v>17119</v>
      </c>
      <c r="F2406" t="s">
        <v>6899</v>
      </c>
      <c r="G2406">
        <v>208</v>
      </c>
      <c r="H2406">
        <v>200</v>
      </c>
      <c r="I2406" s="5" t="s">
        <v>17120</v>
      </c>
      <c r="J2406" s="5" t="s">
        <v>17121</v>
      </c>
      <c r="K2406" s="5" t="str">
        <f t="shared" si="74"/>
        <v>https://www.google.com/maps?q=-11.104227, -42.737390</v>
      </c>
      <c r="L2406" s="5" t="str">
        <f t="shared" si="75"/>
        <v>Abrir no Maps</v>
      </c>
      <c r="M2406" t="s">
        <v>17122</v>
      </c>
      <c r="N2406" s="5"/>
      <c r="O2406" t="str">
        <f>VLOOKUP(G2406,'[1]CONFIG.'!$B:$C,2,0)</f>
        <v>NEILTON</v>
      </c>
      <c r="P2406" t="str">
        <f>VLOOKUP(O2406,'[1]CONFIG.'!$C:$D,2,0)</f>
        <v>74 99857115</v>
      </c>
    </row>
    <row r="2407" spans="1:16" x14ac:dyDescent="0.3">
      <c r="A2407" t="s">
        <v>17123</v>
      </c>
      <c r="B2407" t="s">
        <v>17124</v>
      </c>
      <c r="C2407" t="s">
        <v>17125</v>
      </c>
      <c r="D2407" t="s">
        <v>6876</v>
      </c>
      <c r="E2407" t="s">
        <v>17126</v>
      </c>
      <c r="F2407" t="s">
        <v>137</v>
      </c>
      <c r="G2407">
        <v>208</v>
      </c>
      <c r="H2407">
        <v>200</v>
      </c>
      <c r="I2407" s="5" t="s">
        <v>17127</v>
      </c>
      <c r="J2407" s="5" t="s">
        <v>17128</v>
      </c>
      <c r="K2407" s="5" t="str">
        <f t="shared" si="74"/>
        <v>https://www.google.com/maps?q=-11.431191, -42.506081</v>
      </c>
      <c r="L2407" s="5" t="str">
        <f t="shared" si="75"/>
        <v>Abrir no Maps</v>
      </c>
      <c r="M2407" t="s">
        <v>17129</v>
      </c>
      <c r="N2407" s="5"/>
      <c r="O2407" t="str">
        <f>VLOOKUP(G2407,'[1]CONFIG.'!$B:$C,2,0)</f>
        <v>NEILTON</v>
      </c>
      <c r="P2407" t="str">
        <f>VLOOKUP(O2407,'[1]CONFIG.'!$C:$D,2,0)</f>
        <v>74 99857115</v>
      </c>
    </row>
    <row r="2408" spans="1:16" x14ac:dyDescent="0.3">
      <c r="A2408" t="s">
        <v>17130</v>
      </c>
      <c r="B2408" t="s">
        <v>13127</v>
      </c>
      <c r="C2408" t="s">
        <v>17131</v>
      </c>
      <c r="D2408" t="s">
        <v>6876</v>
      </c>
      <c r="E2408" t="s">
        <v>17132</v>
      </c>
      <c r="F2408" t="s">
        <v>137</v>
      </c>
      <c r="G2408">
        <v>208</v>
      </c>
      <c r="H2408">
        <v>200</v>
      </c>
      <c r="I2408" s="5" t="s">
        <v>17133</v>
      </c>
      <c r="J2408" s="5" t="s">
        <v>17134</v>
      </c>
      <c r="K2408" s="5" t="str">
        <f t="shared" si="74"/>
        <v>https://www.google.com/maps?q=-11.433741, -42.506211</v>
      </c>
      <c r="L2408" s="5" t="str">
        <f t="shared" si="75"/>
        <v>Abrir no Maps</v>
      </c>
      <c r="M2408" t="s">
        <v>17135</v>
      </c>
      <c r="N2408" s="5"/>
      <c r="O2408" t="str">
        <f>VLOOKUP(G2408,'[1]CONFIG.'!$B:$C,2,0)</f>
        <v>NEILTON</v>
      </c>
      <c r="P2408" t="str">
        <f>VLOOKUP(O2408,'[1]CONFIG.'!$C:$D,2,0)</f>
        <v>74 99857115</v>
      </c>
    </row>
    <row r="2409" spans="1:16" x14ac:dyDescent="0.3">
      <c r="A2409" t="s">
        <v>17136</v>
      </c>
      <c r="B2409" t="s">
        <v>17137</v>
      </c>
      <c r="C2409" t="s">
        <v>17138</v>
      </c>
      <c r="D2409" t="s">
        <v>6876</v>
      </c>
      <c r="E2409" t="s">
        <v>17139</v>
      </c>
      <c r="F2409" t="s">
        <v>17140</v>
      </c>
      <c r="G2409">
        <v>208</v>
      </c>
      <c r="H2409">
        <v>200</v>
      </c>
      <c r="I2409" s="5" t="s">
        <v>17141</v>
      </c>
      <c r="J2409" s="5" t="s">
        <v>17142</v>
      </c>
      <c r="K2409" s="5" t="str">
        <f t="shared" si="74"/>
        <v>https://www.google.com/maps?q=-11.422749, -42.682140</v>
      </c>
      <c r="L2409" s="5" t="str">
        <f t="shared" si="75"/>
        <v>Abrir no Maps</v>
      </c>
      <c r="M2409" t="s">
        <v>17143</v>
      </c>
      <c r="N2409" s="5"/>
      <c r="O2409" t="str">
        <f>VLOOKUP(G2409,'[1]CONFIG.'!$B:$C,2,0)</f>
        <v>NEILTON</v>
      </c>
      <c r="P2409" t="str">
        <f>VLOOKUP(O2409,'[1]CONFIG.'!$C:$D,2,0)</f>
        <v>74 99857115</v>
      </c>
    </row>
    <row r="2410" spans="1:16" x14ac:dyDescent="0.3">
      <c r="A2410" t="s">
        <v>17144</v>
      </c>
      <c r="B2410" t="s">
        <v>17145</v>
      </c>
      <c r="C2410" t="s">
        <v>17146</v>
      </c>
      <c r="D2410" t="s">
        <v>6876</v>
      </c>
      <c r="E2410" t="s">
        <v>17147</v>
      </c>
      <c r="F2410" t="s">
        <v>137</v>
      </c>
      <c r="G2410">
        <v>208</v>
      </c>
      <c r="H2410">
        <v>200</v>
      </c>
      <c r="I2410" s="5" t="s">
        <v>17148</v>
      </c>
      <c r="J2410" s="5" t="s">
        <v>17149</v>
      </c>
      <c r="K2410" s="5" t="str">
        <f t="shared" si="74"/>
        <v>https://www.google.com/maps?q=-11.429286, -42.504893</v>
      </c>
      <c r="L2410" s="5" t="str">
        <f t="shared" si="75"/>
        <v>Abrir no Maps</v>
      </c>
      <c r="M2410" t="s">
        <v>17150</v>
      </c>
      <c r="N2410" s="5"/>
      <c r="O2410" t="str">
        <f>VLOOKUP(G2410,'[1]CONFIG.'!$B:$C,2,0)</f>
        <v>NEILTON</v>
      </c>
      <c r="P2410" t="str">
        <f>VLOOKUP(O2410,'[1]CONFIG.'!$C:$D,2,0)</f>
        <v>74 99857115</v>
      </c>
    </row>
    <row r="2411" spans="1:16" x14ac:dyDescent="0.3">
      <c r="A2411" t="s">
        <v>17151</v>
      </c>
      <c r="B2411" t="s">
        <v>17152</v>
      </c>
      <c r="C2411" t="s">
        <v>17153</v>
      </c>
      <c r="D2411" t="s">
        <v>6876</v>
      </c>
      <c r="E2411" t="s">
        <v>17154</v>
      </c>
      <c r="F2411" t="s">
        <v>6922</v>
      </c>
      <c r="G2411">
        <v>208</v>
      </c>
      <c r="H2411">
        <v>200</v>
      </c>
      <c r="I2411" s="5" t="s">
        <v>17155</v>
      </c>
      <c r="J2411" s="5" t="s">
        <v>17156</v>
      </c>
      <c r="K2411" s="5" t="str">
        <f t="shared" si="74"/>
        <v>https://www.google.com/maps?q=-11.401447, -42.663994</v>
      </c>
      <c r="L2411" s="5" t="str">
        <f t="shared" si="75"/>
        <v>Abrir no Maps</v>
      </c>
      <c r="M2411" t="s">
        <v>17157</v>
      </c>
      <c r="N2411" s="5"/>
      <c r="O2411" t="str">
        <f>VLOOKUP(G2411,'[1]CONFIG.'!$B:$C,2,0)</f>
        <v>NEILTON</v>
      </c>
      <c r="P2411" t="str">
        <f>VLOOKUP(O2411,'[1]CONFIG.'!$C:$D,2,0)</f>
        <v>74 99857115</v>
      </c>
    </row>
    <row r="2412" spans="1:16" x14ac:dyDescent="0.3">
      <c r="A2412" t="s">
        <v>17158</v>
      </c>
      <c r="B2412" t="s">
        <v>17159</v>
      </c>
      <c r="C2412" t="s">
        <v>17160</v>
      </c>
      <c r="D2412" t="s">
        <v>14866</v>
      </c>
      <c r="E2412" t="s">
        <v>17161</v>
      </c>
      <c r="F2412" t="s">
        <v>17162</v>
      </c>
      <c r="G2412">
        <v>215</v>
      </c>
      <c r="H2412">
        <v>300</v>
      </c>
      <c r="I2412" s="5" t="s">
        <v>17163</v>
      </c>
      <c r="J2412" s="5" t="s">
        <v>17164</v>
      </c>
      <c r="K2412" s="5" t="str">
        <f t="shared" si="74"/>
        <v>https://www.google.com/maps?q=-10.890411, -40.699770</v>
      </c>
      <c r="L2412" s="5" t="str">
        <f t="shared" si="75"/>
        <v>Abrir no Maps</v>
      </c>
      <c r="M2412" t="s">
        <v>17165</v>
      </c>
      <c r="N2412" s="5"/>
      <c r="O2412" t="s">
        <v>11509</v>
      </c>
      <c r="P2412" t="e">
        <f>VLOOKUP(O2412,'[1]CONFIG.'!$C:$D,2,0)</f>
        <v>#N/A</v>
      </c>
    </row>
    <row r="2413" spans="1:16" x14ac:dyDescent="0.3">
      <c r="A2413" t="s">
        <v>17166</v>
      </c>
      <c r="B2413" t="s">
        <v>17167</v>
      </c>
      <c r="C2413" t="s">
        <v>17168</v>
      </c>
      <c r="D2413" t="s">
        <v>14866</v>
      </c>
      <c r="E2413" t="s">
        <v>17169</v>
      </c>
      <c r="F2413" t="s">
        <v>11784</v>
      </c>
      <c r="G2413">
        <v>215</v>
      </c>
      <c r="H2413">
        <v>300</v>
      </c>
      <c r="I2413" s="5" t="s">
        <v>17170</v>
      </c>
      <c r="J2413" s="5" t="s">
        <v>17171</v>
      </c>
      <c r="K2413" s="5" t="str">
        <f t="shared" si="74"/>
        <v>https://www.google.com/maps?q=-10.987868, -40.743030</v>
      </c>
      <c r="L2413" s="5" t="str">
        <f t="shared" si="75"/>
        <v>Abrir no Maps</v>
      </c>
      <c r="M2413" t="s">
        <v>17172</v>
      </c>
      <c r="N2413" s="5"/>
      <c r="O2413" t="s">
        <v>11509</v>
      </c>
      <c r="P2413" t="e">
        <f>VLOOKUP(O2413,'[1]CONFIG.'!$C:$D,2,0)</f>
        <v>#N/A</v>
      </c>
    </row>
    <row r="2414" spans="1:16" x14ac:dyDescent="0.3">
      <c r="A2414" t="s">
        <v>17173</v>
      </c>
      <c r="B2414" t="s">
        <v>17174</v>
      </c>
      <c r="C2414" t="s">
        <v>17175</v>
      </c>
      <c r="D2414" t="s">
        <v>14866</v>
      </c>
      <c r="E2414" t="s">
        <v>17176</v>
      </c>
      <c r="F2414" t="s">
        <v>14897</v>
      </c>
      <c r="G2414">
        <v>215</v>
      </c>
      <c r="H2414">
        <v>300</v>
      </c>
      <c r="I2414" s="5" t="s">
        <v>17177</v>
      </c>
      <c r="J2414" s="5" t="s">
        <v>17178</v>
      </c>
      <c r="K2414" s="5" t="str">
        <f t="shared" si="74"/>
        <v>https://www.google.com/maps?q=-10.890326, -40.700554</v>
      </c>
      <c r="L2414" s="5" t="str">
        <f t="shared" si="75"/>
        <v>Abrir no Maps</v>
      </c>
      <c r="M2414" t="s">
        <v>17179</v>
      </c>
      <c r="N2414" s="5"/>
      <c r="O2414" t="s">
        <v>11509</v>
      </c>
      <c r="P2414" t="e">
        <f>VLOOKUP(O2414,'[1]CONFIG.'!$C:$D,2,0)</f>
        <v>#N/A</v>
      </c>
    </row>
    <row r="2415" spans="1:16" x14ac:dyDescent="0.3">
      <c r="A2415" t="s">
        <v>17180</v>
      </c>
      <c r="B2415" t="s">
        <v>17181</v>
      </c>
      <c r="C2415" t="s">
        <v>17182</v>
      </c>
      <c r="D2415" t="s">
        <v>14866</v>
      </c>
      <c r="E2415" t="s">
        <v>17183</v>
      </c>
      <c r="F2415" t="s">
        <v>14897</v>
      </c>
      <c r="G2415">
        <v>215</v>
      </c>
      <c r="H2415">
        <v>300</v>
      </c>
      <c r="I2415" s="5" t="s">
        <v>17184</v>
      </c>
      <c r="J2415" s="5" t="s">
        <v>17185</v>
      </c>
      <c r="K2415" s="5" t="str">
        <f t="shared" si="74"/>
        <v>https://www.google.com/maps?q=-10.890449, -40.700530</v>
      </c>
      <c r="L2415" s="5" t="str">
        <f t="shared" si="75"/>
        <v>Abrir no Maps</v>
      </c>
      <c r="M2415" t="s">
        <v>17186</v>
      </c>
      <c r="N2415" s="5"/>
      <c r="O2415" t="s">
        <v>11509</v>
      </c>
      <c r="P2415" t="e">
        <f>VLOOKUP(O2415,'[1]CONFIG.'!$C:$D,2,0)</f>
        <v>#N/A</v>
      </c>
    </row>
    <row r="2416" spans="1:16" x14ac:dyDescent="0.3">
      <c r="A2416" t="s">
        <v>17187</v>
      </c>
      <c r="B2416" t="s">
        <v>17188</v>
      </c>
      <c r="C2416" t="s">
        <v>17189</v>
      </c>
      <c r="D2416" t="s">
        <v>14866</v>
      </c>
      <c r="E2416" t="s">
        <v>17190</v>
      </c>
      <c r="F2416" t="s">
        <v>688</v>
      </c>
      <c r="G2416">
        <v>215</v>
      </c>
      <c r="H2416">
        <v>300</v>
      </c>
      <c r="I2416" s="5" t="s">
        <v>17191</v>
      </c>
      <c r="J2416" s="5" t="s">
        <v>17192</v>
      </c>
      <c r="K2416" s="5" t="str">
        <f t="shared" si="74"/>
        <v>https://www.google.com/maps?q=-10.954434, -40.575474</v>
      </c>
      <c r="L2416" s="5" t="str">
        <f t="shared" si="75"/>
        <v>Abrir no Maps</v>
      </c>
      <c r="M2416" t="s">
        <v>17193</v>
      </c>
      <c r="N2416" s="5"/>
      <c r="O2416" t="s">
        <v>11509</v>
      </c>
      <c r="P2416" t="e">
        <f>VLOOKUP(O2416,'[1]CONFIG.'!$C:$D,2,0)</f>
        <v>#N/A</v>
      </c>
    </row>
    <row r="2417" spans="1:16" x14ac:dyDescent="0.3">
      <c r="A2417" t="s">
        <v>17194</v>
      </c>
      <c r="B2417" t="s">
        <v>17195</v>
      </c>
      <c r="C2417" t="s">
        <v>17196</v>
      </c>
      <c r="D2417" t="s">
        <v>14866</v>
      </c>
      <c r="E2417" t="s">
        <v>17197</v>
      </c>
      <c r="F2417" t="s">
        <v>137</v>
      </c>
      <c r="G2417">
        <v>215</v>
      </c>
      <c r="H2417">
        <v>300</v>
      </c>
      <c r="I2417" s="5" t="s">
        <v>17198</v>
      </c>
      <c r="J2417" s="5" t="s">
        <v>17199</v>
      </c>
      <c r="K2417" s="5" t="str">
        <f t="shared" si="74"/>
        <v>https://www.google.com/maps?q=-10.955438, -40.575314</v>
      </c>
      <c r="L2417" s="5" t="str">
        <f t="shared" si="75"/>
        <v>Abrir no Maps</v>
      </c>
      <c r="M2417" t="s">
        <v>17200</v>
      </c>
      <c r="N2417" s="5"/>
      <c r="O2417" t="s">
        <v>11509</v>
      </c>
      <c r="P2417" t="e">
        <f>VLOOKUP(O2417,'[1]CONFIG.'!$C:$D,2,0)</f>
        <v>#N/A</v>
      </c>
    </row>
    <row r="2418" spans="1:16" x14ac:dyDescent="0.3">
      <c r="A2418" t="s">
        <v>17201</v>
      </c>
      <c r="B2418" t="s">
        <v>17202</v>
      </c>
      <c r="C2418" t="s">
        <v>17203</v>
      </c>
      <c r="D2418" t="s">
        <v>14866</v>
      </c>
      <c r="E2418" t="s">
        <v>17204</v>
      </c>
      <c r="F2418" t="s">
        <v>137</v>
      </c>
      <c r="G2418">
        <v>215</v>
      </c>
      <c r="H2418">
        <v>300</v>
      </c>
      <c r="I2418" s="5" t="s">
        <v>17205</v>
      </c>
      <c r="J2418" s="5" t="s">
        <v>17206</v>
      </c>
      <c r="K2418" s="5" t="str">
        <f t="shared" si="74"/>
        <v>https://www.google.com/maps?q=-10.954722, -40.575280</v>
      </c>
      <c r="L2418" s="5" t="str">
        <f t="shared" si="75"/>
        <v>Abrir no Maps</v>
      </c>
      <c r="M2418" t="s">
        <v>17207</v>
      </c>
      <c r="N2418" s="5"/>
      <c r="O2418" t="s">
        <v>11509</v>
      </c>
      <c r="P2418" t="e">
        <f>VLOOKUP(O2418,'[1]CONFIG.'!$C:$D,2,0)</f>
        <v>#N/A</v>
      </c>
    </row>
    <row r="2419" spans="1:16" x14ac:dyDescent="0.3">
      <c r="A2419" t="s">
        <v>17208</v>
      </c>
      <c r="B2419" t="s">
        <v>17209</v>
      </c>
      <c r="C2419" t="s">
        <v>17210</v>
      </c>
      <c r="D2419" t="s">
        <v>14866</v>
      </c>
      <c r="E2419" t="s">
        <v>17211</v>
      </c>
      <c r="F2419" t="s">
        <v>137</v>
      </c>
      <c r="G2419">
        <v>215</v>
      </c>
      <c r="H2419">
        <v>300</v>
      </c>
      <c r="I2419" s="5" t="s">
        <v>17212</v>
      </c>
      <c r="J2419" s="5" t="s">
        <v>17213</v>
      </c>
      <c r="K2419" s="5" t="str">
        <f t="shared" si="74"/>
        <v>https://www.google.com/maps?q=-10.954166, -40.576110</v>
      </c>
      <c r="L2419" s="5" t="str">
        <f t="shared" si="75"/>
        <v>Abrir no Maps</v>
      </c>
      <c r="M2419" t="s">
        <v>17214</v>
      </c>
      <c r="N2419" s="5"/>
      <c r="O2419" t="s">
        <v>11509</v>
      </c>
      <c r="P2419" t="e">
        <f>VLOOKUP(O2419,'[1]CONFIG.'!$C:$D,2,0)</f>
        <v>#N/A</v>
      </c>
    </row>
    <row r="2420" spans="1:16" x14ac:dyDescent="0.3">
      <c r="A2420" t="s">
        <v>17215</v>
      </c>
      <c r="B2420" t="s">
        <v>17216</v>
      </c>
      <c r="C2420" t="s">
        <v>17217</v>
      </c>
      <c r="D2420" t="s">
        <v>14866</v>
      </c>
      <c r="E2420" t="s">
        <v>17218</v>
      </c>
      <c r="F2420" t="s">
        <v>17219</v>
      </c>
      <c r="G2420">
        <v>215</v>
      </c>
      <c r="H2420">
        <v>300</v>
      </c>
      <c r="I2420" s="5" t="s">
        <v>17220</v>
      </c>
      <c r="J2420" s="5" t="s">
        <v>17221</v>
      </c>
      <c r="K2420" s="5" t="str">
        <f t="shared" si="74"/>
        <v>https://www.google.com/maps?q=-10.890000, -40.698055</v>
      </c>
      <c r="L2420" s="5" t="str">
        <f t="shared" si="75"/>
        <v>Abrir no Maps</v>
      </c>
      <c r="M2420" t="s">
        <v>17222</v>
      </c>
      <c r="N2420" s="5"/>
      <c r="O2420" t="s">
        <v>11509</v>
      </c>
      <c r="P2420" t="e">
        <f>VLOOKUP(O2420,'[1]CONFIG.'!$C:$D,2,0)</f>
        <v>#N/A</v>
      </c>
    </row>
    <row r="2421" spans="1:16" x14ac:dyDescent="0.3">
      <c r="A2421" t="s">
        <v>17223</v>
      </c>
      <c r="B2421" t="s">
        <v>17224</v>
      </c>
      <c r="C2421" t="s">
        <v>17225</v>
      </c>
      <c r="D2421" t="s">
        <v>14866</v>
      </c>
      <c r="E2421" t="s">
        <v>17226</v>
      </c>
      <c r="F2421" t="s">
        <v>14720</v>
      </c>
      <c r="G2421">
        <v>215</v>
      </c>
      <c r="H2421">
        <v>300</v>
      </c>
      <c r="I2421" s="5" t="s">
        <v>17227</v>
      </c>
      <c r="J2421" s="5" t="s">
        <v>17228</v>
      </c>
      <c r="K2421" s="5" t="str">
        <f t="shared" si="74"/>
        <v>https://www.google.com/maps?q=-11.053611, -40.779724</v>
      </c>
      <c r="L2421" s="5" t="str">
        <f t="shared" si="75"/>
        <v>Abrir no Maps</v>
      </c>
      <c r="M2421" t="s">
        <v>17229</v>
      </c>
      <c r="N2421" s="5"/>
      <c r="O2421" t="s">
        <v>11509</v>
      </c>
      <c r="P2421" t="e">
        <f>VLOOKUP(O2421,'[1]CONFIG.'!$C:$D,2,0)</f>
        <v>#N/A</v>
      </c>
    </row>
    <row r="2422" spans="1:16" x14ac:dyDescent="0.3">
      <c r="A2422" t="s">
        <v>17230</v>
      </c>
      <c r="B2422" t="s">
        <v>17231</v>
      </c>
      <c r="C2422" t="s">
        <v>17232</v>
      </c>
      <c r="D2422" t="s">
        <v>14866</v>
      </c>
      <c r="E2422" t="s">
        <v>17233</v>
      </c>
      <c r="F2422" t="s">
        <v>14897</v>
      </c>
      <c r="G2422">
        <v>215</v>
      </c>
      <c r="H2422">
        <v>300</v>
      </c>
      <c r="I2422" s="5" t="s">
        <v>17234</v>
      </c>
      <c r="J2422" s="5" t="s">
        <v>17235</v>
      </c>
      <c r="K2422" s="5" t="str">
        <f t="shared" si="74"/>
        <v>https://www.google.com/maps?q=-10.890622, -40.697150</v>
      </c>
      <c r="L2422" s="5" t="str">
        <f t="shared" si="75"/>
        <v>Abrir no Maps</v>
      </c>
      <c r="M2422" t="s">
        <v>17236</v>
      </c>
      <c r="N2422" s="5"/>
      <c r="O2422" t="s">
        <v>11509</v>
      </c>
      <c r="P2422" t="e">
        <f>VLOOKUP(O2422,'[1]CONFIG.'!$C:$D,2,0)</f>
        <v>#N/A</v>
      </c>
    </row>
    <row r="2423" spans="1:16" x14ac:dyDescent="0.3">
      <c r="A2423" t="s">
        <v>17237</v>
      </c>
      <c r="B2423" t="s">
        <v>17238</v>
      </c>
      <c r="C2423" t="s">
        <v>17239</v>
      </c>
      <c r="D2423" t="s">
        <v>14866</v>
      </c>
      <c r="E2423" t="s">
        <v>17240</v>
      </c>
      <c r="F2423" t="s">
        <v>137</v>
      </c>
      <c r="G2423">
        <v>215</v>
      </c>
      <c r="H2423">
        <v>300</v>
      </c>
      <c r="I2423" s="5" t="s">
        <v>17241</v>
      </c>
      <c r="J2423" s="5" t="s">
        <v>17242</v>
      </c>
      <c r="K2423" s="5" t="str">
        <f t="shared" si="74"/>
        <v>https://www.google.com/maps?q=-10.952369, -40.574910</v>
      </c>
      <c r="L2423" s="5" t="str">
        <f t="shared" si="75"/>
        <v>Abrir no Maps</v>
      </c>
      <c r="M2423" t="s">
        <v>17243</v>
      </c>
      <c r="N2423" s="5"/>
      <c r="O2423" t="s">
        <v>11509</v>
      </c>
      <c r="P2423" t="e">
        <f>VLOOKUP(O2423,'[1]CONFIG.'!$C:$D,2,0)</f>
        <v>#N/A</v>
      </c>
    </row>
    <row r="2424" spans="1:16" x14ac:dyDescent="0.3">
      <c r="A2424" t="s">
        <v>17244</v>
      </c>
      <c r="B2424" t="s">
        <v>17245</v>
      </c>
      <c r="C2424" t="s">
        <v>17246</v>
      </c>
      <c r="D2424" t="s">
        <v>14866</v>
      </c>
      <c r="E2424" t="s">
        <v>17247</v>
      </c>
      <c r="F2424" t="s">
        <v>14897</v>
      </c>
      <c r="G2424">
        <v>215</v>
      </c>
      <c r="H2424">
        <v>300</v>
      </c>
      <c r="I2424" s="5" t="s">
        <v>17248</v>
      </c>
      <c r="J2424" s="5" t="s">
        <v>17249</v>
      </c>
      <c r="K2424" s="5" t="str">
        <f t="shared" si="74"/>
        <v>https://www.google.com/maps?q=-10.890602, -40.700720</v>
      </c>
      <c r="L2424" s="5" t="str">
        <f t="shared" si="75"/>
        <v>Abrir no Maps</v>
      </c>
      <c r="M2424" t="s">
        <v>17250</v>
      </c>
      <c r="N2424" s="5"/>
      <c r="O2424" t="s">
        <v>11509</v>
      </c>
      <c r="P2424" t="e">
        <f>VLOOKUP(O2424,'[1]CONFIG.'!$C:$D,2,0)</f>
        <v>#N/A</v>
      </c>
    </row>
    <row r="2425" spans="1:16" x14ac:dyDescent="0.3">
      <c r="A2425" t="s">
        <v>17251</v>
      </c>
      <c r="B2425" t="s">
        <v>17252</v>
      </c>
      <c r="C2425" t="s">
        <v>17253</v>
      </c>
      <c r="D2425" t="s">
        <v>14866</v>
      </c>
      <c r="E2425" t="s">
        <v>17254</v>
      </c>
      <c r="F2425" t="s">
        <v>137</v>
      </c>
      <c r="G2425">
        <v>215</v>
      </c>
      <c r="H2425">
        <v>300</v>
      </c>
      <c r="I2425" s="5" t="s">
        <v>17255</v>
      </c>
      <c r="J2425" s="5" t="s">
        <v>17256</v>
      </c>
      <c r="K2425" s="5" t="str">
        <f t="shared" si="74"/>
        <v>https://www.google.com/maps?q=-10.954306, -40.575623</v>
      </c>
      <c r="L2425" s="5" t="str">
        <f t="shared" si="75"/>
        <v>Abrir no Maps</v>
      </c>
      <c r="M2425" t="s">
        <v>17257</v>
      </c>
      <c r="N2425" s="5"/>
      <c r="O2425" t="s">
        <v>11509</v>
      </c>
      <c r="P2425" t="e">
        <f>VLOOKUP(O2425,'[1]CONFIG.'!$C:$D,2,0)</f>
        <v>#N/A</v>
      </c>
    </row>
    <row r="2426" spans="1:16" x14ac:dyDescent="0.3">
      <c r="A2426" t="s">
        <v>17258</v>
      </c>
      <c r="B2426" t="s">
        <v>17259</v>
      </c>
      <c r="C2426" t="s">
        <v>17260</v>
      </c>
      <c r="D2426" t="s">
        <v>14866</v>
      </c>
      <c r="E2426" t="s">
        <v>17261</v>
      </c>
      <c r="F2426" t="s">
        <v>17262</v>
      </c>
      <c r="G2426">
        <v>215</v>
      </c>
      <c r="H2426">
        <v>300</v>
      </c>
      <c r="I2426" s="5" t="s">
        <v>17263</v>
      </c>
      <c r="J2426" s="5" t="s">
        <v>17264</v>
      </c>
      <c r="K2426" s="5" t="str">
        <f t="shared" si="74"/>
        <v>https://www.google.com/maps?q=-10.895456, -40.685276</v>
      </c>
      <c r="L2426" s="5" t="str">
        <f t="shared" si="75"/>
        <v>Abrir no Maps</v>
      </c>
      <c r="M2426" t="s">
        <v>17265</v>
      </c>
      <c r="N2426" s="5"/>
      <c r="O2426" t="s">
        <v>11509</v>
      </c>
      <c r="P2426" t="e">
        <f>VLOOKUP(O2426,'[1]CONFIG.'!$C:$D,2,0)</f>
        <v>#N/A</v>
      </c>
    </row>
    <row r="2427" spans="1:16" x14ac:dyDescent="0.3">
      <c r="A2427" t="s">
        <v>17266</v>
      </c>
      <c r="B2427" t="s">
        <v>17267</v>
      </c>
      <c r="C2427" t="s">
        <v>17268</v>
      </c>
      <c r="D2427" t="s">
        <v>14866</v>
      </c>
      <c r="E2427" t="s">
        <v>17269</v>
      </c>
      <c r="F2427" t="s">
        <v>137</v>
      </c>
      <c r="G2427">
        <v>215</v>
      </c>
      <c r="H2427">
        <v>300</v>
      </c>
      <c r="I2427" s="5" t="s">
        <v>17270</v>
      </c>
      <c r="J2427" s="5" t="s">
        <v>17271</v>
      </c>
      <c r="K2427" s="5" t="str">
        <f t="shared" si="74"/>
        <v>https://www.google.com/maps?q=-10.955666, -40.573670</v>
      </c>
      <c r="L2427" s="5" t="str">
        <f t="shared" si="75"/>
        <v>Abrir no Maps</v>
      </c>
      <c r="M2427" t="s">
        <v>17272</v>
      </c>
      <c r="N2427" s="5"/>
      <c r="O2427" t="s">
        <v>11509</v>
      </c>
      <c r="P2427" t="e">
        <f>VLOOKUP(O2427,'[1]CONFIG.'!$C:$D,2,0)</f>
        <v>#N/A</v>
      </c>
    </row>
    <row r="2428" spans="1:16" x14ac:dyDescent="0.3">
      <c r="A2428" t="s">
        <v>17273</v>
      </c>
      <c r="B2428" t="s">
        <v>17274</v>
      </c>
      <c r="C2428" t="s">
        <v>17275</v>
      </c>
      <c r="D2428" t="s">
        <v>14866</v>
      </c>
      <c r="E2428" t="s">
        <v>17276</v>
      </c>
      <c r="F2428" t="s">
        <v>14897</v>
      </c>
      <c r="G2428">
        <v>215</v>
      </c>
      <c r="H2428">
        <v>300</v>
      </c>
      <c r="I2428" s="5" t="s">
        <v>17277</v>
      </c>
      <c r="J2428" s="5" t="s">
        <v>17278</v>
      </c>
      <c r="K2428" s="5" t="str">
        <f t="shared" si="74"/>
        <v>https://www.google.com/maps?q=-10.890609, -40.697857</v>
      </c>
      <c r="L2428" s="5" t="str">
        <f t="shared" si="75"/>
        <v>Abrir no Maps</v>
      </c>
      <c r="M2428" t="s">
        <v>17279</v>
      </c>
      <c r="N2428" s="5"/>
      <c r="O2428" t="s">
        <v>11509</v>
      </c>
      <c r="P2428" t="e">
        <f>VLOOKUP(O2428,'[1]CONFIG.'!$C:$D,2,0)</f>
        <v>#N/A</v>
      </c>
    </row>
    <row r="2429" spans="1:16" x14ac:dyDescent="0.3">
      <c r="A2429" t="s">
        <v>17280</v>
      </c>
      <c r="B2429" t="s">
        <v>17281</v>
      </c>
      <c r="C2429" t="s">
        <v>17282</v>
      </c>
      <c r="D2429" t="s">
        <v>14866</v>
      </c>
      <c r="E2429" t="s">
        <v>17283</v>
      </c>
      <c r="F2429" t="s">
        <v>14897</v>
      </c>
      <c r="G2429">
        <v>215</v>
      </c>
      <c r="H2429">
        <v>300</v>
      </c>
      <c r="I2429" s="5" t="s">
        <v>17284</v>
      </c>
      <c r="J2429" s="5" t="s">
        <v>17285</v>
      </c>
      <c r="K2429" s="5" t="str">
        <f t="shared" si="74"/>
        <v>https://www.google.com/maps?q=-10.895673, -40.685028</v>
      </c>
      <c r="L2429" s="5" t="str">
        <f t="shared" si="75"/>
        <v>Abrir no Maps</v>
      </c>
      <c r="M2429" t="s">
        <v>17286</v>
      </c>
      <c r="N2429" s="5"/>
      <c r="O2429" t="s">
        <v>11509</v>
      </c>
      <c r="P2429" t="e">
        <f>VLOOKUP(O2429,'[1]CONFIG.'!$C:$D,2,0)</f>
        <v>#N/A</v>
      </c>
    </row>
    <row r="2430" spans="1:16" x14ac:dyDescent="0.3">
      <c r="A2430" t="s">
        <v>17287</v>
      </c>
      <c r="B2430" t="s">
        <v>17288</v>
      </c>
      <c r="C2430" t="s">
        <v>17289</v>
      </c>
      <c r="D2430" t="s">
        <v>14866</v>
      </c>
      <c r="E2430" t="s">
        <v>17290</v>
      </c>
      <c r="F2430" t="s">
        <v>14897</v>
      </c>
      <c r="G2430">
        <v>215</v>
      </c>
      <c r="H2430">
        <v>300</v>
      </c>
      <c r="I2430" s="5" t="s">
        <v>17291</v>
      </c>
      <c r="J2430" s="5" t="s">
        <v>17292</v>
      </c>
      <c r="K2430" s="5" t="str">
        <f t="shared" si="74"/>
        <v>https://www.google.com/maps?q=-10.890747, -40.699840</v>
      </c>
      <c r="L2430" s="5" t="str">
        <f t="shared" si="75"/>
        <v>Abrir no Maps</v>
      </c>
      <c r="M2430" t="s">
        <v>17293</v>
      </c>
      <c r="N2430" s="5"/>
      <c r="O2430" t="s">
        <v>11509</v>
      </c>
      <c r="P2430" t="e">
        <f>VLOOKUP(O2430,'[1]CONFIG.'!$C:$D,2,0)</f>
        <v>#N/A</v>
      </c>
    </row>
    <row r="2431" spans="1:16" x14ac:dyDescent="0.3">
      <c r="A2431" t="s">
        <v>17294</v>
      </c>
      <c r="B2431" t="s">
        <v>17295</v>
      </c>
      <c r="C2431" t="s">
        <v>17296</v>
      </c>
      <c r="D2431" t="s">
        <v>14866</v>
      </c>
      <c r="E2431" t="s">
        <v>17297</v>
      </c>
      <c r="F2431" t="s">
        <v>137</v>
      </c>
      <c r="G2431">
        <v>215</v>
      </c>
      <c r="H2431">
        <v>300</v>
      </c>
      <c r="I2431" s="5" t="s">
        <v>17298</v>
      </c>
      <c r="J2431" s="5" t="s">
        <v>17299</v>
      </c>
      <c r="K2431" s="5" t="str">
        <f t="shared" si="74"/>
        <v>https://www.google.com/maps?q=-10.965548, -41.077061</v>
      </c>
      <c r="L2431" s="5" t="str">
        <f t="shared" si="75"/>
        <v>Abrir no Maps</v>
      </c>
      <c r="M2431" t="s">
        <v>17300</v>
      </c>
      <c r="N2431" s="5"/>
      <c r="O2431" t="s">
        <v>11509</v>
      </c>
      <c r="P2431" t="e">
        <f>VLOOKUP(O2431,'[1]CONFIG.'!$C:$D,2,0)</f>
        <v>#N/A</v>
      </c>
    </row>
    <row r="2432" spans="1:16" x14ac:dyDescent="0.3">
      <c r="A2432" t="s">
        <v>17301</v>
      </c>
      <c r="B2432" t="s">
        <v>17302</v>
      </c>
      <c r="C2432" t="s">
        <v>17303</v>
      </c>
      <c r="D2432" t="s">
        <v>14785</v>
      </c>
      <c r="E2432" t="s">
        <v>17304</v>
      </c>
      <c r="F2432" t="s">
        <v>11784</v>
      </c>
      <c r="G2432">
        <v>215</v>
      </c>
      <c r="H2432">
        <v>300</v>
      </c>
      <c r="I2432" s="5" t="s">
        <v>17305</v>
      </c>
      <c r="J2432" s="5" t="s">
        <v>17306</v>
      </c>
      <c r="K2432" s="5" t="str">
        <f t="shared" si="74"/>
        <v>https://www.google.com/maps?q=-11.053224, -40.781948</v>
      </c>
      <c r="L2432" s="5" t="str">
        <f t="shared" si="75"/>
        <v>Abrir no Maps</v>
      </c>
      <c r="M2432" t="s">
        <v>17307</v>
      </c>
      <c r="N2432" s="5"/>
      <c r="O2432" t="s">
        <v>11509</v>
      </c>
      <c r="P2432" t="e">
        <f>VLOOKUP(O2432,'[1]CONFIG.'!$C:$D,2,0)</f>
        <v>#N/A</v>
      </c>
    </row>
    <row r="2433" spans="1:16" x14ac:dyDescent="0.3">
      <c r="A2433" t="s">
        <v>17308</v>
      </c>
      <c r="B2433" t="s">
        <v>17309</v>
      </c>
      <c r="C2433" t="s">
        <v>17310</v>
      </c>
      <c r="D2433" t="s">
        <v>14785</v>
      </c>
      <c r="E2433" t="s">
        <v>17311</v>
      </c>
      <c r="F2433" t="s">
        <v>11784</v>
      </c>
      <c r="G2433">
        <v>215</v>
      </c>
      <c r="H2433">
        <v>300</v>
      </c>
      <c r="I2433" s="5" t="s">
        <v>17312</v>
      </c>
      <c r="J2433" s="5" t="s">
        <v>17313</v>
      </c>
      <c r="K2433" s="5" t="str">
        <f t="shared" si="74"/>
        <v>https://www.google.com/maps?q=-10.987761, -40.739777</v>
      </c>
      <c r="L2433" s="5" t="str">
        <f t="shared" si="75"/>
        <v>Abrir no Maps</v>
      </c>
      <c r="M2433" t="s">
        <v>17314</v>
      </c>
      <c r="N2433" s="5"/>
      <c r="O2433" t="s">
        <v>11509</v>
      </c>
      <c r="P2433" t="e">
        <f>VLOOKUP(O2433,'[1]CONFIG.'!$C:$D,2,0)</f>
        <v>#N/A</v>
      </c>
    </row>
    <row r="2434" spans="1:16" x14ac:dyDescent="0.3">
      <c r="A2434" t="s">
        <v>17315</v>
      </c>
      <c r="B2434" t="s">
        <v>17316</v>
      </c>
      <c r="C2434" t="s">
        <v>17317</v>
      </c>
      <c r="D2434" t="s">
        <v>14785</v>
      </c>
      <c r="E2434" t="s">
        <v>17318</v>
      </c>
      <c r="F2434" t="s">
        <v>11784</v>
      </c>
      <c r="G2434">
        <v>215</v>
      </c>
      <c r="H2434">
        <v>300</v>
      </c>
      <c r="I2434" s="5" t="s">
        <v>17319</v>
      </c>
      <c r="J2434" s="5" t="s">
        <v>17320</v>
      </c>
      <c r="K2434" s="5" t="str">
        <f t="shared" si="74"/>
        <v>https://www.google.com/maps?q=-10.974583, -40.765930</v>
      </c>
      <c r="L2434" s="5" t="str">
        <f t="shared" si="75"/>
        <v>Abrir no Maps</v>
      </c>
      <c r="M2434" t="s">
        <v>17321</v>
      </c>
      <c r="N2434" s="5"/>
      <c r="O2434" t="s">
        <v>11509</v>
      </c>
      <c r="P2434" t="e">
        <f>VLOOKUP(O2434,'[1]CONFIG.'!$C:$D,2,0)</f>
        <v>#N/A</v>
      </c>
    </row>
    <row r="2435" spans="1:16" x14ac:dyDescent="0.3">
      <c r="A2435" t="s">
        <v>17322</v>
      </c>
      <c r="B2435" t="s">
        <v>17323</v>
      </c>
      <c r="C2435" t="s">
        <v>17324</v>
      </c>
      <c r="D2435" t="s">
        <v>14785</v>
      </c>
      <c r="E2435" t="s">
        <v>17325</v>
      </c>
      <c r="F2435" t="s">
        <v>14720</v>
      </c>
      <c r="G2435">
        <v>215</v>
      </c>
      <c r="H2435">
        <v>300</v>
      </c>
      <c r="I2435" s="5" t="s">
        <v>17326</v>
      </c>
      <c r="J2435" s="5" t="s">
        <v>17327</v>
      </c>
      <c r="K2435" s="5" t="str">
        <f t="shared" si="74"/>
        <v>https://www.google.com/maps?q=-11.053196, -40.782120</v>
      </c>
      <c r="L2435" s="5" t="str">
        <f t="shared" si="75"/>
        <v>Abrir no Maps</v>
      </c>
      <c r="M2435" t="s">
        <v>17328</v>
      </c>
      <c r="N2435" s="5"/>
      <c r="O2435" t="s">
        <v>11509</v>
      </c>
      <c r="P2435" t="e">
        <f>VLOOKUP(O2435,'[1]CONFIG.'!$C:$D,2,0)</f>
        <v>#N/A</v>
      </c>
    </row>
    <row r="2436" spans="1:16" x14ac:dyDescent="0.3">
      <c r="A2436" t="s">
        <v>17329</v>
      </c>
      <c r="B2436" t="s">
        <v>17330</v>
      </c>
      <c r="C2436" t="s">
        <v>17331</v>
      </c>
      <c r="D2436" t="s">
        <v>14785</v>
      </c>
      <c r="E2436" t="s">
        <v>17332</v>
      </c>
      <c r="F2436" t="s">
        <v>14720</v>
      </c>
      <c r="G2436">
        <v>215</v>
      </c>
      <c r="H2436">
        <v>300</v>
      </c>
      <c r="I2436" s="5" t="s">
        <v>17333</v>
      </c>
      <c r="J2436" s="5" t="s">
        <v>17334</v>
      </c>
      <c r="K2436" s="5" t="str">
        <f t="shared" ref="K2436:K2488" si="76">"https://www.google.com/maps?q="&amp;""&amp;LEFT(I2436,3)&amp;"."&amp;RIGHT(I2436,6)&amp;", "&amp;LEFT(J2436,3)&amp;"."&amp;RIGHT(J2436,6)</f>
        <v>https://www.google.com/maps?q=-11.052515, -40.780430</v>
      </c>
      <c r="L2436" s="5" t="str">
        <f t="shared" ref="L2436:L2488" si="77">HYPERLINK(K2436,"Abrir no Maps")</f>
        <v>Abrir no Maps</v>
      </c>
      <c r="M2436" t="s">
        <v>17335</v>
      </c>
      <c r="N2436" s="5"/>
      <c r="O2436" t="s">
        <v>11509</v>
      </c>
      <c r="P2436" t="e">
        <f>VLOOKUP(O2436,'[1]CONFIG.'!$C:$D,2,0)</f>
        <v>#N/A</v>
      </c>
    </row>
    <row r="2437" spans="1:16" x14ac:dyDescent="0.3">
      <c r="A2437" t="s">
        <v>17336</v>
      </c>
      <c r="B2437" t="s">
        <v>17337</v>
      </c>
      <c r="C2437" t="s">
        <v>17338</v>
      </c>
      <c r="D2437" t="s">
        <v>14785</v>
      </c>
      <c r="E2437" t="s">
        <v>17339</v>
      </c>
      <c r="F2437" t="s">
        <v>14720</v>
      </c>
      <c r="G2437">
        <v>215</v>
      </c>
      <c r="H2437">
        <v>300</v>
      </c>
      <c r="I2437" s="5" t="s">
        <v>17340</v>
      </c>
      <c r="J2437" s="5" t="s">
        <v>17341</v>
      </c>
      <c r="K2437" s="5" t="str">
        <f t="shared" si="76"/>
        <v>https://www.google.com/maps?q=-11.050508, -40.783670</v>
      </c>
      <c r="L2437" s="5" t="str">
        <f t="shared" si="77"/>
        <v>Abrir no Maps</v>
      </c>
      <c r="M2437" t="s">
        <v>17342</v>
      </c>
      <c r="N2437" s="5"/>
      <c r="O2437" t="s">
        <v>11509</v>
      </c>
      <c r="P2437" t="e">
        <f>VLOOKUP(O2437,'[1]CONFIG.'!$C:$D,2,0)</f>
        <v>#N/A</v>
      </c>
    </row>
    <row r="2438" spans="1:16" x14ac:dyDescent="0.3">
      <c r="A2438" t="s">
        <v>17343</v>
      </c>
      <c r="B2438" t="s">
        <v>17344</v>
      </c>
      <c r="C2438" t="s">
        <v>17345</v>
      </c>
      <c r="D2438" t="s">
        <v>14785</v>
      </c>
      <c r="E2438" t="s">
        <v>17346</v>
      </c>
      <c r="F2438" t="s">
        <v>14720</v>
      </c>
      <c r="G2438">
        <v>215</v>
      </c>
      <c r="H2438">
        <v>300</v>
      </c>
      <c r="I2438" s="5" t="s">
        <v>17347</v>
      </c>
      <c r="J2438" s="5" t="s">
        <v>17348</v>
      </c>
      <c r="K2438" s="5" t="str">
        <f t="shared" si="76"/>
        <v>https://www.google.com/maps?q=-11.051882, -40.781890</v>
      </c>
      <c r="L2438" s="5" t="str">
        <f t="shared" si="77"/>
        <v>Abrir no Maps</v>
      </c>
      <c r="M2438" t="s">
        <v>17349</v>
      </c>
      <c r="N2438" s="5"/>
      <c r="O2438" t="s">
        <v>11509</v>
      </c>
      <c r="P2438" t="e">
        <f>VLOOKUP(O2438,'[1]CONFIG.'!$C:$D,2,0)</f>
        <v>#N/A</v>
      </c>
    </row>
    <row r="2439" spans="1:16" x14ac:dyDescent="0.3">
      <c r="A2439" t="s">
        <v>17350</v>
      </c>
      <c r="B2439" t="s">
        <v>17351</v>
      </c>
      <c r="C2439" t="s">
        <v>17352</v>
      </c>
      <c r="D2439" t="s">
        <v>14785</v>
      </c>
      <c r="E2439" t="s">
        <v>17353</v>
      </c>
      <c r="F2439" t="s">
        <v>11784</v>
      </c>
      <c r="G2439">
        <v>215</v>
      </c>
      <c r="H2439">
        <v>300</v>
      </c>
      <c r="I2439" s="5" t="s">
        <v>17354</v>
      </c>
      <c r="J2439" s="5" t="s">
        <v>17355</v>
      </c>
      <c r="K2439" s="5" t="str">
        <f t="shared" si="76"/>
        <v>https://www.google.com/maps?q=-10.974702, -40.766354</v>
      </c>
      <c r="L2439" s="5" t="str">
        <f t="shared" si="77"/>
        <v>Abrir no Maps</v>
      </c>
      <c r="M2439" t="s">
        <v>17321</v>
      </c>
      <c r="N2439" s="5"/>
      <c r="O2439" t="s">
        <v>11509</v>
      </c>
      <c r="P2439" t="e">
        <f>VLOOKUP(O2439,'[1]CONFIG.'!$C:$D,2,0)</f>
        <v>#N/A</v>
      </c>
    </row>
    <row r="2440" spans="1:16" x14ac:dyDescent="0.3">
      <c r="A2440" t="s">
        <v>17356</v>
      </c>
      <c r="B2440" t="s">
        <v>17357</v>
      </c>
      <c r="C2440" t="s">
        <v>17358</v>
      </c>
      <c r="D2440" t="s">
        <v>14785</v>
      </c>
      <c r="E2440" t="s">
        <v>17359</v>
      </c>
      <c r="F2440" t="s">
        <v>14720</v>
      </c>
      <c r="G2440">
        <v>215</v>
      </c>
      <c r="H2440">
        <v>300</v>
      </c>
      <c r="I2440" s="5" t="s">
        <v>17360</v>
      </c>
      <c r="J2440" s="5" t="s">
        <v>14730</v>
      </c>
      <c r="K2440" s="5" t="str">
        <f t="shared" si="76"/>
        <v>https://www.google.com/maps?q=-11.053031, -40.780422</v>
      </c>
      <c r="L2440" s="5" t="str">
        <f t="shared" si="77"/>
        <v>Abrir no Maps</v>
      </c>
      <c r="M2440" t="s">
        <v>17361</v>
      </c>
      <c r="N2440" s="5"/>
      <c r="O2440" t="s">
        <v>11509</v>
      </c>
      <c r="P2440" t="e">
        <f>VLOOKUP(O2440,'[1]CONFIG.'!$C:$D,2,0)</f>
        <v>#N/A</v>
      </c>
    </row>
    <row r="2441" spans="1:16" x14ac:dyDescent="0.3">
      <c r="A2441" t="s">
        <v>17362</v>
      </c>
      <c r="B2441" t="s">
        <v>17363</v>
      </c>
      <c r="C2441" t="s">
        <v>17364</v>
      </c>
      <c r="D2441" t="s">
        <v>14785</v>
      </c>
      <c r="E2441" t="s">
        <v>17365</v>
      </c>
      <c r="F2441" t="s">
        <v>14720</v>
      </c>
      <c r="G2441">
        <v>215</v>
      </c>
      <c r="H2441">
        <v>300</v>
      </c>
      <c r="I2441" s="5" t="s">
        <v>17366</v>
      </c>
      <c r="J2441" s="5" t="s">
        <v>17367</v>
      </c>
      <c r="K2441" s="5" t="str">
        <f t="shared" si="76"/>
        <v>https://www.google.com/maps?q=-11.052579, -40.780270</v>
      </c>
      <c r="L2441" s="5" t="str">
        <f t="shared" si="77"/>
        <v>Abrir no Maps</v>
      </c>
      <c r="M2441" t="s">
        <v>17368</v>
      </c>
      <c r="N2441" s="5"/>
      <c r="O2441" t="s">
        <v>11509</v>
      </c>
      <c r="P2441" t="e">
        <f>VLOOKUP(O2441,'[1]CONFIG.'!$C:$D,2,0)</f>
        <v>#N/A</v>
      </c>
    </row>
    <row r="2442" spans="1:16" x14ac:dyDescent="0.3">
      <c r="A2442" t="s">
        <v>17369</v>
      </c>
      <c r="B2442" t="s">
        <v>17370</v>
      </c>
      <c r="C2442" t="s">
        <v>17371</v>
      </c>
      <c r="D2442" t="s">
        <v>14785</v>
      </c>
      <c r="E2442" t="s">
        <v>17372</v>
      </c>
      <c r="F2442" t="s">
        <v>11784</v>
      </c>
      <c r="G2442">
        <v>215</v>
      </c>
      <c r="H2442">
        <v>300</v>
      </c>
      <c r="I2442" s="5" t="s">
        <v>17373</v>
      </c>
      <c r="J2442" s="5" t="s">
        <v>17374</v>
      </c>
      <c r="K2442" s="5" t="str">
        <f t="shared" si="76"/>
        <v>https://www.google.com/maps?q=-10.978828, -40.767230</v>
      </c>
      <c r="L2442" s="5" t="str">
        <f t="shared" si="77"/>
        <v>Abrir no Maps</v>
      </c>
      <c r="M2442" t="s">
        <v>17375</v>
      </c>
      <c r="N2442" s="5"/>
      <c r="O2442" t="s">
        <v>11509</v>
      </c>
      <c r="P2442" t="e">
        <f>VLOOKUP(O2442,'[1]CONFIG.'!$C:$D,2,0)</f>
        <v>#N/A</v>
      </c>
    </row>
    <row r="2443" spans="1:16" x14ac:dyDescent="0.3">
      <c r="A2443" t="s">
        <v>17376</v>
      </c>
      <c r="B2443" t="s">
        <v>17377</v>
      </c>
      <c r="C2443" t="s">
        <v>17378</v>
      </c>
      <c r="D2443" t="s">
        <v>14785</v>
      </c>
      <c r="E2443" t="s">
        <v>17379</v>
      </c>
      <c r="F2443" t="s">
        <v>137</v>
      </c>
      <c r="G2443">
        <v>215</v>
      </c>
      <c r="H2443">
        <v>300</v>
      </c>
      <c r="I2443" s="5" t="s">
        <v>17380</v>
      </c>
      <c r="J2443" s="5" t="s">
        <v>17381</v>
      </c>
      <c r="K2443" s="5" t="str">
        <f t="shared" si="76"/>
        <v>https://www.google.com/maps?q=-11.054214, -40.782444</v>
      </c>
      <c r="L2443" s="5" t="str">
        <f t="shared" si="77"/>
        <v>Abrir no Maps</v>
      </c>
      <c r="M2443" t="s">
        <v>17382</v>
      </c>
      <c r="N2443" s="5"/>
      <c r="O2443" t="s">
        <v>11509</v>
      </c>
      <c r="P2443" t="e">
        <f>VLOOKUP(O2443,'[1]CONFIG.'!$C:$D,2,0)</f>
        <v>#N/A</v>
      </c>
    </row>
    <row r="2444" spans="1:16" x14ac:dyDescent="0.3">
      <c r="A2444" t="s">
        <v>17383</v>
      </c>
      <c r="B2444" t="s">
        <v>17384</v>
      </c>
      <c r="C2444" t="s">
        <v>17385</v>
      </c>
      <c r="D2444" t="s">
        <v>14785</v>
      </c>
      <c r="E2444" t="s">
        <v>17386</v>
      </c>
      <c r="F2444" t="s">
        <v>137</v>
      </c>
      <c r="G2444">
        <v>215</v>
      </c>
      <c r="H2444">
        <v>300</v>
      </c>
      <c r="I2444" s="5" t="s">
        <v>17387</v>
      </c>
      <c r="J2444" s="5" t="s">
        <v>17388</v>
      </c>
      <c r="K2444" s="5" t="str">
        <f t="shared" si="76"/>
        <v>https://www.google.com/maps?q=-11.054460, -40.783480</v>
      </c>
      <c r="L2444" s="5" t="str">
        <f t="shared" si="77"/>
        <v>Abrir no Maps</v>
      </c>
      <c r="M2444" t="s">
        <v>17389</v>
      </c>
      <c r="N2444" s="5"/>
      <c r="O2444" t="s">
        <v>11509</v>
      </c>
      <c r="P2444" t="e">
        <f>VLOOKUP(O2444,'[1]CONFIG.'!$C:$D,2,0)</f>
        <v>#N/A</v>
      </c>
    </row>
    <row r="2445" spans="1:16" x14ac:dyDescent="0.3">
      <c r="A2445" t="s">
        <v>17390</v>
      </c>
      <c r="B2445" t="s">
        <v>17391</v>
      </c>
      <c r="C2445" t="s">
        <v>17392</v>
      </c>
      <c r="D2445" t="s">
        <v>14785</v>
      </c>
      <c r="E2445" t="s">
        <v>17393</v>
      </c>
      <c r="F2445" t="s">
        <v>17394</v>
      </c>
      <c r="G2445">
        <v>215</v>
      </c>
      <c r="H2445">
        <v>300</v>
      </c>
      <c r="I2445" s="5" t="s">
        <v>17395</v>
      </c>
      <c r="J2445" s="5" t="s">
        <v>17396</v>
      </c>
      <c r="K2445" s="5" t="str">
        <f t="shared" si="76"/>
        <v>https://www.google.com/maps?q=-11.056115, -40.774292</v>
      </c>
      <c r="L2445" s="5" t="str">
        <f t="shared" si="77"/>
        <v>Abrir no Maps</v>
      </c>
      <c r="M2445" t="s">
        <v>17397</v>
      </c>
      <c r="N2445" s="5"/>
      <c r="O2445" t="s">
        <v>11509</v>
      </c>
      <c r="P2445" t="e">
        <f>VLOOKUP(O2445,'[1]CONFIG.'!$C:$D,2,0)</f>
        <v>#N/A</v>
      </c>
    </row>
    <row r="2446" spans="1:16" x14ac:dyDescent="0.3">
      <c r="A2446" t="s">
        <v>17398</v>
      </c>
      <c r="B2446" t="s">
        <v>17399</v>
      </c>
      <c r="C2446" t="s">
        <v>17400</v>
      </c>
      <c r="D2446" t="s">
        <v>14785</v>
      </c>
      <c r="E2446" t="s">
        <v>17401</v>
      </c>
      <c r="F2446" t="s">
        <v>17394</v>
      </c>
      <c r="G2446">
        <v>215</v>
      </c>
      <c r="H2446">
        <v>300</v>
      </c>
      <c r="I2446" s="5" t="s">
        <v>17402</v>
      </c>
      <c r="J2446" s="5" t="s">
        <v>17403</v>
      </c>
      <c r="K2446" s="5" t="str">
        <f t="shared" si="76"/>
        <v>https://www.google.com/maps?q=-11.051324, -40.781307</v>
      </c>
      <c r="L2446" s="5" t="str">
        <f t="shared" si="77"/>
        <v>Abrir no Maps</v>
      </c>
      <c r="M2446" t="s">
        <v>17404</v>
      </c>
      <c r="N2446" s="5"/>
      <c r="O2446" t="s">
        <v>11509</v>
      </c>
      <c r="P2446" t="e">
        <f>VLOOKUP(O2446,'[1]CONFIG.'!$C:$D,2,0)</f>
        <v>#N/A</v>
      </c>
    </row>
    <row r="2447" spans="1:16" x14ac:dyDescent="0.3">
      <c r="A2447" t="s">
        <v>17405</v>
      </c>
      <c r="B2447" t="s">
        <v>17406</v>
      </c>
      <c r="C2447" t="s">
        <v>17407</v>
      </c>
      <c r="D2447" t="s">
        <v>14785</v>
      </c>
      <c r="E2447" t="s">
        <v>17408</v>
      </c>
      <c r="F2447" t="s">
        <v>17394</v>
      </c>
      <c r="G2447">
        <v>215</v>
      </c>
      <c r="H2447">
        <v>300</v>
      </c>
      <c r="I2447" s="5" t="s">
        <v>17409</v>
      </c>
      <c r="J2447" s="5" t="s">
        <v>17410</v>
      </c>
      <c r="K2447" s="5" t="str">
        <f t="shared" si="76"/>
        <v>https://www.google.com/maps?q=-11.052521, -40.781270</v>
      </c>
      <c r="L2447" s="5" t="str">
        <f t="shared" si="77"/>
        <v>Abrir no Maps</v>
      </c>
      <c r="M2447" t="s">
        <v>17411</v>
      </c>
      <c r="N2447" s="5"/>
      <c r="O2447" t="s">
        <v>11509</v>
      </c>
      <c r="P2447" t="e">
        <f>VLOOKUP(O2447,'[1]CONFIG.'!$C:$D,2,0)</f>
        <v>#N/A</v>
      </c>
    </row>
    <row r="2448" spans="1:16" x14ac:dyDescent="0.3">
      <c r="A2448" t="s">
        <v>17412</v>
      </c>
      <c r="B2448" t="s">
        <v>17413</v>
      </c>
      <c r="C2448" t="s">
        <v>17414</v>
      </c>
      <c r="D2448" t="s">
        <v>14785</v>
      </c>
      <c r="E2448" t="s">
        <v>17415</v>
      </c>
      <c r="F2448" t="s">
        <v>17394</v>
      </c>
      <c r="G2448">
        <v>215</v>
      </c>
      <c r="H2448">
        <v>300</v>
      </c>
      <c r="I2448" s="5" t="s">
        <v>17416</v>
      </c>
      <c r="J2448" s="5" t="s">
        <v>17417</v>
      </c>
      <c r="K2448" s="5" t="str">
        <f t="shared" si="76"/>
        <v>https://www.google.com/maps?q=-11.050425, -40.783700</v>
      </c>
      <c r="L2448" s="5" t="str">
        <f t="shared" si="77"/>
        <v>Abrir no Maps</v>
      </c>
      <c r="M2448" t="s">
        <v>17418</v>
      </c>
      <c r="N2448" s="5"/>
      <c r="O2448" t="s">
        <v>11509</v>
      </c>
      <c r="P2448" t="e">
        <f>VLOOKUP(O2448,'[1]CONFIG.'!$C:$D,2,0)</f>
        <v>#N/A</v>
      </c>
    </row>
    <row r="2449" spans="1:16" x14ac:dyDescent="0.3">
      <c r="A2449" t="s">
        <v>17419</v>
      </c>
      <c r="B2449" t="s">
        <v>17420</v>
      </c>
      <c r="C2449" t="s">
        <v>17421</v>
      </c>
      <c r="D2449" t="s">
        <v>14785</v>
      </c>
      <c r="E2449" t="s">
        <v>17422</v>
      </c>
      <c r="F2449" t="s">
        <v>11784</v>
      </c>
      <c r="G2449">
        <v>215</v>
      </c>
      <c r="H2449">
        <v>300</v>
      </c>
      <c r="I2449" s="5" t="s">
        <v>17423</v>
      </c>
      <c r="J2449" s="5" t="s">
        <v>17424</v>
      </c>
      <c r="K2449" s="5" t="str">
        <f t="shared" si="76"/>
        <v>https://www.google.com/maps?q=-10.970895, -40.769897</v>
      </c>
      <c r="L2449" s="5" t="str">
        <f t="shared" si="77"/>
        <v>Abrir no Maps</v>
      </c>
      <c r="M2449" t="s">
        <v>17425</v>
      </c>
      <c r="N2449" s="5"/>
      <c r="O2449" t="s">
        <v>11509</v>
      </c>
      <c r="P2449" t="e">
        <f>VLOOKUP(O2449,'[1]CONFIG.'!$C:$D,2,0)</f>
        <v>#N/A</v>
      </c>
    </row>
    <row r="2450" spans="1:16" x14ac:dyDescent="0.3">
      <c r="A2450" t="s">
        <v>17426</v>
      </c>
      <c r="B2450" t="s">
        <v>17427</v>
      </c>
      <c r="C2450" t="s">
        <v>17428</v>
      </c>
      <c r="D2450" t="s">
        <v>14785</v>
      </c>
      <c r="E2450" t="s">
        <v>17429</v>
      </c>
      <c r="F2450" t="s">
        <v>14720</v>
      </c>
      <c r="G2450">
        <v>215</v>
      </c>
      <c r="H2450">
        <v>300</v>
      </c>
      <c r="I2450" s="5" t="s">
        <v>17430</v>
      </c>
      <c r="J2450" s="5" t="s">
        <v>17431</v>
      </c>
      <c r="K2450" s="5" t="str">
        <f t="shared" si="76"/>
        <v>https://www.google.com/maps?q=-11.052560, -40.779620</v>
      </c>
      <c r="L2450" s="5" t="str">
        <f t="shared" si="77"/>
        <v>Abrir no Maps</v>
      </c>
      <c r="M2450" t="s">
        <v>17432</v>
      </c>
      <c r="N2450" s="5"/>
      <c r="O2450" t="s">
        <v>11509</v>
      </c>
      <c r="P2450" t="e">
        <f>VLOOKUP(O2450,'[1]CONFIG.'!$C:$D,2,0)</f>
        <v>#N/A</v>
      </c>
    </row>
    <row r="2451" spans="1:16" x14ac:dyDescent="0.3">
      <c r="A2451" t="s">
        <v>17433</v>
      </c>
      <c r="B2451" t="s">
        <v>17434</v>
      </c>
      <c r="C2451" t="s">
        <v>17435</v>
      </c>
      <c r="D2451" t="s">
        <v>14785</v>
      </c>
      <c r="E2451" t="s">
        <v>17436</v>
      </c>
      <c r="F2451" t="s">
        <v>11784</v>
      </c>
      <c r="G2451">
        <v>215</v>
      </c>
      <c r="H2451">
        <v>300</v>
      </c>
      <c r="I2451" s="5" t="s">
        <v>17437</v>
      </c>
      <c r="J2451" s="5" t="s">
        <v>17438</v>
      </c>
      <c r="K2451" s="5" t="str">
        <f t="shared" si="76"/>
        <v>https://www.google.com/maps?q=-10.989119, -40.735161</v>
      </c>
      <c r="L2451" s="5" t="str">
        <f t="shared" si="77"/>
        <v>Abrir no Maps</v>
      </c>
      <c r="M2451" t="s">
        <v>17439</v>
      </c>
      <c r="N2451" s="5"/>
      <c r="O2451" t="s">
        <v>11509</v>
      </c>
      <c r="P2451" t="e">
        <f>VLOOKUP(O2451,'[1]CONFIG.'!$C:$D,2,0)</f>
        <v>#N/A</v>
      </c>
    </row>
    <row r="2452" spans="1:16" x14ac:dyDescent="0.3">
      <c r="A2452" t="s">
        <v>17440</v>
      </c>
      <c r="B2452" t="s">
        <v>17441</v>
      </c>
      <c r="C2452" t="s">
        <v>17442</v>
      </c>
      <c r="D2452" t="s">
        <v>14785</v>
      </c>
      <c r="E2452" t="s">
        <v>17443</v>
      </c>
      <c r="F2452" t="s">
        <v>14852</v>
      </c>
      <c r="G2452">
        <v>215</v>
      </c>
      <c r="H2452">
        <v>300</v>
      </c>
      <c r="I2452" s="5" t="s">
        <v>17444</v>
      </c>
      <c r="J2452" s="5" t="s">
        <v>17445</v>
      </c>
      <c r="K2452" s="5" t="str">
        <f t="shared" si="76"/>
        <v>https://www.google.com/maps?q=-11.052028, -40.781494</v>
      </c>
      <c r="L2452" s="5" t="str">
        <f t="shared" si="77"/>
        <v>Abrir no Maps</v>
      </c>
      <c r="M2452" t="s">
        <v>17446</v>
      </c>
      <c r="N2452" s="5"/>
      <c r="O2452" t="s">
        <v>11509</v>
      </c>
      <c r="P2452" t="e">
        <f>VLOOKUP(O2452,'[1]CONFIG.'!$C:$D,2,0)</f>
        <v>#N/A</v>
      </c>
    </row>
    <row r="2453" spans="1:16" x14ac:dyDescent="0.3">
      <c r="A2453" t="s">
        <v>17447</v>
      </c>
      <c r="B2453" t="s">
        <v>17448</v>
      </c>
      <c r="C2453" t="s">
        <v>17449</v>
      </c>
      <c r="D2453" t="s">
        <v>14785</v>
      </c>
      <c r="E2453" t="s">
        <v>17450</v>
      </c>
      <c r="F2453" t="s">
        <v>17394</v>
      </c>
      <c r="G2453">
        <v>215</v>
      </c>
      <c r="H2453">
        <v>300</v>
      </c>
      <c r="I2453" s="5" t="s">
        <v>17451</v>
      </c>
      <c r="J2453" s="5" t="s">
        <v>17452</v>
      </c>
      <c r="K2453" s="5" t="str">
        <f t="shared" si="76"/>
        <v>https://www.google.com/maps?q=-11.054107, -40.782246</v>
      </c>
      <c r="L2453" s="5" t="str">
        <f t="shared" si="77"/>
        <v>Abrir no Maps</v>
      </c>
      <c r="M2453" t="s">
        <v>17453</v>
      </c>
      <c r="N2453" s="5"/>
      <c r="O2453" t="s">
        <v>11509</v>
      </c>
      <c r="P2453" t="e">
        <f>VLOOKUP(O2453,'[1]CONFIG.'!$C:$D,2,0)</f>
        <v>#N/A</v>
      </c>
    </row>
    <row r="2454" spans="1:16" x14ac:dyDescent="0.3">
      <c r="A2454" t="s">
        <v>17454</v>
      </c>
      <c r="B2454" t="s">
        <v>17455</v>
      </c>
      <c r="C2454" t="s">
        <v>17456</v>
      </c>
      <c r="D2454" t="s">
        <v>13348</v>
      </c>
      <c r="E2454" t="s">
        <v>17457</v>
      </c>
      <c r="F2454" t="s">
        <v>13350</v>
      </c>
      <c r="G2454">
        <v>205</v>
      </c>
      <c r="H2454">
        <v>300</v>
      </c>
      <c r="I2454" s="5" t="s">
        <v>17458</v>
      </c>
      <c r="J2454" s="5" t="s">
        <v>17459</v>
      </c>
      <c r="K2454" s="5" t="str">
        <f t="shared" si="76"/>
        <v>https://www.google.com/maps?q=-11.757981, -40.712480</v>
      </c>
      <c r="L2454" s="5" t="str">
        <f t="shared" si="77"/>
        <v>Abrir no Maps</v>
      </c>
      <c r="M2454" t="s">
        <v>17460</v>
      </c>
      <c r="N2454" s="5"/>
      <c r="O2454" t="str">
        <f>VLOOKUP(G2454,'[1]CONFIG.'!$B:$C,2,0)</f>
        <v>EMETIO</v>
      </c>
      <c r="P2454" t="str">
        <f>VLOOKUP(O2454,'[1]CONFIG.'!$C:$D,2,0)</f>
        <v>74 98039589</v>
      </c>
    </row>
    <row r="2455" spans="1:16" x14ac:dyDescent="0.3">
      <c r="A2455" t="s">
        <v>17461</v>
      </c>
      <c r="B2455" t="s">
        <v>17462</v>
      </c>
      <c r="C2455" t="s">
        <v>17463</v>
      </c>
      <c r="D2455" t="s">
        <v>17464</v>
      </c>
      <c r="E2455" t="s">
        <v>17465</v>
      </c>
      <c r="F2455" t="s">
        <v>13350</v>
      </c>
      <c r="G2455">
        <v>205</v>
      </c>
      <c r="H2455">
        <v>300</v>
      </c>
      <c r="I2455" s="5" t="s">
        <v>17466</v>
      </c>
      <c r="J2455" s="5" t="s">
        <v>17467</v>
      </c>
      <c r="K2455" s="5" t="str">
        <f t="shared" si="76"/>
        <v>https://www.google.com/maps?q=-11.756388, -40.712925</v>
      </c>
      <c r="L2455" s="5" t="str">
        <f t="shared" si="77"/>
        <v>Abrir no Maps</v>
      </c>
      <c r="M2455" t="s">
        <v>17468</v>
      </c>
      <c r="N2455" s="5"/>
      <c r="O2455" t="str">
        <f>VLOOKUP(G2455,'[1]CONFIG.'!$B:$C,2,0)</f>
        <v>EMETIO</v>
      </c>
      <c r="P2455" t="str">
        <f>VLOOKUP(O2455,'[1]CONFIG.'!$C:$D,2,0)</f>
        <v>74 98039589</v>
      </c>
    </row>
    <row r="2456" spans="1:16" x14ac:dyDescent="0.3">
      <c r="A2456" t="s">
        <v>17469</v>
      </c>
      <c r="B2456" t="s">
        <v>17470</v>
      </c>
      <c r="C2456" t="s">
        <v>17471</v>
      </c>
      <c r="D2456" t="s">
        <v>13348</v>
      </c>
      <c r="E2456" t="s">
        <v>17472</v>
      </c>
      <c r="F2456" t="s">
        <v>13350</v>
      </c>
      <c r="G2456">
        <v>205</v>
      </c>
      <c r="H2456">
        <v>300</v>
      </c>
      <c r="I2456" s="5" t="s">
        <v>17473</v>
      </c>
      <c r="J2456" s="5" t="s">
        <v>17474</v>
      </c>
      <c r="K2456" s="5" t="str">
        <f t="shared" si="76"/>
        <v>https://www.google.com/maps?q=-11.756662, -40.710720</v>
      </c>
      <c r="L2456" s="5" t="str">
        <f t="shared" si="77"/>
        <v>Abrir no Maps</v>
      </c>
      <c r="M2456" t="s">
        <v>17475</v>
      </c>
      <c r="N2456" s="5"/>
      <c r="O2456" t="str">
        <f>VLOOKUP(G2456,'[1]CONFIG.'!$B:$C,2,0)</f>
        <v>EMETIO</v>
      </c>
      <c r="P2456" t="str">
        <f>VLOOKUP(O2456,'[1]CONFIG.'!$C:$D,2,0)</f>
        <v>74 98039589</v>
      </c>
    </row>
    <row r="2457" spans="1:16" x14ac:dyDescent="0.3">
      <c r="A2457" t="s">
        <v>17476</v>
      </c>
      <c r="B2457" t="s">
        <v>6295</v>
      </c>
      <c r="C2457" t="s">
        <v>17477</v>
      </c>
      <c r="D2457" t="s">
        <v>13348</v>
      </c>
      <c r="E2457" t="s">
        <v>17478</v>
      </c>
      <c r="F2457" t="s">
        <v>13350</v>
      </c>
      <c r="G2457">
        <v>205</v>
      </c>
      <c r="H2457">
        <v>300</v>
      </c>
      <c r="I2457" s="5" t="s">
        <v>17479</v>
      </c>
      <c r="J2457" s="5" t="s">
        <v>17480</v>
      </c>
      <c r="K2457" s="5" t="str">
        <f t="shared" si="76"/>
        <v>https://www.google.com/maps?q=-11.756458, -40.711246</v>
      </c>
      <c r="L2457" s="5" t="str">
        <f t="shared" si="77"/>
        <v>Abrir no Maps</v>
      </c>
      <c r="M2457" t="s">
        <v>17481</v>
      </c>
      <c r="N2457" s="5"/>
      <c r="O2457" t="str">
        <f>VLOOKUP(G2457,'[1]CONFIG.'!$B:$C,2,0)</f>
        <v>EMETIO</v>
      </c>
      <c r="P2457" t="str">
        <f>VLOOKUP(O2457,'[1]CONFIG.'!$C:$D,2,0)</f>
        <v>74 98039589</v>
      </c>
    </row>
    <row r="2458" spans="1:16" x14ac:dyDescent="0.3">
      <c r="A2458" t="s">
        <v>17482</v>
      </c>
      <c r="B2458" t="s">
        <v>17483</v>
      </c>
      <c r="C2458" t="s">
        <v>17484</v>
      </c>
      <c r="G2458">
        <v>211</v>
      </c>
      <c r="H2458">
        <v>500</v>
      </c>
      <c r="I2458" s="5" t="s">
        <v>17485</v>
      </c>
      <c r="J2458" s="5" t="s">
        <v>17486</v>
      </c>
      <c r="K2458" s="5" t="str">
        <f t="shared" si="76"/>
        <v>https://www.google.com/maps?q=-11.289411, -41.841900</v>
      </c>
      <c r="L2458" s="5" t="str">
        <f t="shared" si="77"/>
        <v>Abrir no Maps</v>
      </c>
      <c r="M2458" t="s">
        <v>17487</v>
      </c>
      <c r="N2458" s="5"/>
      <c r="O2458" t="str">
        <f>VLOOKUP(G2458,'[1]CONFIG.'!$B:$C,2,0)</f>
        <v>DAIANE</v>
      </c>
      <c r="P2458" t="str">
        <f>VLOOKUP(O2458,'[1]CONFIG.'!$C:$D,2,0)</f>
        <v>74 99298866</v>
      </c>
    </row>
    <row r="2459" spans="1:16" x14ac:dyDescent="0.3">
      <c r="A2459" t="s">
        <v>17488</v>
      </c>
      <c r="B2459" t="s">
        <v>17489</v>
      </c>
      <c r="C2459" t="s">
        <v>17490</v>
      </c>
      <c r="G2459">
        <v>212</v>
      </c>
      <c r="H2459">
        <v>200</v>
      </c>
      <c r="I2459" s="5" t="s">
        <v>17491</v>
      </c>
      <c r="J2459" s="5" t="s">
        <v>17492</v>
      </c>
      <c r="K2459" s="5" t="str">
        <f t="shared" si="76"/>
        <v>https://www.google.com/maps?q=-11.300909, -41.854353</v>
      </c>
      <c r="L2459" s="5" t="str">
        <f t="shared" si="77"/>
        <v>Abrir no Maps</v>
      </c>
      <c r="M2459" t="s">
        <v>17493</v>
      </c>
      <c r="N2459" s="5"/>
      <c r="O2459" t="str">
        <f>VLOOKUP(G2459,'[1]CONFIG.'!$B:$C,2,0)</f>
        <v>ANDRE</v>
      </c>
      <c r="P2459" t="str">
        <f>VLOOKUP(O2459,'[1]CONFIG.'!$C:$D,2,0)</f>
        <v>74 99916877</v>
      </c>
    </row>
    <row r="2460" spans="1:16" x14ac:dyDescent="0.3">
      <c r="A2460" t="s">
        <v>17494</v>
      </c>
      <c r="B2460" t="s">
        <v>17495</v>
      </c>
      <c r="C2460" t="s">
        <v>17496</v>
      </c>
      <c r="G2460">
        <v>209</v>
      </c>
      <c r="H2460">
        <v>500</v>
      </c>
      <c r="I2460" s="5" t="s">
        <v>17497</v>
      </c>
      <c r="J2460" s="5" t="s">
        <v>17498</v>
      </c>
      <c r="K2460" s="5" t="str">
        <f t="shared" si="76"/>
        <v>https://www.google.com/maps?q=-11.302599, -41.848905</v>
      </c>
      <c r="L2460" s="5" t="str">
        <f t="shared" si="77"/>
        <v>Abrir no Maps</v>
      </c>
      <c r="M2460" t="s">
        <v>1011</v>
      </c>
      <c r="N2460" s="5"/>
      <c r="O2460" t="str">
        <f>VLOOKUP(G2460,'[1]CONFIG.'!$B:$C,2,0)</f>
        <v>IGOR</v>
      </c>
      <c r="P2460" t="str">
        <f>VLOOKUP(O2460,'[1]CONFIG.'!$C:$D,2,0)</f>
        <v>74 99590346</v>
      </c>
    </row>
    <row r="2461" spans="1:16" x14ac:dyDescent="0.3">
      <c r="A2461" t="s">
        <v>17499</v>
      </c>
      <c r="B2461" t="s">
        <v>17500</v>
      </c>
      <c r="C2461" t="s">
        <v>17501</v>
      </c>
      <c r="G2461">
        <v>209</v>
      </c>
      <c r="H2461">
        <v>500</v>
      </c>
      <c r="I2461" s="5" t="s">
        <v>17502</v>
      </c>
      <c r="J2461" s="5" t="s">
        <v>17503</v>
      </c>
      <c r="K2461" s="5" t="str">
        <f t="shared" si="76"/>
        <v>https://www.google.com/maps?q=-11.306419, -41.844827</v>
      </c>
      <c r="L2461" s="5" t="str">
        <f t="shared" si="77"/>
        <v>Abrir no Maps</v>
      </c>
      <c r="M2461" t="s">
        <v>17504</v>
      </c>
      <c r="N2461" s="5"/>
      <c r="O2461" t="str">
        <f>VLOOKUP(G2461,'[1]CONFIG.'!$B:$C,2,0)</f>
        <v>IGOR</v>
      </c>
      <c r="P2461" t="str">
        <f>VLOOKUP(O2461,'[1]CONFIG.'!$C:$D,2,0)</f>
        <v>74 99590346</v>
      </c>
    </row>
    <row r="2462" spans="1:16" x14ac:dyDescent="0.3">
      <c r="A2462" t="s">
        <v>17505</v>
      </c>
      <c r="B2462" t="s">
        <v>17506</v>
      </c>
      <c r="C2462" t="s">
        <v>17507</v>
      </c>
      <c r="G2462">
        <v>206</v>
      </c>
      <c r="H2462">
        <v>200</v>
      </c>
      <c r="I2462" s="5" t="s">
        <v>17508</v>
      </c>
      <c r="J2462" s="5" t="s">
        <v>17509</v>
      </c>
      <c r="K2462" s="5" t="str">
        <f t="shared" si="76"/>
        <v>https://www.google.com/maps?q=-11.443496, -41.422103</v>
      </c>
      <c r="L2462" s="5" t="str">
        <f t="shared" si="77"/>
        <v>Abrir no Maps</v>
      </c>
      <c r="M2462" t="s">
        <v>17510</v>
      </c>
      <c r="N2462" s="5"/>
      <c r="O2462" t="str">
        <f>VLOOKUP(G2462,'[1]CONFIG.'!$B:$C,2,0)</f>
        <v>ROBERTO</v>
      </c>
      <c r="P2462" t="str">
        <f>VLOOKUP(O2462,'[1]CONFIG.'!$C:$D,2,0)</f>
        <v>74 99551147</v>
      </c>
    </row>
    <row r="2463" spans="1:16" x14ac:dyDescent="0.3">
      <c r="A2463" t="s">
        <v>17511</v>
      </c>
      <c r="B2463" t="s">
        <v>17506</v>
      </c>
      <c r="C2463" t="s">
        <v>17512</v>
      </c>
      <c r="G2463">
        <v>206</v>
      </c>
      <c r="H2463">
        <v>200</v>
      </c>
      <c r="I2463" s="5" t="s">
        <v>17508</v>
      </c>
      <c r="J2463" s="5" t="s">
        <v>17509</v>
      </c>
      <c r="K2463" s="5" t="str">
        <f t="shared" si="76"/>
        <v>https://www.google.com/maps?q=-11.443496, -41.422103</v>
      </c>
      <c r="L2463" s="5" t="str">
        <f t="shared" si="77"/>
        <v>Abrir no Maps</v>
      </c>
      <c r="M2463" t="s">
        <v>17510</v>
      </c>
      <c r="N2463" s="5"/>
      <c r="O2463" t="str">
        <f>VLOOKUP(G2463,'[1]CONFIG.'!$B:$C,2,0)</f>
        <v>ROBERTO</v>
      </c>
      <c r="P2463" t="str">
        <f>VLOOKUP(O2463,'[1]CONFIG.'!$C:$D,2,0)</f>
        <v>74 99551147</v>
      </c>
    </row>
    <row r="2464" spans="1:16" x14ac:dyDescent="0.3">
      <c r="A2464" t="s">
        <v>17513</v>
      </c>
      <c r="B2464" t="s">
        <v>17514</v>
      </c>
      <c r="C2464" t="s">
        <v>17515</v>
      </c>
      <c r="G2464">
        <v>210</v>
      </c>
      <c r="H2464">
        <v>500</v>
      </c>
      <c r="I2464" s="5" t="s">
        <v>17516</v>
      </c>
      <c r="J2464" s="5" t="s">
        <v>17517</v>
      </c>
      <c r="K2464" s="5" t="str">
        <f t="shared" si="76"/>
        <v>https://www.google.com/maps?q=-11.889082, -41.752768</v>
      </c>
      <c r="L2464" s="5" t="str">
        <f t="shared" si="77"/>
        <v>Abrir no Maps</v>
      </c>
      <c r="M2464" t="s">
        <v>17518</v>
      </c>
      <c r="N2464" s="5"/>
      <c r="O2464" t="str">
        <f>VLOOKUP(G2464,'[1]CONFIG.'!$B:$C,2,0)</f>
        <v>SILAS</v>
      </c>
      <c r="P2464" t="str">
        <f>VLOOKUP(O2464,'[1]CONFIG.'!$C:$D,2,0)</f>
        <v>74 98041875</v>
      </c>
    </row>
    <row r="2465" spans="1:16" x14ac:dyDescent="0.3">
      <c r="A2465" t="s">
        <v>17519</v>
      </c>
      <c r="B2465" t="s">
        <v>17520</v>
      </c>
      <c r="C2465" t="s">
        <v>17521</v>
      </c>
      <c r="G2465">
        <v>210</v>
      </c>
      <c r="H2465">
        <v>500</v>
      </c>
      <c r="I2465" s="5" t="s">
        <v>17522</v>
      </c>
      <c r="J2465" s="5" t="s">
        <v>17523</v>
      </c>
      <c r="K2465" s="5" t="str">
        <f t="shared" si="76"/>
        <v>https://www.google.com/maps?q=-11.910314, -41.745489</v>
      </c>
      <c r="L2465" s="5" t="str">
        <f t="shared" si="77"/>
        <v>Abrir no Maps</v>
      </c>
      <c r="M2465" t="s">
        <v>17524</v>
      </c>
      <c r="N2465" s="5"/>
      <c r="O2465" t="str">
        <f>VLOOKUP(G2465,'[1]CONFIG.'!$B:$C,2,0)</f>
        <v>SILAS</v>
      </c>
      <c r="P2465" t="str">
        <f>VLOOKUP(O2465,'[1]CONFIG.'!$C:$D,2,0)</f>
        <v>74 98041875</v>
      </c>
    </row>
    <row r="2466" spans="1:16" x14ac:dyDescent="0.3">
      <c r="A2466" t="s">
        <v>17525</v>
      </c>
      <c r="B2466" t="s">
        <v>17526</v>
      </c>
      <c r="C2466" t="s">
        <v>17527</v>
      </c>
      <c r="G2466">
        <v>213</v>
      </c>
      <c r="H2466">
        <v>300</v>
      </c>
      <c r="I2466" s="5" t="s">
        <v>17528</v>
      </c>
      <c r="J2466" s="5" t="s">
        <v>17529</v>
      </c>
      <c r="K2466" s="5" t="str">
        <f t="shared" si="76"/>
        <v>https://www.google.com/maps?q=-11.969467, -41.267306</v>
      </c>
      <c r="L2466" s="5" t="str">
        <f t="shared" si="77"/>
        <v>Abrir no Maps</v>
      </c>
      <c r="M2466" t="s">
        <v>17530</v>
      </c>
      <c r="N2466" s="5"/>
      <c r="O2466" t="str">
        <f>VLOOKUP(G2466,'[1]CONFIG.'!$B:$C,2,0)</f>
        <v>DANIEL</v>
      </c>
      <c r="P2466" t="str">
        <f>VLOOKUP(O2466,'[1]CONFIG.'!$C:$D,2,0)</f>
        <v>74 99461824</v>
      </c>
    </row>
    <row r="2467" spans="1:16" x14ac:dyDescent="0.3">
      <c r="A2467" t="s">
        <v>17531</v>
      </c>
      <c r="B2467" t="s">
        <v>17532</v>
      </c>
      <c r="C2467" t="s">
        <v>17533</v>
      </c>
      <c r="G2467">
        <v>213</v>
      </c>
      <c r="H2467">
        <v>300</v>
      </c>
      <c r="I2467" s="5" t="s">
        <v>17534</v>
      </c>
      <c r="J2467" s="5" t="s">
        <v>17535</v>
      </c>
      <c r="K2467" s="5" t="str">
        <f t="shared" si="76"/>
        <v>https://www.google.com/maps?q=-11.968073, -41.266080</v>
      </c>
      <c r="L2467" s="5" t="str">
        <f t="shared" si="77"/>
        <v>Abrir no Maps</v>
      </c>
      <c r="M2467" t="s">
        <v>17536</v>
      </c>
      <c r="N2467" s="5"/>
      <c r="O2467" t="str">
        <f>VLOOKUP(G2467,'[1]CONFIG.'!$B:$C,2,0)</f>
        <v>DANIEL</v>
      </c>
      <c r="P2467" t="str">
        <f>VLOOKUP(O2467,'[1]CONFIG.'!$C:$D,2,0)</f>
        <v>74 99461824</v>
      </c>
    </row>
    <row r="2468" spans="1:16" x14ac:dyDescent="0.3">
      <c r="A2468" t="s">
        <v>17537</v>
      </c>
      <c r="B2468" t="s">
        <v>17538</v>
      </c>
      <c r="C2468" t="s">
        <v>17539</v>
      </c>
      <c r="G2468">
        <v>209</v>
      </c>
      <c r="H2468">
        <v>500</v>
      </c>
      <c r="I2468" s="5" t="s">
        <v>17540</v>
      </c>
      <c r="J2468" s="5" t="s">
        <v>17541</v>
      </c>
      <c r="K2468" s="5" t="str">
        <f t="shared" si="76"/>
        <v>https://www.google.com/maps?q=-11.079283, -42.130501</v>
      </c>
      <c r="L2468" s="5" t="str">
        <f t="shared" si="77"/>
        <v>Abrir no Maps</v>
      </c>
      <c r="M2468" t="s">
        <v>17542</v>
      </c>
      <c r="N2468" s="5"/>
      <c r="O2468" t="str">
        <f>VLOOKUP(G2468,'[1]CONFIG.'!$B:$C,2,0)</f>
        <v>IGOR</v>
      </c>
      <c r="P2468" t="str">
        <f>VLOOKUP(O2468,'[1]CONFIG.'!$C:$D,2,0)</f>
        <v>74 99590346</v>
      </c>
    </row>
    <row r="2469" spans="1:16" x14ac:dyDescent="0.3">
      <c r="A2469" t="s">
        <v>17543</v>
      </c>
      <c r="B2469" t="s">
        <v>17544</v>
      </c>
      <c r="C2469" t="s">
        <v>17545</v>
      </c>
      <c r="G2469">
        <v>209</v>
      </c>
      <c r="H2469">
        <v>500</v>
      </c>
      <c r="I2469" s="5" t="s">
        <v>17546</v>
      </c>
      <c r="J2469" s="5" t="s">
        <v>17547</v>
      </c>
      <c r="K2469" s="5" t="str">
        <f t="shared" si="76"/>
        <v>https://www.google.com/maps?q=-11.134401, -42.101843</v>
      </c>
      <c r="L2469" s="5" t="str">
        <f t="shared" si="77"/>
        <v>Abrir no Maps</v>
      </c>
      <c r="M2469" t="s">
        <v>17548</v>
      </c>
      <c r="N2469" s="5"/>
      <c r="O2469" t="str">
        <f>VLOOKUP(G2469,'[1]CONFIG.'!$B:$C,2,0)</f>
        <v>IGOR</v>
      </c>
      <c r="P2469" t="str">
        <f>VLOOKUP(O2469,'[1]CONFIG.'!$C:$D,2,0)</f>
        <v>74 99590346</v>
      </c>
    </row>
    <row r="2470" spans="1:16" x14ac:dyDescent="0.3">
      <c r="A2470" t="s">
        <v>17549</v>
      </c>
      <c r="B2470" t="s">
        <v>17550</v>
      </c>
      <c r="C2470" t="s">
        <v>17551</v>
      </c>
      <c r="G2470">
        <v>209</v>
      </c>
      <c r="H2470">
        <v>500</v>
      </c>
      <c r="I2470" s="5" t="s">
        <v>17540</v>
      </c>
      <c r="J2470" s="5" t="s">
        <v>17541</v>
      </c>
      <c r="K2470" s="5" t="str">
        <f t="shared" si="76"/>
        <v>https://www.google.com/maps?q=-11.079283, -42.130501</v>
      </c>
      <c r="L2470" s="5" t="str">
        <f t="shared" si="77"/>
        <v>Abrir no Maps</v>
      </c>
      <c r="M2470" t="s">
        <v>17552</v>
      </c>
      <c r="N2470" s="5"/>
      <c r="O2470" t="str">
        <f>VLOOKUP(G2470,'[1]CONFIG.'!$B:$C,2,0)</f>
        <v>IGOR</v>
      </c>
      <c r="P2470" t="str">
        <f>VLOOKUP(O2470,'[1]CONFIG.'!$C:$D,2,0)</f>
        <v>74 99590346</v>
      </c>
    </row>
    <row r="2471" spans="1:16" x14ac:dyDescent="0.3">
      <c r="A2471" t="s">
        <v>17553</v>
      </c>
      <c r="B2471" t="s">
        <v>17554</v>
      </c>
      <c r="C2471" t="s">
        <v>17555</v>
      </c>
      <c r="G2471">
        <v>204</v>
      </c>
      <c r="H2471">
        <v>500</v>
      </c>
      <c r="I2471" s="5" t="s">
        <v>17556</v>
      </c>
      <c r="J2471" s="5" t="s">
        <v>17557</v>
      </c>
      <c r="K2471" s="5" t="str">
        <f t="shared" si="76"/>
        <v>https://www.google.com/maps?q=-11.543748, -41.978043</v>
      </c>
      <c r="L2471" s="5" t="str">
        <f t="shared" si="77"/>
        <v>Abrir no Maps</v>
      </c>
      <c r="M2471" t="s">
        <v>17558</v>
      </c>
      <c r="O2471" t="str">
        <f>VLOOKUP(G2471,'[1]CONFIG.'!$B:$C,2,0)</f>
        <v>EVA</v>
      </c>
      <c r="P2471" t="str">
        <f>VLOOKUP(O2471,'[1]CONFIG.'!$C:$D,2,0)</f>
        <v>74 98046078</v>
      </c>
    </row>
    <row r="2472" spans="1:16" x14ac:dyDescent="0.3">
      <c r="A2472" t="s">
        <v>17559</v>
      </c>
      <c r="B2472" t="s">
        <v>17560</v>
      </c>
      <c r="C2472" t="s">
        <v>17561</v>
      </c>
      <c r="G2472">
        <v>214</v>
      </c>
      <c r="H2472">
        <v>200</v>
      </c>
      <c r="I2472" s="5" t="s">
        <v>17562</v>
      </c>
      <c r="J2472" s="5" t="s">
        <v>17563</v>
      </c>
      <c r="K2472" s="5" t="str">
        <f t="shared" si="76"/>
        <v>https://www.google.com/maps?q=-10.978519, -42.357369</v>
      </c>
      <c r="L2472" s="5" t="str">
        <f t="shared" si="77"/>
        <v>Abrir no Maps</v>
      </c>
      <c r="M2472" t="s">
        <v>15604</v>
      </c>
      <c r="O2472" t="str">
        <f>VLOOKUP(G2472,'[1]CONFIG.'!$B:$C,2,0)</f>
        <v>GEOVANA</v>
      </c>
      <c r="P2472" t="str">
        <f>VLOOKUP(O2472,'[1]CONFIG.'!$C:$D,2,0)</f>
        <v>74 99523491</v>
      </c>
    </row>
    <row r="2473" spans="1:16" x14ac:dyDescent="0.3">
      <c r="A2473" t="s">
        <v>17564</v>
      </c>
      <c r="B2473" t="s">
        <v>17565</v>
      </c>
      <c r="C2473" t="s">
        <v>17566</v>
      </c>
      <c r="G2473">
        <v>206</v>
      </c>
      <c r="H2473">
        <v>200</v>
      </c>
      <c r="I2473" s="5" t="s">
        <v>17567</v>
      </c>
      <c r="J2473" s="5" t="s">
        <v>17568</v>
      </c>
      <c r="K2473" s="5" t="str">
        <f t="shared" si="76"/>
        <v>https://www.google.com/maps?q=-11.394616, -41.697313</v>
      </c>
      <c r="L2473" s="5" t="str">
        <f t="shared" si="77"/>
        <v>Abrir no Maps</v>
      </c>
      <c r="M2473" t="s">
        <v>17569</v>
      </c>
      <c r="O2473" t="str">
        <f>VLOOKUP(G2473,'[1]CONFIG.'!$B:$C,2,0)</f>
        <v>ROBERTO</v>
      </c>
      <c r="P2473" t="str">
        <f>VLOOKUP(O2473,'[1]CONFIG.'!$C:$D,2,0)</f>
        <v>74 99551147</v>
      </c>
    </row>
    <row r="2474" spans="1:16" x14ac:dyDescent="0.3">
      <c r="A2474" t="s">
        <v>17570</v>
      </c>
      <c r="B2474" t="s">
        <v>17571</v>
      </c>
      <c r="C2474" t="s">
        <v>17572</v>
      </c>
      <c r="G2474">
        <v>204</v>
      </c>
      <c r="H2474">
        <v>500</v>
      </c>
      <c r="I2474" s="5" t="s">
        <v>17573</v>
      </c>
      <c r="J2474" s="5" t="s">
        <v>17574</v>
      </c>
      <c r="K2474" s="5" t="str">
        <f t="shared" si="76"/>
        <v>https://www.google.com/maps?q=-11.395625, -41.838411</v>
      </c>
      <c r="L2474" s="5" t="str">
        <f t="shared" si="77"/>
        <v>Abrir no Maps</v>
      </c>
      <c r="M2474" t="s">
        <v>17575</v>
      </c>
      <c r="O2474" t="str">
        <f>VLOOKUP(G2474,'[1]CONFIG.'!$B:$C,2,0)</f>
        <v>EVA</v>
      </c>
      <c r="P2474" t="str">
        <f>VLOOKUP(O2474,'[1]CONFIG.'!$C:$D,2,0)</f>
        <v>74 98046078</v>
      </c>
    </row>
    <row r="2475" spans="1:16" x14ac:dyDescent="0.3">
      <c r="A2475" t="s">
        <v>17576</v>
      </c>
      <c r="B2475" t="s">
        <v>17577</v>
      </c>
      <c r="C2475" t="s">
        <v>17578</v>
      </c>
      <c r="G2475">
        <v>201</v>
      </c>
      <c r="H2475">
        <v>300</v>
      </c>
      <c r="I2475" s="5" t="s">
        <v>17579</v>
      </c>
      <c r="J2475" s="5" t="s">
        <v>17580</v>
      </c>
      <c r="K2475" s="5" t="str">
        <f t="shared" si="76"/>
        <v>https://www.google.com/maps?q=-11.545792, -41.174688</v>
      </c>
      <c r="L2475" s="5" t="str">
        <f t="shared" si="77"/>
        <v>Abrir no Maps</v>
      </c>
      <c r="M2475" t="s">
        <v>17581</v>
      </c>
      <c r="O2475" t="str">
        <f>VLOOKUP(G2475,'[1]CONFIG.'!$B:$C,2,0)</f>
        <v>EDSON</v>
      </c>
      <c r="P2475" t="str">
        <f>VLOOKUP(O2475,'[1]CONFIG.'!$C:$D,2,0)</f>
        <v>74 99403278</v>
      </c>
    </row>
    <row r="2476" spans="1:16" x14ac:dyDescent="0.3">
      <c r="A2476" t="s">
        <v>17582</v>
      </c>
      <c r="B2476" t="s">
        <v>17583</v>
      </c>
      <c r="C2476" t="s">
        <v>17584</v>
      </c>
      <c r="G2476">
        <v>201</v>
      </c>
      <c r="H2476">
        <v>300</v>
      </c>
      <c r="I2476" s="5" t="s">
        <v>10961</v>
      </c>
      <c r="J2476" s="5" t="s">
        <v>10962</v>
      </c>
      <c r="K2476" s="5" t="str">
        <f t="shared" si="76"/>
        <v>https://www.google.com/maps?q=-11.544585, -41.175061</v>
      </c>
      <c r="L2476" s="5" t="str">
        <f t="shared" si="77"/>
        <v>Abrir no Maps</v>
      </c>
      <c r="M2476" t="s">
        <v>17585</v>
      </c>
      <c r="O2476" t="str">
        <f>VLOOKUP(G2476,'[1]CONFIG.'!$B:$C,2,0)</f>
        <v>EDSON</v>
      </c>
      <c r="P2476" t="str">
        <f>VLOOKUP(O2476,'[1]CONFIG.'!$C:$D,2,0)</f>
        <v>74 99403278</v>
      </c>
    </row>
    <row r="2477" spans="1:16" x14ac:dyDescent="0.3">
      <c r="A2477" t="s">
        <v>17586</v>
      </c>
      <c r="B2477" t="s">
        <v>17587</v>
      </c>
      <c r="C2477" t="s">
        <v>17588</v>
      </c>
      <c r="G2477">
        <v>201</v>
      </c>
      <c r="H2477">
        <v>300</v>
      </c>
      <c r="I2477" s="5" t="s">
        <v>17589</v>
      </c>
      <c r="J2477" s="5" t="s">
        <v>17590</v>
      </c>
      <c r="K2477" s="5" t="str">
        <f t="shared" si="76"/>
        <v>https://www.google.com/maps?q=-11.549832, -41.156454</v>
      </c>
      <c r="L2477" s="5" t="str">
        <f t="shared" si="77"/>
        <v>Abrir no Maps</v>
      </c>
      <c r="M2477" t="s">
        <v>17591</v>
      </c>
      <c r="O2477" t="str">
        <f>VLOOKUP(G2477,'[1]CONFIG.'!$B:$C,2,0)</f>
        <v>EDSON</v>
      </c>
      <c r="P2477" t="str">
        <f>VLOOKUP(O2477,'[1]CONFIG.'!$C:$D,2,0)</f>
        <v>74 99403278</v>
      </c>
    </row>
    <row r="2478" spans="1:16" x14ac:dyDescent="0.3">
      <c r="A2478" t="s">
        <v>17592</v>
      </c>
      <c r="B2478" t="s">
        <v>17593</v>
      </c>
      <c r="C2478" t="s">
        <v>17594</v>
      </c>
      <c r="G2478">
        <v>201</v>
      </c>
      <c r="H2478">
        <v>300</v>
      </c>
      <c r="I2478" s="5" t="s">
        <v>17595</v>
      </c>
      <c r="J2478" s="5" t="s">
        <v>17596</v>
      </c>
      <c r="K2478" s="5" t="str">
        <f t="shared" si="76"/>
        <v>https://www.google.com/maps?q=-11.550440, -41.155780</v>
      </c>
      <c r="L2478" s="5" t="str">
        <f t="shared" si="77"/>
        <v>Abrir no Maps</v>
      </c>
      <c r="M2478" t="s">
        <v>17597</v>
      </c>
      <c r="O2478" t="str">
        <f>VLOOKUP(G2478,'[1]CONFIG.'!$B:$C,2,0)</f>
        <v>EDSON</v>
      </c>
      <c r="P2478" t="str">
        <f>VLOOKUP(O2478,'[1]CONFIG.'!$C:$D,2,0)</f>
        <v>74 99403278</v>
      </c>
    </row>
    <row r="2479" spans="1:16" x14ac:dyDescent="0.3">
      <c r="A2479" t="s">
        <v>17598</v>
      </c>
      <c r="B2479" t="s">
        <v>17599</v>
      </c>
      <c r="C2479" t="s">
        <v>17600</v>
      </c>
      <c r="G2479">
        <v>202</v>
      </c>
      <c r="H2479">
        <v>500</v>
      </c>
      <c r="I2479" s="5" t="s">
        <v>17601</v>
      </c>
      <c r="J2479" s="5" t="s">
        <v>17602</v>
      </c>
      <c r="K2479" s="5" t="str">
        <f t="shared" si="76"/>
        <v>https://www.google.com/maps?q=-12.013466, -41.669565</v>
      </c>
      <c r="L2479" s="5" t="str">
        <f t="shared" si="77"/>
        <v>Abrir no Maps</v>
      </c>
      <c r="M2479" t="s">
        <v>17603</v>
      </c>
      <c r="O2479" t="str">
        <f>VLOOKUP(G2479,'[1]CONFIG.'!$B:$C,2,0)</f>
        <v>ARISTON</v>
      </c>
      <c r="P2479" t="str">
        <f>VLOOKUP(O2479,'[1]CONFIG.'!$C:$D,2,0)</f>
        <v>74 99384078</v>
      </c>
    </row>
    <row r="2480" spans="1:16" x14ac:dyDescent="0.3">
      <c r="A2480" t="s">
        <v>17604</v>
      </c>
      <c r="B2480" t="s">
        <v>17605</v>
      </c>
      <c r="C2480" t="s">
        <v>17606</v>
      </c>
      <c r="G2480">
        <v>215</v>
      </c>
      <c r="H2480">
        <v>300</v>
      </c>
      <c r="I2480" s="5" t="s">
        <v>17607</v>
      </c>
      <c r="J2480" s="5" t="s">
        <v>17608</v>
      </c>
      <c r="K2480" s="5" t="str">
        <f t="shared" si="76"/>
        <v>https://www.google.com/maps?q=-11.728524, -41.326507</v>
      </c>
      <c r="L2480" s="5" t="str">
        <f t="shared" si="77"/>
        <v>Abrir no Maps</v>
      </c>
      <c r="M2480" t="s">
        <v>17609</v>
      </c>
      <c r="O2480" t="str">
        <f>VLOOKUP(G2480,'[1]CONFIG.'!$B:$C,2,0)</f>
        <v>JARDEL</v>
      </c>
      <c r="P2480" t="str">
        <f>VLOOKUP(O2480,'[1]CONFIG.'!$C:$D,2,0)</f>
        <v>74 99321440</v>
      </c>
    </row>
    <row r="2481" spans="1:16" x14ac:dyDescent="0.3">
      <c r="A2481" t="s">
        <v>17610</v>
      </c>
      <c r="B2481" t="s">
        <v>17611</v>
      </c>
      <c r="C2481" t="s">
        <v>17612</v>
      </c>
      <c r="G2481">
        <v>214</v>
      </c>
      <c r="H2481">
        <v>200</v>
      </c>
      <c r="I2481" s="5" t="s">
        <v>17613</v>
      </c>
      <c r="J2481" s="5" t="s">
        <v>17614</v>
      </c>
      <c r="K2481" s="5" t="str">
        <f t="shared" si="76"/>
        <v>https://www.google.com/maps?q=-11.828614, -42.724383</v>
      </c>
      <c r="L2481" s="5" t="str">
        <f t="shared" si="77"/>
        <v>Abrir no Maps</v>
      </c>
      <c r="M2481" t="s">
        <v>17615</v>
      </c>
      <c r="O2481" t="str">
        <f>VLOOKUP(G2481,'[1]CONFIG.'!$B:$C,2,0)</f>
        <v>GEOVANA</v>
      </c>
      <c r="P2481" t="str">
        <f>VLOOKUP(O2481,'[1]CONFIG.'!$C:$D,2,0)</f>
        <v>74 99523491</v>
      </c>
    </row>
    <row r="2482" spans="1:16" x14ac:dyDescent="0.3">
      <c r="A2482" t="s">
        <v>17616</v>
      </c>
      <c r="B2482" t="s">
        <v>17617</v>
      </c>
      <c r="C2482" t="s">
        <v>17618</v>
      </c>
      <c r="G2482">
        <v>208</v>
      </c>
      <c r="H2482">
        <v>200</v>
      </c>
      <c r="I2482" s="5" t="s">
        <v>17619</v>
      </c>
      <c r="J2482" s="5" t="s">
        <v>17620</v>
      </c>
      <c r="K2482" s="5" t="str">
        <f t="shared" si="76"/>
        <v>https://www.google.com/maps?q=-11.426719, -42.503511</v>
      </c>
      <c r="L2482" s="5" t="str">
        <f t="shared" si="77"/>
        <v>Abrir no Maps</v>
      </c>
      <c r="M2482" t="s">
        <v>17621</v>
      </c>
      <c r="O2482" t="str">
        <f>VLOOKUP(G2482,'[1]CONFIG.'!$B:$C,2,0)</f>
        <v>NEILTON</v>
      </c>
      <c r="P2482" t="str">
        <f>VLOOKUP(O2482,'[1]CONFIG.'!$C:$D,2,0)</f>
        <v>74 99857115</v>
      </c>
    </row>
    <row r="2483" spans="1:16" x14ac:dyDescent="0.3">
      <c r="A2483" t="s">
        <v>17622</v>
      </c>
      <c r="B2483" t="s">
        <v>17623</v>
      </c>
      <c r="C2483" t="s">
        <v>17624</v>
      </c>
      <c r="G2483">
        <v>215</v>
      </c>
      <c r="H2483">
        <v>300</v>
      </c>
      <c r="I2483" s="5" t="s">
        <v>17625</v>
      </c>
      <c r="J2483" s="5" t="s">
        <v>17626</v>
      </c>
      <c r="K2483" s="5" t="str">
        <f t="shared" si="76"/>
        <v>https://www.google.com/maps?q=-11.054112, -40.782222</v>
      </c>
      <c r="L2483" s="5" t="str">
        <f t="shared" si="77"/>
        <v>Abrir no Maps</v>
      </c>
      <c r="M2483" t="s">
        <v>17627</v>
      </c>
      <c r="O2483" t="str">
        <f>VLOOKUP(G2483,'[1]CONFIG.'!$B:$C,2,0)</f>
        <v>JARDEL</v>
      </c>
      <c r="P2483" t="str">
        <f>VLOOKUP(O2483,'[1]CONFIG.'!$C:$D,2,0)</f>
        <v>74 99321440</v>
      </c>
    </row>
    <row r="2484" spans="1:16" x14ac:dyDescent="0.3">
      <c r="A2484" t="s">
        <v>17628</v>
      </c>
      <c r="B2484" t="s">
        <v>17629</v>
      </c>
      <c r="C2484" t="s">
        <v>17630</v>
      </c>
      <c r="G2484">
        <v>214</v>
      </c>
      <c r="H2484">
        <v>200</v>
      </c>
      <c r="I2484" s="5" t="s">
        <v>17631</v>
      </c>
      <c r="J2484" s="5" t="s">
        <v>17632</v>
      </c>
      <c r="K2484" s="5" t="str">
        <f t="shared" si="76"/>
        <v>https://www.google.com/maps?q=-11.011744, -42.398306</v>
      </c>
      <c r="L2484" s="5" t="str">
        <f t="shared" si="77"/>
        <v>Abrir no Maps</v>
      </c>
      <c r="M2484" t="s">
        <v>17633</v>
      </c>
      <c r="O2484" t="str">
        <f>VLOOKUP(G2484,'[1]CONFIG.'!$B:$C,2,0)</f>
        <v>GEOVANA</v>
      </c>
      <c r="P2484" t="str">
        <f>VLOOKUP(O2484,'[1]CONFIG.'!$C:$D,2,0)</f>
        <v>74 99523491</v>
      </c>
    </row>
    <row r="2485" spans="1:16" x14ac:dyDescent="0.3">
      <c r="A2485" t="s">
        <v>17634</v>
      </c>
      <c r="B2485" t="s">
        <v>17635</v>
      </c>
      <c r="C2485" t="s">
        <v>17636</v>
      </c>
      <c r="G2485">
        <v>214</v>
      </c>
      <c r="H2485">
        <v>200</v>
      </c>
      <c r="I2485" s="5" t="s">
        <v>17637</v>
      </c>
      <c r="J2485" s="5" t="s">
        <v>17638</v>
      </c>
      <c r="K2485" s="5" t="str">
        <f t="shared" si="76"/>
        <v>https://www.google.com/maps?q=-10.985441, -42.340513</v>
      </c>
      <c r="L2485" s="5" t="str">
        <f t="shared" si="77"/>
        <v>Abrir no Maps</v>
      </c>
      <c r="M2485" t="s">
        <v>8250</v>
      </c>
      <c r="O2485" t="str">
        <f>VLOOKUP(G2485,'[1]CONFIG.'!$B:$C,2,0)</f>
        <v>GEOVANA</v>
      </c>
      <c r="P2485" t="str">
        <f>VLOOKUP(O2485,'[1]CONFIG.'!$C:$D,2,0)</f>
        <v>74 99523491</v>
      </c>
    </row>
    <row r="2486" spans="1:16" x14ac:dyDescent="0.3">
      <c r="A2486" t="s">
        <v>17639</v>
      </c>
      <c r="B2486" t="s">
        <v>17640</v>
      </c>
      <c r="C2486" t="s">
        <v>17641</v>
      </c>
      <c r="G2486">
        <v>206</v>
      </c>
      <c r="H2486">
        <v>200</v>
      </c>
      <c r="I2486" s="5" t="s">
        <v>17642</v>
      </c>
      <c r="J2486" s="5" t="s">
        <v>17643</v>
      </c>
      <c r="K2486" s="5" t="str">
        <f t="shared" si="76"/>
        <v>https://www.google.com/maps?q=-11.348373, -41.646033</v>
      </c>
      <c r="L2486" s="5" t="str">
        <f t="shared" si="77"/>
        <v>Abrir no Maps</v>
      </c>
      <c r="M2486" t="s">
        <v>17644</v>
      </c>
      <c r="O2486" t="str">
        <f>VLOOKUP(G2486,'[1]CONFIG.'!$B:$C,2,0)</f>
        <v>ROBERTO</v>
      </c>
      <c r="P2486" t="str">
        <f>VLOOKUP(O2486,'[1]CONFIG.'!$C:$D,2,0)</f>
        <v>74 99551147</v>
      </c>
    </row>
    <row r="2487" spans="1:16" x14ac:dyDescent="0.3">
      <c r="A2487" t="s">
        <v>17645</v>
      </c>
      <c r="B2487" t="s">
        <v>17646</v>
      </c>
      <c r="C2487" t="s">
        <v>17647</v>
      </c>
      <c r="G2487">
        <v>206</v>
      </c>
      <c r="H2487">
        <v>200</v>
      </c>
      <c r="I2487" s="5" t="s">
        <v>17648</v>
      </c>
      <c r="J2487" s="5" t="s">
        <v>17649</v>
      </c>
      <c r="K2487" s="5" t="str">
        <f t="shared" si="76"/>
        <v>https://www.google.com/maps?q=-11.346150, -41.661050</v>
      </c>
      <c r="L2487" s="5" t="str">
        <f t="shared" si="77"/>
        <v>Abrir no Maps</v>
      </c>
      <c r="M2487" t="s">
        <v>17650</v>
      </c>
      <c r="O2487" t="str">
        <f>VLOOKUP(G2487,'[1]CONFIG.'!$B:$C,2,0)</f>
        <v>ROBERTO</v>
      </c>
      <c r="P2487" t="str">
        <f>VLOOKUP(O2487,'[1]CONFIG.'!$C:$D,2,0)</f>
        <v>74 99551147</v>
      </c>
    </row>
    <row r="2488" spans="1:16" x14ac:dyDescent="0.3">
      <c r="A2488" t="s">
        <v>17651</v>
      </c>
      <c r="B2488" t="s">
        <v>17652</v>
      </c>
      <c r="C2488" t="s">
        <v>17653</v>
      </c>
      <c r="G2488">
        <v>206</v>
      </c>
      <c r="H2488">
        <v>200</v>
      </c>
      <c r="I2488" s="5" t="s">
        <v>17654</v>
      </c>
      <c r="J2488" s="5" t="s">
        <v>8506</v>
      </c>
      <c r="K2488" s="5" t="str">
        <f t="shared" si="76"/>
        <v>https://www.google.com/maps?q=-11.346145, -41.663265</v>
      </c>
      <c r="L2488" s="5" t="str">
        <f t="shared" si="77"/>
        <v>Abrir no Maps</v>
      </c>
      <c r="M2488" t="s">
        <v>17655</v>
      </c>
      <c r="O2488" t="str">
        <f>VLOOKUP(G2488,'[1]CONFIG.'!$B:$C,2,0)</f>
        <v>ROBERTO</v>
      </c>
      <c r="P2488" t="str">
        <f>VLOOKUP(O2488,'[1]CONFIG.'!$C:$D,2,0)</f>
        <v>74 99551147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A1E8-CC2E-4C7F-BB6E-2EE6758DCB5D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ht="15" thickBot="1" x14ac:dyDescent="0.35">
      <c r="B3" s="8" t="s">
        <v>17656</v>
      </c>
      <c r="C3" s="9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13" t="s">
        <v>206</v>
      </c>
      <c r="C4" s="13" t="str">
        <f>IFERROR(VLOOKUP(B4,'BASE DE CLIENTES'!$A:$C,3,0),"")</f>
        <v>COOBRASIL</v>
      </c>
      <c r="D4" s="2" t="s">
        <v>17664</v>
      </c>
      <c r="E4" s="2" t="s">
        <v>17671</v>
      </c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13"/>
      <c r="C5" s="13"/>
      <c r="D5" s="2" t="s">
        <v>17657</v>
      </c>
      <c r="E5" s="2" t="s">
        <v>17671</v>
      </c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13"/>
      <c r="C6" s="13"/>
      <c r="D6" s="2" t="s">
        <v>17665</v>
      </c>
      <c r="E6" s="2" t="s">
        <v>17666</v>
      </c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13"/>
      <c r="C7" s="13"/>
      <c r="D7" s="2" t="s">
        <v>17658</v>
      </c>
      <c r="E7" s="2" t="s">
        <v>17671</v>
      </c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13"/>
      <c r="C8" s="13"/>
      <c r="D8" s="2" t="s">
        <v>17659</v>
      </c>
      <c r="E8" s="2" t="s">
        <v>17671</v>
      </c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13"/>
      <c r="C9" s="13"/>
      <c r="D9" s="2" t="s">
        <v>17660</v>
      </c>
      <c r="E9" s="2" t="s">
        <v>17672</v>
      </c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13"/>
      <c r="C10" s="13"/>
      <c r="D10" s="2" t="s">
        <v>17661</v>
      </c>
      <c r="E10" s="2" t="s">
        <v>17671</v>
      </c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13"/>
      <c r="C11" s="13"/>
      <c r="D11" s="2" t="s">
        <v>17662</v>
      </c>
      <c r="E11" s="2" t="s">
        <v>17671</v>
      </c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13"/>
      <c r="C12" s="13"/>
      <c r="D12" s="2" t="s">
        <v>17668</v>
      </c>
      <c r="E12" s="2" t="s">
        <v>17672</v>
      </c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13"/>
      <c r="C13" s="13"/>
      <c r="D13" s="18" t="s">
        <v>17669</v>
      </c>
      <c r="E13" s="2" t="s">
        <v>17671</v>
      </c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13"/>
      <c r="C14" s="13"/>
      <c r="D14" s="18" t="s">
        <v>17670</v>
      </c>
      <c r="E14" s="2" t="s">
        <v>17671</v>
      </c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13"/>
      <c r="C15" s="13"/>
      <c r="D15" s="18" t="s">
        <v>17667</v>
      </c>
      <c r="E15" s="2" t="s">
        <v>17671</v>
      </c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14"/>
      <c r="C16" s="14"/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15" t="s">
        <v>2216</v>
      </c>
      <c r="C17" s="15" t="str">
        <f>IFERROR(VLOOKUP(B17,'BASE DE CLIENTES'!$A:$C,3,0),"")</f>
        <v>MERCADO DESTAK    03</v>
      </c>
      <c r="D17" s="2" t="s">
        <v>17673</v>
      </c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13"/>
      <c r="C18" s="13"/>
      <c r="D18" s="2" t="s">
        <v>17674</v>
      </c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13"/>
      <c r="C19" s="13"/>
      <c r="D19" s="2" t="s">
        <v>17680</v>
      </c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13"/>
      <c r="C20" s="13"/>
      <c r="D20" s="2" t="s">
        <v>17678</v>
      </c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13"/>
      <c r="C21" s="13"/>
      <c r="D21" s="2" t="s">
        <v>17662</v>
      </c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13"/>
      <c r="C22" s="13"/>
      <c r="D22" s="2" t="s">
        <v>17675</v>
      </c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13"/>
      <c r="C23" s="13"/>
      <c r="D23" s="2" t="s">
        <v>17676</v>
      </c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13"/>
      <c r="C24" s="13"/>
      <c r="D24" s="2" t="s">
        <v>17677</v>
      </c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13"/>
      <c r="C25" s="13"/>
      <c r="D25" s="2" t="s">
        <v>17679</v>
      </c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13"/>
      <c r="C26" s="13"/>
      <c r="D26" s="2" t="s">
        <v>17681</v>
      </c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14"/>
      <c r="C27" s="14"/>
      <c r="D27" s="2" t="s">
        <v>17682</v>
      </c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" t="s">
        <v>1138</v>
      </c>
      <c r="C28" s="2" t="str">
        <f>IFERROR(VLOOKUP(B28,'BASE DE CLIENTES'!$A:$C,3,0),"")</f>
        <v>SERTAO FRANGO</v>
      </c>
      <c r="D28" s="2" t="s">
        <v>17683</v>
      </c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"/>
      <c r="C29" s="2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"/>
      <c r="C30" s="2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"/>
      <c r="C31" s="2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"/>
      <c r="C32" s="2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"/>
      <c r="C33" s="2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"/>
      <c r="C34" s="2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"/>
      <c r="C35" s="2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"/>
      <c r="C36" s="2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"/>
      <c r="C37" s="2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"/>
      <c r="C38" s="2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"/>
      <c r="C39" s="2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"/>
      <c r="C40" s="2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"/>
      <c r="C41" s="2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"/>
      <c r="C42" s="2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"/>
      <c r="C43" s="2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"/>
      <c r="C44" s="2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"/>
      <c r="C45" s="2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"/>
      <c r="C46" s="2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"/>
      <c r="C47" s="2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"/>
      <c r="C48" s="2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"/>
      <c r="C49" s="2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"/>
      <c r="C50" s="2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"/>
      <c r="C51" s="2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"/>
      <c r="C52" s="2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"/>
      <c r="C53" s="2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"/>
      <c r="C54" s="2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"/>
      <c r="C55" s="2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"/>
      <c r="C56" s="2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"/>
      <c r="C57" s="2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"/>
      <c r="C58" s="2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"/>
      <c r="C59" s="2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"/>
      <c r="C60" s="2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"/>
      <c r="C61" s="2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"/>
      <c r="C62" s="2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"/>
      <c r="C63" s="2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"/>
      <c r="C64" s="2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"/>
      <c r="C65" s="2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"/>
      <c r="C66" s="2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"/>
      <c r="C67" s="2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"/>
      <c r="C68" s="2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"/>
      <c r="C69" s="2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"/>
      <c r="C70" s="2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"/>
      <c r="C71" s="2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"/>
      <c r="C72" s="2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"/>
      <c r="C73" s="2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"/>
      <c r="C74" s="2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"/>
      <c r="C75" s="2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"/>
      <c r="C76" s="2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"/>
      <c r="C77" s="2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"/>
      <c r="C78" s="2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"/>
      <c r="C79" s="2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"/>
      <c r="C80" s="2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"/>
      <c r="C81" s="2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"/>
      <c r="C82" s="2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"/>
      <c r="C83" s="2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"/>
      <c r="C84" s="2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"/>
      <c r="C85" s="2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"/>
      <c r="C86" s="2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"/>
      <c r="C87" s="2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"/>
      <c r="C88" s="2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"/>
      <c r="C89" s="2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"/>
      <c r="C90" s="2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"/>
      <c r="C91" s="2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"/>
      <c r="C92" s="2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"/>
      <c r="C93" s="2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"/>
      <c r="C94" s="2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"/>
      <c r="C95" s="2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"/>
      <c r="C96" s="2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"/>
      <c r="C97" s="2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"/>
      <c r="C98" s="2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"/>
      <c r="C99" s="2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"/>
      <c r="C100" s="2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10">
    <mergeCell ref="C17:C27"/>
    <mergeCell ref="B17:B27"/>
    <mergeCell ref="V2:Y2"/>
    <mergeCell ref="C4:C16"/>
    <mergeCell ref="B4:B16"/>
    <mergeCell ref="F2:I2"/>
    <mergeCell ref="J2:M2"/>
    <mergeCell ref="N2:Q2"/>
    <mergeCell ref="R2:U2"/>
    <mergeCell ref="B2:E2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V2:Y2"/>
    <mergeCell ref="B2:E2"/>
    <mergeCell ref="F2:I2"/>
    <mergeCell ref="J2:M2"/>
    <mergeCell ref="N2:Q2"/>
    <mergeCell ref="R2:U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80E4-B06D-4079-A6A9-86D26FD8F199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A70-AD1A-481F-A631-B0AB6F3C5099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832D-195C-49F7-9D52-F96FD4D50875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2828-FE2E-4B32-8C12-2614102E72CF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937A-3C7C-4919-9B85-9492D4AD1837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948F-77B3-4305-AC61-BC4530245597}">
  <dimension ref="B1:Y100"/>
  <sheetViews>
    <sheetView workbookViewId="0">
      <selection sqref="A1:XFD1048576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58A5-533F-4757-B85F-662AB3F239C5}">
  <dimension ref="B1:Y100"/>
  <sheetViews>
    <sheetView tabSelected="1" workbookViewId="0">
      <selection activeCell="E17" sqref="E17"/>
    </sheetView>
  </sheetViews>
  <sheetFormatPr defaultColWidth="8.33203125" defaultRowHeight="14.4" x14ac:dyDescent="0.3"/>
  <cols>
    <col min="1" max="1" width="8.44140625" bestFit="1" customWidth="1"/>
    <col min="2" max="2" width="9.6640625" bestFit="1" customWidth="1"/>
    <col min="3" max="3" width="20.33203125" bestFit="1" customWidth="1"/>
    <col min="4" max="4" width="43.88671875" bestFit="1" customWidth="1"/>
    <col min="5" max="5" width="49.109375" bestFit="1" customWidth="1"/>
    <col min="6" max="6" width="5.33203125" bestFit="1" customWidth="1"/>
    <col min="8" max="8" width="14.5546875" bestFit="1" customWidth="1"/>
    <col min="9" max="9" width="10.6640625" bestFit="1" customWidth="1"/>
    <col min="10" max="10" width="5.33203125" bestFit="1" customWidth="1"/>
    <col min="12" max="12" width="14.5546875" bestFit="1" customWidth="1"/>
    <col min="13" max="13" width="10.6640625" bestFit="1" customWidth="1"/>
    <col min="14" max="14" width="5.33203125" bestFit="1" customWidth="1"/>
    <col min="16" max="16" width="14.5546875" bestFit="1" customWidth="1"/>
    <col min="17" max="17" width="10.6640625" bestFit="1" customWidth="1"/>
    <col min="18" max="18" width="5.33203125" bestFit="1" customWidth="1"/>
    <col min="20" max="20" width="14.5546875" bestFit="1" customWidth="1"/>
    <col min="21" max="21" width="10.6640625" bestFit="1" customWidth="1"/>
    <col min="22" max="22" width="5.33203125" bestFit="1" customWidth="1"/>
    <col min="24" max="24" width="14.5546875" bestFit="1" customWidth="1"/>
    <col min="25" max="25" width="10.6640625" bestFit="1" customWidth="1"/>
  </cols>
  <sheetData>
    <row r="1" spans="2:25" ht="15" thickBot="1" x14ac:dyDescent="0.35"/>
    <row r="2" spans="2:25" x14ac:dyDescent="0.3">
      <c r="B2" s="10" t="s">
        <v>10</v>
      </c>
      <c r="C2" s="11"/>
      <c r="D2" s="11"/>
      <c r="E2" s="12"/>
      <c r="F2" s="10" t="s">
        <v>11</v>
      </c>
      <c r="G2" s="11"/>
      <c r="H2" s="11"/>
      <c r="I2" s="12"/>
      <c r="J2" s="10" t="s">
        <v>12</v>
      </c>
      <c r="K2" s="11"/>
      <c r="L2" s="11"/>
      <c r="M2" s="12"/>
      <c r="N2" s="10" t="s">
        <v>13</v>
      </c>
      <c r="O2" s="11"/>
      <c r="P2" s="11"/>
      <c r="Q2" s="12"/>
      <c r="R2" s="10" t="s">
        <v>14</v>
      </c>
      <c r="S2" s="11"/>
      <c r="T2" s="11"/>
      <c r="U2" s="12"/>
      <c r="V2" s="10" t="s">
        <v>15</v>
      </c>
      <c r="W2" s="11"/>
      <c r="X2" s="11"/>
      <c r="Y2" s="12"/>
    </row>
    <row r="3" spans="2:25" s="7" customFormat="1" x14ac:dyDescent="0.3">
      <c r="B3" s="19" t="s">
        <v>17656</v>
      </c>
      <c r="C3" s="16" t="s">
        <v>16</v>
      </c>
      <c r="D3" s="16" t="s">
        <v>17663</v>
      </c>
      <c r="E3" s="17" t="s">
        <v>17</v>
      </c>
      <c r="F3" s="19" t="s">
        <v>17656</v>
      </c>
      <c r="G3" s="16" t="s">
        <v>16</v>
      </c>
      <c r="H3" s="16" t="s">
        <v>17663</v>
      </c>
      <c r="I3" s="17" t="s">
        <v>17</v>
      </c>
      <c r="J3" s="19" t="s">
        <v>17656</v>
      </c>
      <c r="K3" s="16" t="s">
        <v>16</v>
      </c>
      <c r="L3" s="16" t="s">
        <v>17663</v>
      </c>
      <c r="M3" s="17" t="s">
        <v>17</v>
      </c>
      <c r="N3" s="19" t="s">
        <v>17656</v>
      </c>
      <c r="O3" s="16" t="s">
        <v>16</v>
      </c>
      <c r="P3" s="16" t="s">
        <v>17663</v>
      </c>
      <c r="Q3" s="17" t="s">
        <v>17</v>
      </c>
      <c r="R3" s="19" t="s">
        <v>17656</v>
      </c>
      <c r="S3" s="16" t="s">
        <v>16</v>
      </c>
      <c r="T3" s="16" t="s">
        <v>17663</v>
      </c>
      <c r="U3" s="17" t="s">
        <v>17</v>
      </c>
      <c r="V3" s="19" t="s">
        <v>17656</v>
      </c>
      <c r="W3" s="16" t="s">
        <v>16</v>
      </c>
      <c r="X3" s="16" t="s">
        <v>17663</v>
      </c>
      <c r="Y3" s="17" t="s">
        <v>17</v>
      </c>
    </row>
    <row r="4" spans="2:25" x14ac:dyDescent="0.3">
      <c r="B4" s="20"/>
      <c r="C4" s="20" t="str">
        <f>IFERROR(VLOOKUP(B4,'BASE DE CLIENTES'!$A:$C,3,0),"")</f>
        <v/>
      </c>
      <c r="D4" s="2"/>
      <c r="E4" s="2"/>
      <c r="F4" s="2"/>
      <c r="G4" s="2" t="str">
        <f>IFERROR(VLOOKUP(F4,'BASE DE CLIENTES'!$A:$C,3,0),"")</f>
        <v/>
      </c>
      <c r="H4" s="2"/>
      <c r="I4" s="2"/>
      <c r="J4" s="2"/>
      <c r="K4" s="2" t="str">
        <f>IFERROR(VLOOKUP(J4,'BASE DE CLIENTES'!$A:$C,3,0),"")</f>
        <v/>
      </c>
      <c r="L4" s="2"/>
      <c r="M4" s="2"/>
      <c r="N4" s="2"/>
      <c r="O4" s="2" t="str">
        <f>IFERROR(VLOOKUP(N4,'BASE DE CLIENTES'!$A:$C,3,0),"")</f>
        <v/>
      </c>
      <c r="P4" s="2"/>
      <c r="Q4" s="2"/>
      <c r="R4" s="2"/>
      <c r="S4" s="2" t="str">
        <f>IFERROR(VLOOKUP(R4,'BASE DE CLIENTES'!$A:$C,3,0),"")</f>
        <v/>
      </c>
      <c r="T4" s="2"/>
      <c r="U4" s="2"/>
      <c r="V4" s="2"/>
      <c r="W4" s="2" t="str">
        <f>IFERROR(VLOOKUP(V4,'BASE DE CLIENTES'!$A:$C,3,0),"")</f>
        <v/>
      </c>
      <c r="X4" s="2"/>
      <c r="Y4" s="2"/>
    </row>
    <row r="5" spans="2:25" x14ac:dyDescent="0.3">
      <c r="B5" s="20"/>
      <c r="C5" s="20" t="str">
        <f>IFERROR(VLOOKUP(B5,'BASE DE CLIENTES'!$A:$C,3,0),"")</f>
        <v/>
      </c>
      <c r="D5" s="2"/>
      <c r="E5" s="2"/>
      <c r="F5" s="2"/>
      <c r="G5" s="2" t="str">
        <f>IFERROR(VLOOKUP(F5,'BASE DE CLIENTES'!$A:$C,3,0),"")</f>
        <v/>
      </c>
      <c r="H5" s="2"/>
      <c r="I5" s="2"/>
      <c r="J5" s="2"/>
      <c r="K5" s="2" t="str">
        <f>IFERROR(VLOOKUP(J5,'BASE DE CLIENTES'!$A:$C,3,0),"")</f>
        <v/>
      </c>
      <c r="L5" s="2"/>
      <c r="M5" s="2"/>
      <c r="N5" s="2"/>
      <c r="O5" s="2" t="str">
        <f>IFERROR(VLOOKUP(N5,'BASE DE CLIENTES'!$A:$C,3,0),"")</f>
        <v/>
      </c>
      <c r="P5" s="2"/>
      <c r="Q5" s="2"/>
      <c r="R5" s="2"/>
      <c r="S5" s="2" t="str">
        <f>IFERROR(VLOOKUP(R5,'BASE DE CLIENTES'!$A:$C,3,0),"")</f>
        <v/>
      </c>
      <c r="T5" s="2"/>
      <c r="U5" s="2"/>
      <c r="V5" s="2"/>
      <c r="W5" s="2" t="str">
        <f>IFERROR(VLOOKUP(V5,'BASE DE CLIENTES'!$A:$C,3,0),"")</f>
        <v/>
      </c>
      <c r="X5" s="2"/>
      <c r="Y5" s="2"/>
    </row>
    <row r="6" spans="2:25" x14ac:dyDescent="0.3">
      <c r="B6" s="20"/>
      <c r="C6" s="20" t="str">
        <f>IFERROR(VLOOKUP(B6,'BASE DE CLIENTES'!$A:$C,3,0),"")</f>
        <v/>
      </c>
      <c r="D6" s="2"/>
      <c r="E6" s="2"/>
      <c r="F6" s="2"/>
      <c r="G6" s="2" t="str">
        <f>IFERROR(VLOOKUP(F6,'BASE DE CLIENTES'!$A:$C,3,0),"")</f>
        <v/>
      </c>
      <c r="H6" s="2"/>
      <c r="I6" s="2"/>
      <c r="J6" s="2"/>
      <c r="K6" s="2" t="str">
        <f>IFERROR(VLOOKUP(J6,'BASE DE CLIENTES'!$A:$C,3,0),"")</f>
        <v/>
      </c>
      <c r="L6" s="2"/>
      <c r="M6" s="2"/>
      <c r="N6" s="2"/>
      <c r="O6" s="2" t="str">
        <f>IFERROR(VLOOKUP(N6,'BASE DE CLIENTES'!$A:$C,3,0),"")</f>
        <v/>
      </c>
      <c r="P6" s="2"/>
      <c r="Q6" s="2"/>
      <c r="R6" s="2"/>
      <c r="S6" s="2" t="str">
        <f>IFERROR(VLOOKUP(R6,'BASE DE CLIENTES'!$A:$C,3,0),"")</f>
        <v/>
      </c>
      <c r="T6" s="2"/>
      <c r="U6" s="2"/>
      <c r="V6" s="2"/>
      <c r="W6" s="2" t="str">
        <f>IFERROR(VLOOKUP(V6,'BASE DE CLIENTES'!$A:$C,3,0),"")</f>
        <v/>
      </c>
      <c r="X6" s="2"/>
      <c r="Y6" s="2"/>
    </row>
    <row r="7" spans="2:25" x14ac:dyDescent="0.3">
      <c r="B7" s="20"/>
      <c r="C7" s="20" t="str">
        <f>IFERROR(VLOOKUP(B7,'BASE DE CLIENTES'!$A:$C,3,0),"")</f>
        <v/>
      </c>
      <c r="D7" s="2"/>
      <c r="E7" s="2"/>
      <c r="F7" s="2"/>
      <c r="G7" s="2" t="str">
        <f>IFERROR(VLOOKUP(F7,'BASE DE CLIENTES'!$A:$C,3,0),"")</f>
        <v/>
      </c>
      <c r="H7" s="2"/>
      <c r="I7" s="2"/>
      <c r="J7" s="2"/>
      <c r="K7" s="2" t="str">
        <f>IFERROR(VLOOKUP(J7,'BASE DE CLIENTES'!$A:$C,3,0),"")</f>
        <v/>
      </c>
      <c r="L7" s="2"/>
      <c r="M7" s="2"/>
      <c r="N7" s="2"/>
      <c r="O7" s="2" t="str">
        <f>IFERROR(VLOOKUP(N7,'BASE DE CLIENTES'!$A:$C,3,0),"")</f>
        <v/>
      </c>
      <c r="P7" s="2"/>
      <c r="Q7" s="2"/>
      <c r="R7" s="2"/>
      <c r="S7" s="2" t="str">
        <f>IFERROR(VLOOKUP(R7,'BASE DE CLIENTES'!$A:$C,3,0),"")</f>
        <v/>
      </c>
      <c r="T7" s="2"/>
      <c r="U7" s="2"/>
      <c r="V7" s="2"/>
      <c r="W7" s="2" t="str">
        <f>IFERROR(VLOOKUP(V7,'BASE DE CLIENTES'!$A:$C,3,0),"")</f>
        <v/>
      </c>
      <c r="X7" s="2"/>
      <c r="Y7" s="2"/>
    </row>
    <row r="8" spans="2:25" x14ac:dyDescent="0.3">
      <c r="B8" s="20"/>
      <c r="C8" s="20" t="str">
        <f>IFERROR(VLOOKUP(B8,'BASE DE CLIENTES'!$A:$C,3,0),"")</f>
        <v/>
      </c>
      <c r="D8" s="2"/>
      <c r="E8" s="2"/>
      <c r="F8" s="2"/>
      <c r="G8" s="2" t="str">
        <f>IFERROR(VLOOKUP(F8,'BASE DE CLIENTES'!$A:$C,3,0),"")</f>
        <v/>
      </c>
      <c r="H8" s="2"/>
      <c r="I8" s="2"/>
      <c r="J8" s="2"/>
      <c r="K8" s="2" t="str">
        <f>IFERROR(VLOOKUP(J8,'BASE DE CLIENTES'!$A:$C,3,0),"")</f>
        <v/>
      </c>
      <c r="L8" s="2"/>
      <c r="M8" s="2"/>
      <c r="N8" s="2"/>
      <c r="O8" s="2" t="str">
        <f>IFERROR(VLOOKUP(N8,'BASE DE CLIENTES'!$A:$C,3,0),"")</f>
        <v/>
      </c>
      <c r="P8" s="2"/>
      <c r="Q8" s="2"/>
      <c r="R8" s="2"/>
      <c r="S8" s="2" t="str">
        <f>IFERROR(VLOOKUP(R8,'BASE DE CLIENTES'!$A:$C,3,0),"")</f>
        <v/>
      </c>
      <c r="T8" s="2"/>
      <c r="U8" s="2"/>
      <c r="V8" s="2"/>
      <c r="W8" s="2" t="str">
        <f>IFERROR(VLOOKUP(V8,'BASE DE CLIENTES'!$A:$C,3,0),"")</f>
        <v/>
      </c>
      <c r="X8" s="2"/>
      <c r="Y8" s="2"/>
    </row>
    <row r="9" spans="2:25" x14ac:dyDescent="0.3">
      <c r="B9" s="20"/>
      <c r="C9" s="20" t="str">
        <f>IFERROR(VLOOKUP(B9,'BASE DE CLIENTES'!$A:$C,3,0),"")</f>
        <v/>
      </c>
      <c r="D9" s="2"/>
      <c r="E9" s="2"/>
      <c r="F9" s="2"/>
      <c r="G9" s="2" t="str">
        <f>IFERROR(VLOOKUP(F9,'BASE DE CLIENTES'!$A:$C,3,0),"")</f>
        <v/>
      </c>
      <c r="H9" s="2"/>
      <c r="I9" s="2"/>
      <c r="J9" s="2"/>
      <c r="K9" s="2" t="str">
        <f>IFERROR(VLOOKUP(J9,'BASE DE CLIENTES'!$A:$C,3,0),"")</f>
        <v/>
      </c>
      <c r="L9" s="2"/>
      <c r="M9" s="2"/>
      <c r="N9" s="2"/>
      <c r="O9" s="2" t="str">
        <f>IFERROR(VLOOKUP(N9,'BASE DE CLIENTES'!$A:$C,3,0),"")</f>
        <v/>
      </c>
      <c r="P9" s="2"/>
      <c r="Q9" s="2"/>
      <c r="R9" s="2"/>
      <c r="S9" s="2" t="str">
        <f>IFERROR(VLOOKUP(R9,'BASE DE CLIENTES'!$A:$C,3,0),"")</f>
        <v/>
      </c>
      <c r="T9" s="2"/>
      <c r="U9" s="2"/>
      <c r="V9" s="2"/>
      <c r="W9" s="2" t="str">
        <f>IFERROR(VLOOKUP(V9,'BASE DE CLIENTES'!$A:$C,3,0),"")</f>
        <v/>
      </c>
      <c r="X9" s="2"/>
      <c r="Y9" s="2"/>
    </row>
    <row r="10" spans="2:25" x14ac:dyDescent="0.3">
      <c r="B10" s="20"/>
      <c r="C10" s="20" t="str">
        <f>IFERROR(VLOOKUP(B10,'BASE DE CLIENTES'!$A:$C,3,0),"")</f>
        <v/>
      </c>
      <c r="D10" s="2"/>
      <c r="E10" s="2"/>
      <c r="F10" s="2"/>
      <c r="G10" s="2" t="str">
        <f>IFERROR(VLOOKUP(F10,'BASE DE CLIENTES'!$A:$C,3,0),"")</f>
        <v/>
      </c>
      <c r="H10" s="2"/>
      <c r="I10" s="2"/>
      <c r="J10" s="2"/>
      <c r="K10" s="2" t="str">
        <f>IFERROR(VLOOKUP(J10,'BASE DE CLIENTES'!$A:$C,3,0),"")</f>
        <v/>
      </c>
      <c r="L10" s="2"/>
      <c r="M10" s="2"/>
      <c r="N10" s="2"/>
      <c r="O10" s="2" t="str">
        <f>IFERROR(VLOOKUP(N10,'BASE DE CLIENTES'!$A:$C,3,0),"")</f>
        <v/>
      </c>
      <c r="P10" s="2"/>
      <c r="Q10" s="2"/>
      <c r="R10" s="2"/>
      <c r="S10" s="2" t="str">
        <f>IFERROR(VLOOKUP(R10,'BASE DE CLIENTES'!$A:$C,3,0),"")</f>
        <v/>
      </c>
      <c r="T10" s="2"/>
      <c r="U10" s="2"/>
      <c r="V10" s="2"/>
      <c r="W10" s="2" t="str">
        <f>IFERROR(VLOOKUP(V10,'BASE DE CLIENTES'!$A:$C,3,0),"")</f>
        <v/>
      </c>
      <c r="X10" s="2"/>
      <c r="Y10" s="2"/>
    </row>
    <row r="11" spans="2:25" x14ac:dyDescent="0.3">
      <c r="B11" s="20"/>
      <c r="C11" s="20" t="str">
        <f>IFERROR(VLOOKUP(B11,'BASE DE CLIENTES'!$A:$C,3,0),"")</f>
        <v/>
      </c>
      <c r="D11" s="2"/>
      <c r="E11" s="2"/>
      <c r="F11" s="2"/>
      <c r="G11" s="2" t="str">
        <f>IFERROR(VLOOKUP(F11,'BASE DE CLIENTES'!$A:$C,3,0),"")</f>
        <v/>
      </c>
      <c r="H11" s="2"/>
      <c r="I11" s="2"/>
      <c r="J11" s="2"/>
      <c r="K11" s="2" t="str">
        <f>IFERROR(VLOOKUP(J11,'BASE DE CLIENTES'!$A:$C,3,0),"")</f>
        <v/>
      </c>
      <c r="L11" s="2"/>
      <c r="M11" s="2"/>
      <c r="N11" s="2"/>
      <c r="O11" s="2" t="str">
        <f>IFERROR(VLOOKUP(N11,'BASE DE CLIENTES'!$A:$C,3,0),"")</f>
        <v/>
      </c>
      <c r="P11" s="2"/>
      <c r="Q11" s="2"/>
      <c r="R11" s="2"/>
      <c r="S11" s="2" t="str">
        <f>IFERROR(VLOOKUP(R11,'BASE DE CLIENTES'!$A:$C,3,0),"")</f>
        <v/>
      </c>
      <c r="T11" s="2"/>
      <c r="U11" s="2"/>
      <c r="V11" s="2"/>
      <c r="W11" s="2" t="str">
        <f>IFERROR(VLOOKUP(V11,'BASE DE CLIENTES'!$A:$C,3,0),"")</f>
        <v/>
      </c>
      <c r="X11" s="2"/>
      <c r="Y11" s="2"/>
    </row>
    <row r="12" spans="2:25" x14ac:dyDescent="0.3">
      <c r="B12" s="20"/>
      <c r="C12" s="20" t="str">
        <f>IFERROR(VLOOKUP(B12,'BASE DE CLIENTES'!$A:$C,3,0),"")</f>
        <v/>
      </c>
      <c r="D12" s="2"/>
      <c r="E12" s="2"/>
      <c r="F12" s="2"/>
      <c r="G12" s="2" t="str">
        <f>IFERROR(VLOOKUP(F12,'BASE DE CLIENTES'!$A:$C,3,0),"")</f>
        <v/>
      </c>
      <c r="H12" s="2"/>
      <c r="I12" s="2"/>
      <c r="J12" s="2"/>
      <c r="K12" s="2" t="str">
        <f>IFERROR(VLOOKUP(J12,'BASE DE CLIENTES'!$A:$C,3,0),"")</f>
        <v/>
      </c>
      <c r="L12" s="2"/>
      <c r="M12" s="2"/>
      <c r="N12" s="2"/>
      <c r="O12" s="2" t="str">
        <f>IFERROR(VLOOKUP(N12,'BASE DE CLIENTES'!$A:$C,3,0),"")</f>
        <v/>
      </c>
      <c r="P12" s="2"/>
      <c r="Q12" s="2"/>
      <c r="R12" s="2"/>
      <c r="S12" s="2" t="str">
        <f>IFERROR(VLOOKUP(R12,'BASE DE CLIENTES'!$A:$C,3,0),"")</f>
        <v/>
      </c>
      <c r="T12" s="2"/>
      <c r="U12" s="2"/>
      <c r="V12" s="2"/>
      <c r="W12" s="2" t="str">
        <f>IFERROR(VLOOKUP(V12,'BASE DE CLIENTES'!$A:$C,3,0),"")</f>
        <v/>
      </c>
      <c r="X12" s="2"/>
      <c r="Y12" s="2"/>
    </row>
    <row r="13" spans="2:25" x14ac:dyDescent="0.3">
      <c r="B13" s="20"/>
      <c r="C13" s="20" t="str">
        <f>IFERROR(VLOOKUP(B13,'BASE DE CLIENTES'!$A:$C,3,0),"")</f>
        <v/>
      </c>
      <c r="D13" s="2"/>
      <c r="E13" s="2"/>
      <c r="F13" s="2"/>
      <c r="G13" s="2" t="str">
        <f>IFERROR(VLOOKUP(F13,'BASE DE CLIENTES'!$A:$C,3,0),"")</f>
        <v/>
      </c>
      <c r="H13" s="2"/>
      <c r="I13" s="2"/>
      <c r="J13" s="2"/>
      <c r="K13" s="2" t="str">
        <f>IFERROR(VLOOKUP(J13,'BASE DE CLIENTES'!$A:$C,3,0),"")</f>
        <v/>
      </c>
      <c r="L13" s="2"/>
      <c r="M13" s="2"/>
      <c r="N13" s="2"/>
      <c r="O13" s="2" t="str">
        <f>IFERROR(VLOOKUP(N13,'BASE DE CLIENTES'!$A:$C,3,0),"")</f>
        <v/>
      </c>
      <c r="P13" s="2"/>
      <c r="Q13" s="2"/>
      <c r="R13" s="2"/>
      <c r="S13" s="2" t="str">
        <f>IFERROR(VLOOKUP(R13,'BASE DE CLIENTES'!$A:$C,3,0),"")</f>
        <v/>
      </c>
      <c r="T13" s="2"/>
      <c r="U13" s="2"/>
      <c r="V13" s="2"/>
      <c r="W13" s="2" t="str">
        <f>IFERROR(VLOOKUP(V13,'BASE DE CLIENTES'!$A:$C,3,0),"")</f>
        <v/>
      </c>
      <c r="X13" s="2"/>
      <c r="Y13" s="2"/>
    </row>
    <row r="14" spans="2:25" x14ac:dyDescent="0.3">
      <c r="B14" s="20"/>
      <c r="C14" s="20" t="str">
        <f>IFERROR(VLOOKUP(B14,'BASE DE CLIENTES'!$A:$C,3,0),"")</f>
        <v/>
      </c>
      <c r="D14" s="2"/>
      <c r="E14" s="2"/>
      <c r="F14" s="2"/>
      <c r="G14" s="2" t="str">
        <f>IFERROR(VLOOKUP(F14,'BASE DE CLIENTES'!$A:$C,3,0),"")</f>
        <v/>
      </c>
      <c r="H14" s="2"/>
      <c r="I14" s="2"/>
      <c r="J14" s="2"/>
      <c r="K14" s="2" t="str">
        <f>IFERROR(VLOOKUP(J14,'BASE DE CLIENTES'!$A:$C,3,0),"")</f>
        <v/>
      </c>
      <c r="L14" s="2"/>
      <c r="M14" s="2"/>
      <c r="N14" s="2"/>
      <c r="O14" s="2" t="str">
        <f>IFERROR(VLOOKUP(N14,'BASE DE CLIENTES'!$A:$C,3,0),"")</f>
        <v/>
      </c>
      <c r="P14" s="2"/>
      <c r="Q14" s="2"/>
      <c r="R14" s="2"/>
      <c r="S14" s="2" t="str">
        <f>IFERROR(VLOOKUP(R14,'BASE DE CLIENTES'!$A:$C,3,0),"")</f>
        <v/>
      </c>
      <c r="T14" s="2"/>
      <c r="U14" s="2"/>
      <c r="V14" s="2"/>
      <c r="W14" s="2" t="str">
        <f>IFERROR(VLOOKUP(V14,'BASE DE CLIENTES'!$A:$C,3,0),"")</f>
        <v/>
      </c>
      <c r="X14" s="2"/>
      <c r="Y14" s="2"/>
    </row>
    <row r="15" spans="2:25" x14ac:dyDescent="0.3">
      <c r="B15" s="20"/>
      <c r="C15" s="20" t="str">
        <f>IFERROR(VLOOKUP(B15,'BASE DE CLIENTES'!$A:$C,3,0),"")</f>
        <v/>
      </c>
      <c r="D15" s="2"/>
      <c r="E15" s="2"/>
      <c r="F15" s="2"/>
      <c r="G15" s="2" t="str">
        <f>IFERROR(VLOOKUP(F15,'BASE DE CLIENTES'!$A:$C,3,0),"")</f>
        <v/>
      </c>
      <c r="H15" s="2"/>
      <c r="I15" s="2"/>
      <c r="J15" s="2"/>
      <c r="K15" s="2" t="str">
        <f>IFERROR(VLOOKUP(J15,'BASE DE CLIENTES'!$A:$C,3,0),"")</f>
        <v/>
      </c>
      <c r="L15" s="2"/>
      <c r="M15" s="2"/>
      <c r="N15" s="2"/>
      <c r="O15" s="2" t="str">
        <f>IFERROR(VLOOKUP(N15,'BASE DE CLIENTES'!$A:$C,3,0),"")</f>
        <v/>
      </c>
      <c r="P15" s="2"/>
      <c r="Q15" s="2"/>
      <c r="R15" s="2"/>
      <c r="S15" s="2" t="str">
        <f>IFERROR(VLOOKUP(R15,'BASE DE CLIENTES'!$A:$C,3,0),"")</f>
        <v/>
      </c>
      <c r="T15" s="2"/>
      <c r="U15" s="2"/>
      <c r="V15" s="2"/>
      <c r="W15" s="2" t="str">
        <f>IFERROR(VLOOKUP(V15,'BASE DE CLIENTES'!$A:$C,3,0),"")</f>
        <v/>
      </c>
      <c r="X15" s="2"/>
      <c r="Y15" s="2"/>
    </row>
    <row r="16" spans="2:25" x14ac:dyDescent="0.3">
      <c r="B16" s="20"/>
      <c r="C16" s="20" t="str">
        <f>IFERROR(VLOOKUP(B16,'BASE DE CLIENTES'!$A:$C,3,0),"")</f>
        <v/>
      </c>
      <c r="D16" s="2"/>
      <c r="E16" s="2"/>
      <c r="F16" s="2"/>
      <c r="G16" s="2" t="str">
        <f>IFERROR(VLOOKUP(F16,'BASE DE CLIENTES'!$A:$C,3,0),"")</f>
        <v/>
      </c>
      <c r="H16" s="2"/>
      <c r="I16" s="2"/>
      <c r="J16" s="2"/>
      <c r="K16" s="2" t="str">
        <f>IFERROR(VLOOKUP(J16,'BASE DE CLIENTES'!$A:$C,3,0),"")</f>
        <v/>
      </c>
      <c r="L16" s="2"/>
      <c r="M16" s="2"/>
      <c r="N16" s="2"/>
      <c r="O16" s="2" t="str">
        <f>IFERROR(VLOOKUP(N16,'BASE DE CLIENTES'!$A:$C,3,0),"")</f>
        <v/>
      </c>
      <c r="P16" s="2"/>
      <c r="Q16" s="2"/>
      <c r="R16" s="2"/>
      <c r="S16" s="2" t="str">
        <f>IFERROR(VLOOKUP(R16,'BASE DE CLIENTES'!$A:$C,3,0),"")</f>
        <v/>
      </c>
      <c r="T16" s="2"/>
      <c r="U16" s="2"/>
      <c r="V16" s="2"/>
      <c r="W16" s="2" t="str">
        <f>IFERROR(VLOOKUP(V16,'BASE DE CLIENTES'!$A:$C,3,0),"")</f>
        <v/>
      </c>
      <c r="X16" s="2"/>
      <c r="Y16" s="2"/>
    </row>
    <row r="17" spans="2:25" x14ac:dyDescent="0.3">
      <c r="B17" s="20"/>
      <c r="C17" s="20" t="str">
        <f>IFERROR(VLOOKUP(B17,'BASE DE CLIENTES'!$A:$C,3,0),"")</f>
        <v/>
      </c>
      <c r="D17" s="2"/>
      <c r="E17" s="2"/>
      <c r="F17" s="2"/>
      <c r="G17" s="2" t="str">
        <f>IFERROR(VLOOKUP(F17,'BASE DE CLIENTES'!$A:$C,3,0),"")</f>
        <v/>
      </c>
      <c r="H17" s="2"/>
      <c r="I17" s="2"/>
      <c r="J17" s="2"/>
      <c r="K17" s="2" t="str">
        <f>IFERROR(VLOOKUP(J17,'BASE DE CLIENTES'!$A:$C,3,0),"")</f>
        <v/>
      </c>
      <c r="L17" s="2"/>
      <c r="M17" s="2"/>
      <c r="N17" s="2"/>
      <c r="O17" s="2" t="str">
        <f>IFERROR(VLOOKUP(N17,'BASE DE CLIENTES'!$A:$C,3,0),"")</f>
        <v/>
      </c>
      <c r="P17" s="2"/>
      <c r="Q17" s="2"/>
      <c r="R17" s="2"/>
      <c r="S17" s="2" t="str">
        <f>IFERROR(VLOOKUP(R17,'BASE DE CLIENTES'!$A:$C,3,0),"")</f>
        <v/>
      </c>
      <c r="T17" s="2"/>
      <c r="U17" s="2"/>
      <c r="V17" s="2"/>
      <c r="W17" s="2" t="str">
        <f>IFERROR(VLOOKUP(V17,'BASE DE CLIENTES'!$A:$C,3,0),"")</f>
        <v/>
      </c>
      <c r="X17" s="2"/>
      <c r="Y17" s="2"/>
    </row>
    <row r="18" spans="2:25" x14ac:dyDescent="0.3">
      <c r="B18" s="20"/>
      <c r="C18" s="20" t="str">
        <f>IFERROR(VLOOKUP(B18,'BASE DE CLIENTES'!$A:$C,3,0),"")</f>
        <v/>
      </c>
      <c r="D18" s="2"/>
      <c r="E18" s="2"/>
      <c r="F18" s="2"/>
      <c r="G18" s="2" t="str">
        <f>IFERROR(VLOOKUP(F18,'BASE DE CLIENTES'!$A:$C,3,0),"")</f>
        <v/>
      </c>
      <c r="H18" s="2"/>
      <c r="I18" s="2"/>
      <c r="J18" s="2"/>
      <c r="K18" s="2" t="str">
        <f>IFERROR(VLOOKUP(J18,'BASE DE CLIENTES'!$A:$C,3,0),"")</f>
        <v/>
      </c>
      <c r="L18" s="2"/>
      <c r="M18" s="2"/>
      <c r="N18" s="2"/>
      <c r="O18" s="2" t="str">
        <f>IFERROR(VLOOKUP(N18,'BASE DE CLIENTES'!$A:$C,3,0),"")</f>
        <v/>
      </c>
      <c r="P18" s="2"/>
      <c r="Q18" s="2"/>
      <c r="R18" s="2"/>
      <c r="S18" s="2" t="str">
        <f>IFERROR(VLOOKUP(R18,'BASE DE CLIENTES'!$A:$C,3,0),"")</f>
        <v/>
      </c>
      <c r="T18" s="2"/>
      <c r="U18" s="2"/>
      <c r="V18" s="2"/>
      <c r="W18" s="2" t="str">
        <f>IFERROR(VLOOKUP(V18,'BASE DE CLIENTES'!$A:$C,3,0),"")</f>
        <v/>
      </c>
      <c r="X18" s="2"/>
      <c r="Y18" s="2"/>
    </row>
    <row r="19" spans="2:25" x14ac:dyDescent="0.3">
      <c r="B19" s="20"/>
      <c r="C19" s="20" t="str">
        <f>IFERROR(VLOOKUP(B19,'BASE DE CLIENTES'!$A:$C,3,0),"")</f>
        <v/>
      </c>
      <c r="D19" s="2"/>
      <c r="E19" s="2"/>
      <c r="F19" s="2"/>
      <c r="G19" s="2" t="str">
        <f>IFERROR(VLOOKUP(F19,'BASE DE CLIENTES'!$A:$C,3,0),"")</f>
        <v/>
      </c>
      <c r="H19" s="2"/>
      <c r="I19" s="2"/>
      <c r="J19" s="2"/>
      <c r="K19" s="2" t="str">
        <f>IFERROR(VLOOKUP(J19,'BASE DE CLIENTES'!$A:$C,3,0),"")</f>
        <v/>
      </c>
      <c r="L19" s="2"/>
      <c r="M19" s="2"/>
      <c r="N19" s="2"/>
      <c r="O19" s="2" t="str">
        <f>IFERROR(VLOOKUP(N19,'BASE DE CLIENTES'!$A:$C,3,0),"")</f>
        <v/>
      </c>
      <c r="P19" s="2"/>
      <c r="Q19" s="2"/>
      <c r="R19" s="2"/>
      <c r="S19" s="2" t="str">
        <f>IFERROR(VLOOKUP(R19,'BASE DE CLIENTES'!$A:$C,3,0),"")</f>
        <v/>
      </c>
      <c r="T19" s="2"/>
      <c r="U19" s="2"/>
      <c r="V19" s="2"/>
      <c r="W19" s="2" t="str">
        <f>IFERROR(VLOOKUP(V19,'BASE DE CLIENTES'!$A:$C,3,0),"")</f>
        <v/>
      </c>
      <c r="X19" s="2"/>
      <c r="Y19" s="2"/>
    </row>
    <row r="20" spans="2:25" x14ac:dyDescent="0.3">
      <c r="B20" s="20"/>
      <c r="C20" s="20" t="str">
        <f>IFERROR(VLOOKUP(B20,'BASE DE CLIENTES'!$A:$C,3,0),"")</f>
        <v/>
      </c>
      <c r="D20" s="2"/>
      <c r="E20" s="2"/>
      <c r="F20" s="2"/>
      <c r="G20" s="2" t="str">
        <f>IFERROR(VLOOKUP(F20,'BASE DE CLIENTES'!$A:$C,3,0),"")</f>
        <v/>
      </c>
      <c r="H20" s="2"/>
      <c r="I20" s="2"/>
      <c r="J20" s="2"/>
      <c r="K20" s="2" t="str">
        <f>IFERROR(VLOOKUP(J20,'BASE DE CLIENTES'!$A:$C,3,0),"")</f>
        <v/>
      </c>
      <c r="L20" s="2"/>
      <c r="M20" s="2"/>
      <c r="N20" s="2"/>
      <c r="O20" s="2" t="str">
        <f>IFERROR(VLOOKUP(N20,'BASE DE CLIENTES'!$A:$C,3,0),"")</f>
        <v/>
      </c>
      <c r="P20" s="2"/>
      <c r="Q20" s="2"/>
      <c r="R20" s="2"/>
      <c r="S20" s="2" t="str">
        <f>IFERROR(VLOOKUP(R20,'BASE DE CLIENTES'!$A:$C,3,0),"")</f>
        <v/>
      </c>
      <c r="T20" s="2"/>
      <c r="U20" s="2"/>
      <c r="V20" s="2"/>
      <c r="W20" s="2" t="str">
        <f>IFERROR(VLOOKUP(V20,'BASE DE CLIENTES'!$A:$C,3,0),"")</f>
        <v/>
      </c>
      <c r="X20" s="2"/>
      <c r="Y20" s="2"/>
    </row>
    <row r="21" spans="2:25" x14ac:dyDescent="0.3">
      <c r="B21" s="20"/>
      <c r="C21" s="20" t="str">
        <f>IFERROR(VLOOKUP(B21,'BASE DE CLIENTES'!$A:$C,3,0),"")</f>
        <v/>
      </c>
      <c r="D21" s="2"/>
      <c r="E21" s="2"/>
      <c r="F21" s="2"/>
      <c r="G21" s="2" t="str">
        <f>IFERROR(VLOOKUP(F21,'BASE DE CLIENTES'!$A:$C,3,0),"")</f>
        <v/>
      </c>
      <c r="H21" s="2"/>
      <c r="I21" s="2"/>
      <c r="J21" s="2"/>
      <c r="K21" s="2" t="str">
        <f>IFERROR(VLOOKUP(J21,'BASE DE CLIENTES'!$A:$C,3,0),"")</f>
        <v/>
      </c>
      <c r="L21" s="2"/>
      <c r="M21" s="2"/>
      <c r="N21" s="2"/>
      <c r="O21" s="2" t="str">
        <f>IFERROR(VLOOKUP(N21,'BASE DE CLIENTES'!$A:$C,3,0),"")</f>
        <v/>
      </c>
      <c r="P21" s="2"/>
      <c r="Q21" s="2"/>
      <c r="R21" s="2"/>
      <c r="S21" s="2" t="str">
        <f>IFERROR(VLOOKUP(R21,'BASE DE CLIENTES'!$A:$C,3,0),"")</f>
        <v/>
      </c>
      <c r="T21" s="2"/>
      <c r="U21" s="2"/>
      <c r="V21" s="2"/>
      <c r="W21" s="2" t="str">
        <f>IFERROR(VLOOKUP(V21,'BASE DE CLIENTES'!$A:$C,3,0),"")</f>
        <v/>
      </c>
      <c r="X21" s="2"/>
      <c r="Y21" s="2"/>
    </row>
    <row r="22" spans="2:25" x14ac:dyDescent="0.3">
      <c r="B22" s="20"/>
      <c r="C22" s="20" t="str">
        <f>IFERROR(VLOOKUP(B22,'BASE DE CLIENTES'!$A:$C,3,0),"")</f>
        <v/>
      </c>
      <c r="D22" s="2"/>
      <c r="E22" s="2"/>
      <c r="F22" s="2"/>
      <c r="G22" s="2" t="str">
        <f>IFERROR(VLOOKUP(F22,'BASE DE CLIENTES'!$A:$C,3,0),"")</f>
        <v/>
      </c>
      <c r="H22" s="2"/>
      <c r="I22" s="2"/>
      <c r="J22" s="2"/>
      <c r="K22" s="2" t="str">
        <f>IFERROR(VLOOKUP(J22,'BASE DE CLIENTES'!$A:$C,3,0),"")</f>
        <v/>
      </c>
      <c r="L22" s="2"/>
      <c r="M22" s="2"/>
      <c r="N22" s="2"/>
      <c r="O22" s="2" t="str">
        <f>IFERROR(VLOOKUP(N22,'BASE DE CLIENTES'!$A:$C,3,0),"")</f>
        <v/>
      </c>
      <c r="P22" s="2"/>
      <c r="Q22" s="2"/>
      <c r="R22" s="2"/>
      <c r="S22" s="2" t="str">
        <f>IFERROR(VLOOKUP(R22,'BASE DE CLIENTES'!$A:$C,3,0),"")</f>
        <v/>
      </c>
      <c r="T22" s="2"/>
      <c r="U22" s="2"/>
      <c r="V22" s="2"/>
      <c r="W22" s="2" t="str">
        <f>IFERROR(VLOOKUP(V22,'BASE DE CLIENTES'!$A:$C,3,0),"")</f>
        <v/>
      </c>
      <c r="X22" s="2"/>
      <c r="Y22" s="2"/>
    </row>
    <row r="23" spans="2:25" x14ac:dyDescent="0.3">
      <c r="B23" s="20"/>
      <c r="C23" s="20" t="str">
        <f>IFERROR(VLOOKUP(B23,'BASE DE CLIENTES'!$A:$C,3,0),"")</f>
        <v/>
      </c>
      <c r="D23" s="2"/>
      <c r="E23" s="2"/>
      <c r="F23" s="2"/>
      <c r="G23" s="2" t="str">
        <f>IFERROR(VLOOKUP(F23,'BASE DE CLIENTES'!$A:$C,3,0),"")</f>
        <v/>
      </c>
      <c r="H23" s="2"/>
      <c r="I23" s="2"/>
      <c r="J23" s="2"/>
      <c r="K23" s="2" t="str">
        <f>IFERROR(VLOOKUP(J23,'BASE DE CLIENTES'!$A:$C,3,0),"")</f>
        <v/>
      </c>
      <c r="L23" s="2"/>
      <c r="M23" s="2"/>
      <c r="N23" s="2"/>
      <c r="O23" s="2" t="str">
        <f>IFERROR(VLOOKUP(N23,'BASE DE CLIENTES'!$A:$C,3,0),"")</f>
        <v/>
      </c>
      <c r="P23" s="2"/>
      <c r="Q23" s="2"/>
      <c r="R23" s="2"/>
      <c r="S23" s="2" t="str">
        <f>IFERROR(VLOOKUP(R23,'BASE DE CLIENTES'!$A:$C,3,0),"")</f>
        <v/>
      </c>
      <c r="T23" s="2"/>
      <c r="U23" s="2"/>
      <c r="V23" s="2"/>
      <c r="W23" s="2" t="str">
        <f>IFERROR(VLOOKUP(V23,'BASE DE CLIENTES'!$A:$C,3,0),"")</f>
        <v/>
      </c>
      <c r="X23" s="2"/>
      <c r="Y23" s="2"/>
    </row>
    <row r="24" spans="2:25" x14ac:dyDescent="0.3">
      <c r="B24" s="20"/>
      <c r="C24" s="20" t="str">
        <f>IFERROR(VLOOKUP(B24,'BASE DE CLIENTES'!$A:$C,3,0),"")</f>
        <v/>
      </c>
      <c r="D24" s="2"/>
      <c r="E24" s="2"/>
      <c r="F24" s="2"/>
      <c r="G24" s="2" t="str">
        <f>IFERROR(VLOOKUP(F24,'BASE DE CLIENTES'!$A:$C,3,0),"")</f>
        <v/>
      </c>
      <c r="H24" s="2"/>
      <c r="I24" s="2"/>
      <c r="J24" s="2"/>
      <c r="K24" s="2" t="str">
        <f>IFERROR(VLOOKUP(J24,'BASE DE CLIENTES'!$A:$C,3,0),"")</f>
        <v/>
      </c>
      <c r="L24" s="2"/>
      <c r="M24" s="2"/>
      <c r="N24" s="2"/>
      <c r="O24" s="2" t="str">
        <f>IFERROR(VLOOKUP(N24,'BASE DE CLIENTES'!$A:$C,3,0),"")</f>
        <v/>
      </c>
      <c r="P24" s="2"/>
      <c r="Q24" s="2"/>
      <c r="R24" s="2"/>
      <c r="S24" s="2" t="str">
        <f>IFERROR(VLOOKUP(R24,'BASE DE CLIENTES'!$A:$C,3,0),"")</f>
        <v/>
      </c>
      <c r="T24" s="2"/>
      <c r="U24" s="2"/>
      <c r="V24" s="2"/>
      <c r="W24" s="2" t="str">
        <f>IFERROR(VLOOKUP(V24,'BASE DE CLIENTES'!$A:$C,3,0),"")</f>
        <v/>
      </c>
      <c r="X24" s="2"/>
      <c r="Y24" s="2"/>
    </row>
    <row r="25" spans="2:25" x14ac:dyDescent="0.3">
      <c r="B25" s="20"/>
      <c r="C25" s="20" t="str">
        <f>IFERROR(VLOOKUP(B25,'BASE DE CLIENTES'!$A:$C,3,0),"")</f>
        <v/>
      </c>
      <c r="D25" s="2"/>
      <c r="E25" s="2"/>
      <c r="F25" s="2"/>
      <c r="G25" s="2" t="str">
        <f>IFERROR(VLOOKUP(F25,'BASE DE CLIENTES'!$A:$C,3,0),"")</f>
        <v/>
      </c>
      <c r="H25" s="2"/>
      <c r="I25" s="2"/>
      <c r="J25" s="2"/>
      <c r="K25" s="2" t="str">
        <f>IFERROR(VLOOKUP(J25,'BASE DE CLIENTES'!$A:$C,3,0),"")</f>
        <v/>
      </c>
      <c r="L25" s="2"/>
      <c r="M25" s="2"/>
      <c r="N25" s="2"/>
      <c r="O25" s="2" t="str">
        <f>IFERROR(VLOOKUP(N25,'BASE DE CLIENTES'!$A:$C,3,0),"")</f>
        <v/>
      </c>
      <c r="P25" s="2"/>
      <c r="Q25" s="2"/>
      <c r="R25" s="2"/>
      <c r="S25" s="2" t="str">
        <f>IFERROR(VLOOKUP(R25,'BASE DE CLIENTES'!$A:$C,3,0),"")</f>
        <v/>
      </c>
      <c r="T25" s="2"/>
      <c r="U25" s="2"/>
      <c r="V25" s="2"/>
      <c r="W25" s="2" t="str">
        <f>IFERROR(VLOOKUP(V25,'BASE DE CLIENTES'!$A:$C,3,0),"")</f>
        <v/>
      </c>
      <c r="X25" s="2"/>
      <c r="Y25" s="2"/>
    </row>
    <row r="26" spans="2:25" x14ac:dyDescent="0.3">
      <c r="B26" s="20"/>
      <c r="C26" s="20" t="str">
        <f>IFERROR(VLOOKUP(B26,'BASE DE CLIENTES'!$A:$C,3,0),"")</f>
        <v/>
      </c>
      <c r="D26" s="2"/>
      <c r="E26" s="2"/>
      <c r="F26" s="2"/>
      <c r="G26" s="2" t="str">
        <f>IFERROR(VLOOKUP(F26,'BASE DE CLIENTES'!$A:$C,3,0),"")</f>
        <v/>
      </c>
      <c r="H26" s="2"/>
      <c r="I26" s="2"/>
      <c r="J26" s="2"/>
      <c r="K26" s="2" t="str">
        <f>IFERROR(VLOOKUP(J26,'BASE DE CLIENTES'!$A:$C,3,0),"")</f>
        <v/>
      </c>
      <c r="L26" s="2"/>
      <c r="M26" s="2"/>
      <c r="N26" s="2"/>
      <c r="O26" s="2" t="str">
        <f>IFERROR(VLOOKUP(N26,'BASE DE CLIENTES'!$A:$C,3,0),"")</f>
        <v/>
      </c>
      <c r="P26" s="2"/>
      <c r="Q26" s="2"/>
      <c r="R26" s="2"/>
      <c r="S26" s="2" t="str">
        <f>IFERROR(VLOOKUP(R26,'BASE DE CLIENTES'!$A:$C,3,0),"")</f>
        <v/>
      </c>
      <c r="T26" s="2"/>
      <c r="U26" s="2"/>
      <c r="V26" s="2"/>
      <c r="W26" s="2" t="str">
        <f>IFERROR(VLOOKUP(V26,'BASE DE CLIENTES'!$A:$C,3,0),"")</f>
        <v/>
      </c>
      <c r="X26" s="2"/>
      <c r="Y26" s="2"/>
    </row>
    <row r="27" spans="2:25" x14ac:dyDescent="0.3">
      <c r="B27" s="20"/>
      <c r="C27" s="20" t="str">
        <f>IFERROR(VLOOKUP(B27,'BASE DE CLIENTES'!$A:$C,3,0),"")</f>
        <v/>
      </c>
      <c r="D27" s="2"/>
      <c r="E27" s="2"/>
      <c r="F27" s="2"/>
      <c r="G27" s="2" t="str">
        <f>IFERROR(VLOOKUP(F27,'BASE DE CLIENTES'!$A:$C,3,0),"")</f>
        <v/>
      </c>
      <c r="H27" s="2"/>
      <c r="I27" s="2"/>
      <c r="J27" s="2"/>
      <c r="K27" s="2" t="str">
        <f>IFERROR(VLOOKUP(J27,'BASE DE CLIENTES'!$A:$C,3,0),"")</f>
        <v/>
      </c>
      <c r="L27" s="2"/>
      <c r="M27" s="2"/>
      <c r="N27" s="2"/>
      <c r="O27" s="2" t="str">
        <f>IFERROR(VLOOKUP(N27,'BASE DE CLIENTES'!$A:$C,3,0),"")</f>
        <v/>
      </c>
      <c r="P27" s="2"/>
      <c r="Q27" s="2"/>
      <c r="R27" s="2"/>
      <c r="S27" s="2" t="str">
        <f>IFERROR(VLOOKUP(R27,'BASE DE CLIENTES'!$A:$C,3,0),"")</f>
        <v/>
      </c>
      <c r="T27" s="2"/>
      <c r="U27" s="2"/>
      <c r="V27" s="2"/>
      <c r="W27" s="2" t="str">
        <f>IFERROR(VLOOKUP(V27,'BASE DE CLIENTES'!$A:$C,3,0),"")</f>
        <v/>
      </c>
      <c r="X27" s="2"/>
      <c r="Y27" s="2"/>
    </row>
    <row r="28" spans="2:25" x14ac:dyDescent="0.3">
      <c r="B28" s="20"/>
      <c r="C28" s="20" t="str">
        <f>IFERROR(VLOOKUP(B28,'BASE DE CLIENTES'!$A:$C,3,0),"")</f>
        <v/>
      </c>
      <c r="D28" s="2"/>
      <c r="E28" s="2"/>
      <c r="F28" s="2"/>
      <c r="G28" s="2" t="str">
        <f>IFERROR(VLOOKUP(F28,'BASE DE CLIENTES'!$A:$C,3,0),"")</f>
        <v/>
      </c>
      <c r="H28" s="2"/>
      <c r="I28" s="2"/>
      <c r="J28" s="2"/>
      <c r="K28" s="2" t="str">
        <f>IFERROR(VLOOKUP(J28,'BASE DE CLIENTES'!$A:$C,3,0),"")</f>
        <v/>
      </c>
      <c r="L28" s="2"/>
      <c r="M28" s="2"/>
      <c r="N28" s="2"/>
      <c r="O28" s="2" t="str">
        <f>IFERROR(VLOOKUP(N28,'BASE DE CLIENTES'!$A:$C,3,0),"")</f>
        <v/>
      </c>
      <c r="P28" s="2"/>
      <c r="Q28" s="2"/>
      <c r="R28" s="2"/>
      <c r="S28" s="2" t="str">
        <f>IFERROR(VLOOKUP(R28,'BASE DE CLIENTES'!$A:$C,3,0),"")</f>
        <v/>
      </c>
      <c r="T28" s="2"/>
      <c r="U28" s="2"/>
      <c r="V28" s="2"/>
      <c r="W28" s="2" t="str">
        <f>IFERROR(VLOOKUP(V28,'BASE DE CLIENTES'!$A:$C,3,0),"")</f>
        <v/>
      </c>
      <c r="X28" s="2"/>
      <c r="Y28" s="2"/>
    </row>
    <row r="29" spans="2:25" x14ac:dyDescent="0.3">
      <c r="B29" s="20"/>
      <c r="C29" s="20" t="str">
        <f>IFERROR(VLOOKUP(B29,'BASE DE CLIENTES'!$A:$C,3,0),"")</f>
        <v/>
      </c>
      <c r="D29" s="2"/>
      <c r="E29" s="2"/>
      <c r="F29" s="2"/>
      <c r="G29" s="2" t="str">
        <f>IFERROR(VLOOKUP(F29,'BASE DE CLIENTES'!$A:$C,3,0),"")</f>
        <v/>
      </c>
      <c r="H29" s="2"/>
      <c r="I29" s="2"/>
      <c r="J29" s="2"/>
      <c r="K29" s="2" t="str">
        <f>IFERROR(VLOOKUP(J29,'BASE DE CLIENTES'!$A:$C,3,0),"")</f>
        <v/>
      </c>
      <c r="L29" s="2"/>
      <c r="M29" s="2"/>
      <c r="N29" s="2"/>
      <c r="O29" s="2" t="str">
        <f>IFERROR(VLOOKUP(N29,'BASE DE CLIENTES'!$A:$C,3,0),"")</f>
        <v/>
      </c>
      <c r="P29" s="2"/>
      <c r="Q29" s="2"/>
      <c r="R29" s="2"/>
      <c r="S29" s="2" t="str">
        <f>IFERROR(VLOOKUP(R29,'BASE DE CLIENTES'!$A:$C,3,0),"")</f>
        <v/>
      </c>
      <c r="T29" s="2"/>
      <c r="U29" s="2"/>
      <c r="V29" s="2"/>
      <c r="W29" s="2" t="str">
        <f>IFERROR(VLOOKUP(V29,'BASE DE CLIENTES'!$A:$C,3,0),"")</f>
        <v/>
      </c>
      <c r="X29" s="2"/>
      <c r="Y29" s="2"/>
    </row>
    <row r="30" spans="2:25" x14ac:dyDescent="0.3">
      <c r="B30" s="20"/>
      <c r="C30" s="20" t="str">
        <f>IFERROR(VLOOKUP(B30,'BASE DE CLIENTES'!$A:$C,3,0),"")</f>
        <v/>
      </c>
      <c r="D30" s="2"/>
      <c r="E30" s="2"/>
      <c r="F30" s="2"/>
      <c r="G30" s="2" t="str">
        <f>IFERROR(VLOOKUP(F30,'BASE DE CLIENTES'!$A:$C,3,0),"")</f>
        <v/>
      </c>
      <c r="H30" s="2"/>
      <c r="I30" s="2"/>
      <c r="J30" s="2"/>
      <c r="K30" s="2" t="str">
        <f>IFERROR(VLOOKUP(J30,'BASE DE CLIENTES'!$A:$C,3,0),"")</f>
        <v/>
      </c>
      <c r="L30" s="2"/>
      <c r="M30" s="2"/>
      <c r="N30" s="2"/>
      <c r="O30" s="2" t="str">
        <f>IFERROR(VLOOKUP(N30,'BASE DE CLIENTES'!$A:$C,3,0),"")</f>
        <v/>
      </c>
      <c r="P30" s="2"/>
      <c r="Q30" s="2"/>
      <c r="R30" s="2"/>
      <c r="S30" s="2" t="str">
        <f>IFERROR(VLOOKUP(R30,'BASE DE CLIENTES'!$A:$C,3,0),"")</f>
        <v/>
      </c>
      <c r="T30" s="2"/>
      <c r="U30" s="2"/>
      <c r="V30" s="2"/>
      <c r="W30" s="2" t="str">
        <f>IFERROR(VLOOKUP(V30,'BASE DE CLIENTES'!$A:$C,3,0),"")</f>
        <v/>
      </c>
      <c r="X30" s="2"/>
      <c r="Y30" s="2"/>
    </row>
    <row r="31" spans="2:25" x14ac:dyDescent="0.3">
      <c r="B31" s="20"/>
      <c r="C31" s="20" t="str">
        <f>IFERROR(VLOOKUP(B31,'BASE DE CLIENTES'!$A:$C,3,0),"")</f>
        <v/>
      </c>
      <c r="D31" s="2"/>
      <c r="E31" s="2"/>
      <c r="F31" s="2"/>
      <c r="G31" s="2" t="str">
        <f>IFERROR(VLOOKUP(F31,'BASE DE CLIENTES'!$A:$C,3,0),"")</f>
        <v/>
      </c>
      <c r="H31" s="2"/>
      <c r="I31" s="2"/>
      <c r="J31" s="2"/>
      <c r="K31" s="2" t="str">
        <f>IFERROR(VLOOKUP(J31,'BASE DE CLIENTES'!$A:$C,3,0),"")</f>
        <v/>
      </c>
      <c r="L31" s="2"/>
      <c r="M31" s="2"/>
      <c r="N31" s="2"/>
      <c r="O31" s="2" t="str">
        <f>IFERROR(VLOOKUP(N31,'BASE DE CLIENTES'!$A:$C,3,0),"")</f>
        <v/>
      </c>
      <c r="P31" s="2"/>
      <c r="Q31" s="2"/>
      <c r="R31" s="2"/>
      <c r="S31" s="2" t="str">
        <f>IFERROR(VLOOKUP(R31,'BASE DE CLIENTES'!$A:$C,3,0),"")</f>
        <v/>
      </c>
      <c r="T31" s="2"/>
      <c r="U31" s="2"/>
      <c r="V31" s="2"/>
      <c r="W31" s="2" t="str">
        <f>IFERROR(VLOOKUP(V31,'BASE DE CLIENTES'!$A:$C,3,0),"")</f>
        <v/>
      </c>
      <c r="X31" s="2"/>
      <c r="Y31" s="2"/>
    </row>
    <row r="32" spans="2:25" x14ac:dyDescent="0.3">
      <c r="B32" s="20"/>
      <c r="C32" s="20" t="str">
        <f>IFERROR(VLOOKUP(B32,'BASE DE CLIENTES'!$A:$C,3,0),"")</f>
        <v/>
      </c>
      <c r="D32" s="2"/>
      <c r="E32" s="2"/>
      <c r="F32" s="2"/>
      <c r="G32" s="2" t="str">
        <f>IFERROR(VLOOKUP(F32,'BASE DE CLIENTES'!$A:$C,3,0),"")</f>
        <v/>
      </c>
      <c r="H32" s="2"/>
      <c r="I32" s="2"/>
      <c r="J32" s="2"/>
      <c r="K32" s="2" t="str">
        <f>IFERROR(VLOOKUP(J32,'BASE DE CLIENTES'!$A:$C,3,0),"")</f>
        <v/>
      </c>
      <c r="L32" s="2"/>
      <c r="M32" s="2"/>
      <c r="N32" s="2"/>
      <c r="O32" s="2" t="str">
        <f>IFERROR(VLOOKUP(N32,'BASE DE CLIENTES'!$A:$C,3,0),"")</f>
        <v/>
      </c>
      <c r="P32" s="2"/>
      <c r="Q32" s="2"/>
      <c r="R32" s="2"/>
      <c r="S32" s="2" t="str">
        <f>IFERROR(VLOOKUP(R32,'BASE DE CLIENTES'!$A:$C,3,0),"")</f>
        <v/>
      </c>
      <c r="T32" s="2"/>
      <c r="U32" s="2"/>
      <c r="V32" s="2"/>
      <c r="W32" s="2" t="str">
        <f>IFERROR(VLOOKUP(V32,'BASE DE CLIENTES'!$A:$C,3,0),"")</f>
        <v/>
      </c>
      <c r="X32" s="2"/>
      <c r="Y32" s="2"/>
    </row>
    <row r="33" spans="2:25" x14ac:dyDescent="0.3">
      <c r="B33" s="20"/>
      <c r="C33" s="20" t="str">
        <f>IFERROR(VLOOKUP(B33,'BASE DE CLIENTES'!$A:$C,3,0),"")</f>
        <v/>
      </c>
      <c r="D33" s="2"/>
      <c r="E33" s="2"/>
      <c r="F33" s="2"/>
      <c r="G33" s="2" t="str">
        <f>IFERROR(VLOOKUP(F33,'BASE DE CLIENTES'!$A:$C,3,0),"")</f>
        <v/>
      </c>
      <c r="H33" s="2"/>
      <c r="I33" s="2"/>
      <c r="J33" s="2"/>
      <c r="K33" s="2" t="str">
        <f>IFERROR(VLOOKUP(J33,'BASE DE CLIENTES'!$A:$C,3,0),"")</f>
        <v/>
      </c>
      <c r="L33" s="2"/>
      <c r="M33" s="2"/>
      <c r="N33" s="2"/>
      <c r="O33" s="2" t="str">
        <f>IFERROR(VLOOKUP(N33,'BASE DE CLIENTES'!$A:$C,3,0),"")</f>
        <v/>
      </c>
      <c r="P33" s="2"/>
      <c r="Q33" s="2"/>
      <c r="R33" s="2"/>
      <c r="S33" s="2" t="str">
        <f>IFERROR(VLOOKUP(R33,'BASE DE CLIENTES'!$A:$C,3,0),"")</f>
        <v/>
      </c>
      <c r="T33" s="2"/>
      <c r="U33" s="2"/>
      <c r="V33" s="2"/>
      <c r="W33" s="2" t="str">
        <f>IFERROR(VLOOKUP(V33,'BASE DE CLIENTES'!$A:$C,3,0),"")</f>
        <v/>
      </c>
      <c r="X33" s="2"/>
      <c r="Y33" s="2"/>
    </row>
    <row r="34" spans="2:25" x14ac:dyDescent="0.3">
      <c r="B34" s="20"/>
      <c r="C34" s="20" t="str">
        <f>IFERROR(VLOOKUP(B34,'BASE DE CLIENTES'!$A:$C,3,0),"")</f>
        <v/>
      </c>
      <c r="D34" s="2"/>
      <c r="E34" s="2"/>
      <c r="F34" s="2"/>
      <c r="G34" s="2" t="str">
        <f>IFERROR(VLOOKUP(F34,'BASE DE CLIENTES'!$A:$C,3,0),"")</f>
        <v/>
      </c>
      <c r="H34" s="2"/>
      <c r="I34" s="2"/>
      <c r="J34" s="2"/>
      <c r="K34" s="2" t="str">
        <f>IFERROR(VLOOKUP(J34,'BASE DE CLIENTES'!$A:$C,3,0),"")</f>
        <v/>
      </c>
      <c r="L34" s="2"/>
      <c r="M34" s="2"/>
      <c r="N34" s="2"/>
      <c r="O34" s="2" t="str">
        <f>IFERROR(VLOOKUP(N34,'BASE DE CLIENTES'!$A:$C,3,0),"")</f>
        <v/>
      </c>
      <c r="P34" s="2"/>
      <c r="Q34" s="2"/>
      <c r="R34" s="2"/>
      <c r="S34" s="2" t="str">
        <f>IFERROR(VLOOKUP(R34,'BASE DE CLIENTES'!$A:$C,3,0),"")</f>
        <v/>
      </c>
      <c r="T34" s="2"/>
      <c r="U34" s="2"/>
      <c r="V34" s="2"/>
      <c r="W34" s="2" t="str">
        <f>IFERROR(VLOOKUP(V34,'BASE DE CLIENTES'!$A:$C,3,0),"")</f>
        <v/>
      </c>
      <c r="X34" s="2"/>
      <c r="Y34" s="2"/>
    </row>
    <row r="35" spans="2:25" x14ac:dyDescent="0.3">
      <c r="B35" s="20"/>
      <c r="C35" s="20" t="str">
        <f>IFERROR(VLOOKUP(B35,'BASE DE CLIENTES'!$A:$C,3,0),"")</f>
        <v/>
      </c>
      <c r="D35" s="2"/>
      <c r="E35" s="2"/>
      <c r="F35" s="2"/>
      <c r="G35" s="2" t="str">
        <f>IFERROR(VLOOKUP(F35,'BASE DE CLIENTES'!$A:$C,3,0),"")</f>
        <v/>
      </c>
      <c r="H35" s="2"/>
      <c r="I35" s="2"/>
      <c r="J35" s="2"/>
      <c r="K35" s="2" t="str">
        <f>IFERROR(VLOOKUP(J35,'BASE DE CLIENTES'!$A:$C,3,0),"")</f>
        <v/>
      </c>
      <c r="L35" s="2"/>
      <c r="M35" s="2"/>
      <c r="N35" s="2"/>
      <c r="O35" s="2" t="str">
        <f>IFERROR(VLOOKUP(N35,'BASE DE CLIENTES'!$A:$C,3,0),"")</f>
        <v/>
      </c>
      <c r="P35" s="2"/>
      <c r="Q35" s="2"/>
      <c r="R35" s="2"/>
      <c r="S35" s="2" t="str">
        <f>IFERROR(VLOOKUP(R35,'BASE DE CLIENTES'!$A:$C,3,0),"")</f>
        <v/>
      </c>
      <c r="T35" s="2"/>
      <c r="U35" s="2"/>
      <c r="V35" s="2"/>
      <c r="W35" s="2" t="str">
        <f>IFERROR(VLOOKUP(V35,'BASE DE CLIENTES'!$A:$C,3,0),"")</f>
        <v/>
      </c>
      <c r="X35" s="2"/>
      <c r="Y35" s="2"/>
    </row>
    <row r="36" spans="2:25" x14ac:dyDescent="0.3">
      <c r="B36" s="20"/>
      <c r="C36" s="20" t="str">
        <f>IFERROR(VLOOKUP(B36,'BASE DE CLIENTES'!$A:$C,3,0),"")</f>
        <v/>
      </c>
      <c r="D36" s="2"/>
      <c r="E36" s="2"/>
      <c r="F36" s="2"/>
      <c r="G36" s="2" t="str">
        <f>IFERROR(VLOOKUP(F36,'BASE DE CLIENTES'!$A:$C,3,0),"")</f>
        <v/>
      </c>
      <c r="H36" s="2"/>
      <c r="I36" s="2"/>
      <c r="J36" s="2"/>
      <c r="K36" s="2" t="str">
        <f>IFERROR(VLOOKUP(J36,'BASE DE CLIENTES'!$A:$C,3,0),"")</f>
        <v/>
      </c>
      <c r="L36" s="2"/>
      <c r="M36" s="2"/>
      <c r="N36" s="2"/>
      <c r="O36" s="2" t="str">
        <f>IFERROR(VLOOKUP(N36,'BASE DE CLIENTES'!$A:$C,3,0),"")</f>
        <v/>
      </c>
      <c r="P36" s="2"/>
      <c r="Q36" s="2"/>
      <c r="R36" s="2"/>
      <c r="S36" s="2" t="str">
        <f>IFERROR(VLOOKUP(R36,'BASE DE CLIENTES'!$A:$C,3,0),"")</f>
        <v/>
      </c>
      <c r="T36" s="2"/>
      <c r="U36" s="2"/>
      <c r="V36" s="2"/>
      <c r="W36" s="2" t="str">
        <f>IFERROR(VLOOKUP(V36,'BASE DE CLIENTES'!$A:$C,3,0),"")</f>
        <v/>
      </c>
      <c r="X36" s="2"/>
      <c r="Y36" s="2"/>
    </row>
    <row r="37" spans="2:25" x14ac:dyDescent="0.3">
      <c r="B37" s="20"/>
      <c r="C37" s="20" t="str">
        <f>IFERROR(VLOOKUP(B37,'BASE DE CLIENTES'!$A:$C,3,0),"")</f>
        <v/>
      </c>
      <c r="D37" s="2"/>
      <c r="E37" s="2"/>
      <c r="F37" s="2"/>
      <c r="G37" s="2" t="str">
        <f>IFERROR(VLOOKUP(F37,'BASE DE CLIENTES'!$A:$C,3,0),"")</f>
        <v/>
      </c>
      <c r="H37" s="2"/>
      <c r="I37" s="2"/>
      <c r="J37" s="2"/>
      <c r="K37" s="2" t="str">
        <f>IFERROR(VLOOKUP(J37,'BASE DE CLIENTES'!$A:$C,3,0),"")</f>
        <v/>
      </c>
      <c r="L37" s="2"/>
      <c r="M37" s="2"/>
      <c r="N37" s="2"/>
      <c r="O37" s="2" t="str">
        <f>IFERROR(VLOOKUP(N37,'BASE DE CLIENTES'!$A:$C,3,0),"")</f>
        <v/>
      </c>
      <c r="P37" s="2"/>
      <c r="Q37" s="2"/>
      <c r="R37" s="2"/>
      <c r="S37" s="2" t="str">
        <f>IFERROR(VLOOKUP(R37,'BASE DE CLIENTES'!$A:$C,3,0),"")</f>
        <v/>
      </c>
      <c r="T37" s="2"/>
      <c r="U37" s="2"/>
      <c r="V37" s="2"/>
      <c r="W37" s="2" t="str">
        <f>IFERROR(VLOOKUP(V37,'BASE DE CLIENTES'!$A:$C,3,0),"")</f>
        <v/>
      </c>
      <c r="X37" s="2"/>
      <c r="Y37" s="2"/>
    </row>
    <row r="38" spans="2:25" x14ac:dyDescent="0.3">
      <c r="B38" s="20"/>
      <c r="C38" s="20" t="str">
        <f>IFERROR(VLOOKUP(B38,'BASE DE CLIENTES'!$A:$C,3,0),"")</f>
        <v/>
      </c>
      <c r="D38" s="2"/>
      <c r="E38" s="2"/>
      <c r="F38" s="2"/>
      <c r="G38" s="2" t="str">
        <f>IFERROR(VLOOKUP(F38,'BASE DE CLIENTES'!$A:$C,3,0),"")</f>
        <v/>
      </c>
      <c r="H38" s="2"/>
      <c r="I38" s="2"/>
      <c r="J38" s="2"/>
      <c r="K38" s="2" t="str">
        <f>IFERROR(VLOOKUP(J38,'BASE DE CLIENTES'!$A:$C,3,0),"")</f>
        <v/>
      </c>
      <c r="L38" s="2"/>
      <c r="M38" s="2"/>
      <c r="N38" s="2"/>
      <c r="O38" s="2" t="str">
        <f>IFERROR(VLOOKUP(N38,'BASE DE CLIENTES'!$A:$C,3,0),"")</f>
        <v/>
      </c>
      <c r="P38" s="2"/>
      <c r="Q38" s="2"/>
      <c r="R38" s="2"/>
      <c r="S38" s="2" t="str">
        <f>IFERROR(VLOOKUP(R38,'BASE DE CLIENTES'!$A:$C,3,0),"")</f>
        <v/>
      </c>
      <c r="T38" s="2"/>
      <c r="U38" s="2"/>
      <c r="V38" s="2"/>
      <c r="W38" s="2" t="str">
        <f>IFERROR(VLOOKUP(V38,'BASE DE CLIENTES'!$A:$C,3,0),"")</f>
        <v/>
      </c>
      <c r="X38" s="2"/>
      <c r="Y38" s="2"/>
    </row>
    <row r="39" spans="2:25" x14ac:dyDescent="0.3">
      <c r="B39" s="20"/>
      <c r="C39" s="20" t="str">
        <f>IFERROR(VLOOKUP(B39,'BASE DE CLIENTES'!$A:$C,3,0),"")</f>
        <v/>
      </c>
      <c r="D39" s="2"/>
      <c r="E39" s="2"/>
      <c r="F39" s="2"/>
      <c r="G39" s="2" t="str">
        <f>IFERROR(VLOOKUP(F39,'BASE DE CLIENTES'!$A:$C,3,0),"")</f>
        <v/>
      </c>
      <c r="H39" s="2"/>
      <c r="I39" s="2"/>
      <c r="J39" s="2"/>
      <c r="K39" s="2" t="str">
        <f>IFERROR(VLOOKUP(J39,'BASE DE CLIENTES'!$A:$C,3,0),"")</f>
        <v/>
      </c>
      <c r="L39" s="2"/>
      <c r="M39" s="2"/>
      <c r="N39" s="2"/>
      <c r="O39" s="2" t="str">
        <f>IFERROR(VLOOKUP(N39,'BASE DE CLIENTES'!$A:$C,3,0),"")</f>
        <v/>
      </c>
      <c r="P39" s="2"/>
      <c r="Q39" s="2"/>
      <c r="R39" s="2"/>
      <c r="S39" s="2" t="str">
        <f>IFERROR(VLOOKUP(R39,'BASE DE CLIENTES'!$A:$C,3,0),"")</f>
        <v/>
      </c>
      <c r="T39" s="2"/>
      <c r="U39" s="2"/>
      <c r="V39" s="2"/>
      <c r="W39" s="2" t="str">
        <f>IFERROR(VLOOKUP(V39,'BASE DE CLIENTES'!$A:$C,3,0),"")</f>
        <v/>
      </c>
      <c r="X39" s="2"/>
      <c r="Y39" s="2"/>
    </row>
    <row r="40" spans="2:25" x14ac:dyDescent="0.3">
      <c r="B40" s="20"/>
      <c r="C40" s="20" t="str">
        <f>IFERROR(VLOOKUP(B40,'BASE DE CLIENTES'!$A:$C,3,0),"")</f>
        <v/>
      </c>
      <c r="D40" s="2"/>
      <c r="E40" s="2"/>
      <c r="F40" s="2"/>
      <c r="G40" s="2" t="str">
        <f>IFERROR(VLOOKUP(F40,'BASE DE CLIENTES'!$A:$C,3,0),"")</f>
        <v/>
      </c>
      <c r="H40" s="2"/>
      <c r="I40" s="2"/>
      <c r="J40" s="2"/>
      <c r="K40" s="2" t="str">
        <f>IFERROR(VLOOKUP(J40,'BASE DE CLIENTES'!$A:$C,3,0),"")</f>
        <v/>
      </c>
      <c r="L40" s="2"/>
      <c r="M40" s="2"/>
      <c r="N40" s="2"/>
      <c r="O40" s="2" t="str">
        <f>IFERROR(VLOOKUP(N40,'BASE DE CLIENTES'!$A:$C,3,0),"")</f>
        <v/>
      </c>
      <c r="P40" s="2"/>
      <c r="Q40" s="2"/>
      <c r="R40" s="2"/>
      <c r="S40" s="2" t="str">
        <f>IFERROR(VLOOKUP(R40,'BASE DE CLIENTES'!$A:$C,3,0),"")</f>
        <v/>
      </c>
      <c r="T40" s="2"/>
      <c r="U40" s="2"/>
      <c r="V40" s="2"/>
      <c r="W40" s="2" t="str">
        <f>IFERROR(VLOOKUP(V40,'BASE DE CLIENTES'!$A:$C,3,0),"")</f>
        <v/>
      </c>
      <c r="X40" s="2"/>
      <c r="Y40" s="2"/>
    </row>
    <row r="41" spans="2:25" x14ac:dyDescent="0.3">
      <c r="B41" s="20"/>
      <c r="C41" s="20" t="str">
        <f>IFERROR(VLOOKUP(B41,'BASE DE CLIENTES'!$A:$C,3,0),"")</f>
        <v/>
      </c>
      <c r="D41" s="2"/>
      <c r="E41" s="2"/>
      <c r="F41" s="2"/>
      <c r="G41" s="2" t="str">
        <f>IFERROR(VLOOKUP(F41,'BASE DE CLIENTES'!$A:$C,3,0),"")</f>
        <v/>
      </c>
      <c r="H41" s="2"/>
      <c r="I41" s="2"/>
      <c r="J41" s="2"/>
      <c r="K41" s="2" t="str">
        <f>IFERROR(VLOOKUP(J41,'BASE DE CLIENTES'!$A:$C,3,0),"")</f>
        <v/>
      </c>
      <c r="L41" s="2"/>
      <c r="M41" s="2"/>
      <c r="N41" s="2"/>
      <c r="O41" s="2" t="str">
        <f>IFERROR(VLOOKUP(N41,'BASE DE CLIENTES'!$A:$C,3,0),"")</f>
        <v/>
      </c>
      <c r="P41" s="2"/>
      <c r="Q41" s="2"/>
      <c r="R41" s="2"/>
      <c r="S41" s="2" t="str">
        <f>IFERROR(VLOOKUP(R41,'BASE DE CLIENTES'!$A:$C,3,0),"")</f>
        <v/>
      </c>
      <c r="T41" s="2"/>
      <c r="U41" s="2"/>
      <c r="V41" s="2"/>
      <c r="W41" s="2" t="str">
        <f>IFERROR(VLOOKUP(V41,'BASE DE CLIENTES'!$A:$C,3,0),"")</f>
        <v/>
      </c>
      <c r="X41" s="2"/>
      <c r="Y41" s="2"/>
    </row>
    <row r="42" spans="2:25" x14ac:dyDescent="0.3">
      <c r="B42" s="20"/>
      <c r="C42" s="20" t="str">
        <f>IFERROR(VLOOKUP(B42,'BASE DE CLIENTES'!$A:$C,3,0),"")</f>
        <v/>
      </c>
      <c r="D42" s="2"/>
      <c r="E42" s="2"/>
      <c r="F42" s="2"/>
      <c r="G42" s="2" t="str">
        <f>IFERROR(VLOOKUP(F42,'BASE DE CLIENTES'!$A:$C,3,0),"")</f>
        <v/>
      </c>
      <c r="H42" s="2"/>
      <c r="I42" s="2"/>
      <c r="J42" s="2"/>
      <c r="K42" s="2" t="str">
        <f>IFERROR(VLOOKUP(J42,'BASE DE CLIENTES'!$A:$C,3,0),"")</f>
        <v/>
      </c>
      <c r="L42" s="2"/>
      <c r="M42" s="2"/>
      <c r="N42" s="2"/>
      <c r="O42" s="2" t="str">
        <f>IFERROR(VLOOKUP(N42,'BASE DE CLIENTES'!$A:$C,3,0),"")</f>
        <v/>
      </c>
      <c r="P42" s="2"/>
      <c r="Q42" s="2"/>
      <c r="R42" s="2"/>
      <c r="S42" s="2" t="str">
        <f>IFERROR(VLOOKUP(R42,'BASE DE CLIENTES'!$A:$C,3,0),"")</f>
        <v/>
      </c>
      <c r="T42" s="2"/>
      <c r="U42" s="2"/>
      <c r="V42" s="2"/>
      <c r="W42" s="2" t="str">
        <f>IFERROR(VLOOKUP(V42,'BASE DE CLIENTES'!$A:$C,3,0),"")</f>
        <v/>
      </c>
      <c r="X42" s="2"/>
      <c r="Y42" s="2"/>
    </row>
    <row r="43" spans="2:25" x14ac:dyDescent="0.3">
      <c r="B43" s="20"/>
      <c r="C43" s="20" t="str">
        <f>IFERROR(VLOOKUP(B43,'BASE DE CLIENTES'!$A:$C,3,0),"")</f>
        <v/>
      </c>
      <c r="D43" s="2"/>
      <c r="E43" s="2"/>
      <c r="F43" s="2"/>
      <c r="G43" s="2" t="str">
        <f>IFERROR(VLOOKUP(F43,'BASE DE CLIENTES'!$A:$C,3,0),"")</f>
        <v/>
      </c>
      <c r="H43" s="2"/>
      <c r="I43" s="2"/>
      <c r="J43" s="2"/>
      <c r="K43" s="2" t="str">
        <f>IFERROR(VLOOKUP(J43,'BASE DE CLIENTES'!$A:$C,3,0),"")</f>
        <v/>
      </c>
      <c r="L43" s="2"/>
      <c r="M43" s="2"/>
      <c r="N43" s="2"/>
      <c r="O43" s="2" t="str">
        <f>IFERROR(VLOOKUP(N43,'BASE DE CLIENTES'!$A:$C,3,0),"")</f>
        <v/>
      </c>
      <c r="P43" s="2"/>
      <c r="Q43" s="2"/>
      <c r="R43" s="2"/>
      <c r="S43" s="2" t="str">
        <f>IFERROR(VLOOKUP(R43,'BASE DE CLIENTES'!$A:$C,3,0),"")</f>
        <v/>
      </c>
      <c r="T43" s="2"/>
      <c r="U43" s="2"/>
      <c r="V43" s="2"/>
      <c r="W43" s="2" t="str">
        <f>IFERROR(VLOOKUP(V43,'BASE DE CLIENTES'!$A:$C,3,0),"")</f>
        <v/>
      </c>
      <c r="X43" s="2"/>
      <c r="Y43" s="2"/>
    </row>
    <row r="44" spans="2:25" x14ac:dyDescent="0.3">
      <c r="B44" s="20"/>
      <c r="C44" s="20" t="str">
        <f>IFERROR(VLOOKUP(B44,'BASE DE CLIENTES'!$A:$C,3,0),"")</f>
        <v/>
      </c>
      <c r="D44" s="2"/>
      <c r="E44" s="2"/>
      <c r="F44" s="2"/>
      <c r="G44" s="2" t="str">
        <f>IFERROR(VLOOKUP(F44,'BASE DE CLIENTES'!$A:$C,3,0),"")</f>
        <v/>
      </c>
      <c r="H44" s="2"/>
      <c r="I44" s="2"/>
      <c r="J44" s="2"/>
      <c r="K44" s="2" t="str">
        <f>IFERROR(VLOOKUP(J44,'BASE DE CLIENTES'!$A:$C,3,0),"")</f>
        <v/>
      </c>
      <c r="L44" s="2"/>
      <c r="M44" s="2"/>
      <c r="N44" s="2"/>
      <c r="O44" s="2" t="str">
        <f>IFERROR(VLOOKUP(N44,'BASE DE CLIENTES'!$A:$C,3,0),"")</f>
        <v/>
      </c>
      <c r="P44" s="2"/>
      <c r="Q44" s="2"/>
      <c r="R44" s="2"/>
      <c r="S44" s="2" t="str">
        <f>IFERROR(VLOOKUP(R44,'BASE DE CLIENTES'!$A:$C,3,0),"")</f>
        <v/>
      </c>
      <c r="T44" s="2"/>
      <c r="U44" s="2"/>
      <c r="V44" s="2"/>
      <c r="W44" s="2" t="str">
        <f>IFERROR(VLOOKUP(V44,'BASE DE CLIENTES'!$A:$C,3,0),"")</f>
        <v/>
      </c>
      <c r="X44" s="2"/>
      <c r="Y44" s="2"/>
    </row>
    <row r="45" spans="2:25" x14ac:dyDescent="0.3">
      <c r="B45" s="20"/>
      <c r="C45" s="20" t="str">
        <f>IFERROR(VLOOKUP(B45,'BASE DE CLIENTES'!$A:$C,3,0),"")</f>
        <v/>
      </c>
      <c r="D45" s="2"/>
      <c r="E45" s="2"/>
      <c r="F45" s="2"/>
      <c r="G45" s="2" t="str">
        <f>IFERROR(VLOOKUP(F45,'BASE DE CLIENTES'!$A:$C,3,0),"")</f>
        <v/>
      </c>
      <c r="H45" s="2"/>
      <c r="I45" s="2"/>
      <c r="J45" s="2"/>
      <c r="K45" s="2" t="str">
        <f>IFERROR(VLOOKUP(J45,'BASE DE CLIENTES'!$A:$C,3,0),"")</f>
        <v/>
      </c>
      <c r="L45" s="2"/>
      <c r="M45" s="2"/>
      <c r="N45" s="2"/>
      <c r="O45" s="2" t="str">
        <f>IFERROR(VLOOKUP(N45,'BASE DE CLIENTES'!$A:$C,3,0),"")</f>
        <v/>
      </c>
      <c r="P45" s="2"/>
      <c r="Q45" s="2"/>
      <c r="R45" s="2"/>
      <c r="S45" s="2" t="str">
        <f>IFERROR(VLOOKUP(R45,'BASE DE CLIENTES'!$A:$C,3,0),"")</f>
        <v/>
      </c>
      <c r="T45" s="2"/>
      <c r="U45" s="2"/>
      <c r="V45" s="2"/>
      <c r="W45" s="2" t="str">
        <f>IFERROR(VLOOKUP(V45,'BASE DE CLIENTES'!$A:$C,3,0),"")</f>
        <v/>
      </c>
      <c r="X45" s="2"/>
      <c r="Y45" s="2"/>
    </row>
    <row r="46" spans="2:25" x14ac:dyDescent="0.3">
      <c r="B46" s="20"/>
      <c r="C46" s="20" t="str">
        <f>IFERROR(VLOOKUP(B46,'BASE DE CLIENTES'!$A:$C,3,0),"")</f>
        <v/>
      </c>
      <c r="D46" s="2"/>
      <c r="E46" s="2"/>
      <c r="F46" s="2"/>
      <c r="G46" s="2" t="str">
        <f>IFERROR(VLOOKUP(F46,'BASE DE CLIENTES'!$A:$C,3,0),"")</f>
        <v/>
      </c>
      <c r="H46" s="2"/>
      <c r="I46" s="2"/>
      <c r="J46" s="2"/>
      <c r="K46" s="2" t="str">
        <f>IFERROR(VLOOKUP(J46,'BASE DE CLIENTES'!$A:$C,3,0),"")</f>
        <v/>
      </c>
      <c r="L46" s="2"/>
      <c r="M46" s="2"/>
      <c r="N46" s="2"/>
      <c r="O46" s="2" t="str">
        <f>IFERROR(VLOOKUP(N46,'BASE DE CLIENTES'!$A:$C,3,0),"")</f>
        <v/>
      </c>
      <c r="P46" s="2"/>
      <c r="Q46" s="2"/>
      <c r="R46" s="2"/>
      <c r="S46" s="2" t="str">
        <f>IFERROR(VLOOKUP(R46,'BASE DE CLIENTES'!$A:$C,3,0),"")</f>
        <v/>
      </c>
      <c r="T46" s="2"/>
      <c r="U46" s="2"/>
      <c r="V46" s="2"/>
      <c r="W46" s="2" t="str">
        <f>IFERROR(VLOOKUP(V46,'BASE DE CLIENTES'!$A:$C,3,0),"")</f>
        <v/>
      </c>
      <c r="X46" s="2"/>
      <c r="Y46" s="2"/>
    </row>
    <row r="47" spans="2:25" x14ac:dyDescent="0.3">
      <c r="B47" s="20"/>
      <c r="C47" s="20" t="str">
        <f>IFERROR(VLOOKUP(B47,'BASE DE CLIENTES'!$A:$C,3,0),"")</f>
        <v/>
      </c>
      <c r="D47" s="2"/>
      <c r="E47" s="2"/>
      <c r="F47" s="2"/>
      <c r="G47" s="2" t="str">
        <f>IFERROR(VLOOKUP(F47,'BASE DE CLIENTES'!$A:$C,3,0),"")</f>
        <v/>
      </c>
      <c r="H47" s="2"/>
      <c r="I47" s="2"/>
      <c r="J47" s="2"/>
      <c r="K47" s="2" t="str">
        <f>IFERROR(VLOOKUP(J47,'BASE DE CLIENTES'!$A:$C,3,0),"")</f>
        <v/>
      </c>
      <c r="L47" s="2"/>
      <c r="M47" s="2"/>
      <c r="N47" s="2"/>
      <c r="O47" s="2" t="str">
        <f>IFERROR(VLOOKUP(N47,'BASE DE CLIENTES'!$A:$C,3,0),"")</f>
        <v/>
      </c>
      <c r="P47" s="2"/>
      <c r="Q47" s="2"/>
      <c r="R47" s="2"/>
      <c r="S47" s="2" t="str">
        <f>IFERROR(VLOOKUP(R47,'BASE DE CLIENTES'!$A:$C,3,0),"")</f>
        <v/>
      </c>
      <c r="T47" s="2"/>
      <c r="U47" s="2"/>
      <c r="V47" s="2"/>
      <c r="W47" s="2" t="str">
        <f>IFERROR(VLOOKUP(V47,'BASE DE CLIENTES'!$A:$C,3,0),"")</f>
        <v/>
      </c>
      <c r="X47" s="2"/>
      <c r="Y47" s="2"/>
    </row>
    <row r="48" spans="2:25" x14ac:dyDescent="0.3">
      <c r="B48" s="20"/>
      <c r="C48" s="20" t="str">
        <f>IFERROR(VLOOKUP(B48,'BASE DE CLIENTES'!$A:$C,3,0),"")</f>
        <v/>
      </c>
      <c r="D48" s="2"/>
      <c r="E48" s="2"/>
      <c r="F48" s="2"/>
      <c r="G48" s="2" t="str">
        <f>IFERROR(VLOOKUP(F48,'BASE DE CLIENTES'!$A:$C,3,0),"")</f>
        <v/>
      </c>
      <c r="H48" s="2"/>
      <c r="I48" s="2"/>
      <c r="J48" s="2"/>
      <c r="K48" s="2" t="str">
        <f>IFERROR(VLOOKUP(J48,'BASE DE CLIENTES'!$A:$C,3,0),"")</f>
        <v/>
      </c>
      <c r="L48" s="2"/>
      <c r="M48" s="2"/>
      <c r="N48" s="2"/>
      <c r="O48" s="2" t="str">
        <f>IFERROR(VLOOKUP(N48,'BASE DE CLIENTES'!$A:$C,3,0),"")</f>
        <v/>
      </c>
      <c r="P48" s="2"/>
      <c r="Q48" s="2"/>
      <c r="R48" s="2"/>
      <c r="S48" s="2" t="str">
        <f>IFERROR(VLOOKUP(R48,'BASE DE CLIENTES'!$A:$C,3,0),"")</f>
        <v/>
      </c>
      <c r="T48" s="2"/>
      <c r="U48" s="2"/>
      <c r="V48" s="2"/>
      <c r="W48" s="2" t="str">
        <f>IFERROR(VLOOKUP(V48,'BASE DE CLIENTES'!$A:$C,3,0),"")</f>
        <v/>
      </c>
      <c r="X48" s="2"/>
      <c r="Y48" s="2"/>
    </row>
    <row r="49" spans="2:25" x14ac:dyDescent="0.3">
      <c r="B49" s="20"/>
      <c r="C49" s="20" t="str">
        <f>IFERROR(VLOOKUP(B49,'BASE DE CLIENTES'!$A:$C,3,0),"")</f>
        <v/>
      </c>
      <c r="D49" s="2"/>
      <c r="E49" s="2"/>
      <c r="F49" s="2"/>
      <c r="G49" s="2" t="str">
        <f>IFERROR(VLOOKUP(F49,'BASE DE CLIENTES'!$A:$C,3,0),"")</f>
        <v/>
      </c>
      <c r="H49" s="2"/>
      <c r="I49" s="2"/>
      <c r="J49" s="2"/>
      <c r="K49" s="2" t="str">
        <f>IFERROR(VLOOKUP(J49,'BASE DE CLIENTES'!$A:$C,3,0),"")</f>
        <v/>
      </c>
      <c r="L49" s="2"/>
      <c r="M49" s="2"/>
      <c r="N49" s="2"/>
      <c r="O49" s="2" t="str">
        <f>IFERROR(VLOOKUP(N49,'BASE DE CLIENTES'!$A:$C,3,0),"")</f>
        <v/>
      </c>
      <c r="P49" s="2"/>
      <c r="Q49" s="2"/>
      <c r="R49" s="2"/>
      <c r="S49" s="2" t="str">
        <f>IFERROR(VLOOKUP(R49,'BASE DE CLIENTES'!$A:$C,3,0),"")</f>
        <v/>
      </c>
      <c r="T49" s="2"/>
      <c r="U49" s="2"/>
      <c r="V49" s="2"/>
      <c r="W49" s="2" t="str">
        <f>IFERROR(VLOOKUP(V49,'BASE DE CLIENTES'!$A:$C,3,0),"")</f>
        <v/>
      </c>
      <c r="X49" s="2"/>
      <c r="Y49" s="2"/>
    </row>
    <row r="50" spans="2:25" x14ac:dyDescent="0.3">
      <c r="B50" s="20"/>
      <c r="C50" s="20" t="str">
        <f>IFERROR(VLOOKUP(B50,'BASE DE CLIENTES'!$A:$C,3,0),"")</f>
        <v/>
      </c>
      <c r="D50" s="2"/>
      <c r="E50" s="2"/>
      <c r="F50" s="2"/>
      <c r="G50" s="2" t="str">
        <f>IFERROR(VLOOKUP(F50,'BASE DE CLIENTES'!$A:$C,3,0),"")</f>
        <v/>
      </c>
      <c r="H50" s="2"/>
      <c r="I50" s="2"/>
      <c r="J50" s="2"/>
      <c r="K50" s="2" t="str">
        <f>IFERROR(VLOOKUP(J50,'BASE DE CLIENTES'!$A:$C,3,0),"")</f>
        <v/>
      </c>
      <c r="L50" s="2"/>
      <c r="M50" s="2"/>
      <c r="N50" s="2"/>
      <c r="O50" s="2" t="str">
        <f>IFERROR(VLOOKUP(N50,'BASE DE CLIENTES'!$A:$C,3,0),"")</f>
        <v/>
      </c>
      <c r="P50" s="2"/>
      <c r="Q50" s="2"/>
      <c r="R50" s="2"/>
      <c r="S50" s="2" t="str">
        <f>IFERROR(VLOOKUP(R50,'BASE DE CLIENTES'!$A:$C,3,0),"")</f>
        <v/>
      </c>
      <c r="T50" s="2"/>
      <c r="U50" s="2"/>
      <c r="V50" s="2"/>
      <c r="W50" s="2" t="str">
        <f>IFERROR(VLOOKUP(V50,'BASE DE CLIENTES'!$A:$C,3,0),"")</f>
        <v/>
      </c>
      <c r="X50" s="2"/>
      <c r="Y50" s="2"/>
    </row>
    <row r="51" spans="2:25" x14ac:dyDescent="0.3">
      <c r="B51" s="20"/>
      <c r="C51" s="20" t="str">
        <f>IFERROR(VLOOKUP(B51,'BASE DE CLIENTES'!$A:$C,3,0),"")</f>
        <v/>
      </c>
      <c r="D51" s="2"/>
      <c r="E51" s="2"/>
      <c r="F51" s="2"/>
      <c r="G51" s="2" t="str">
        <f>IFERROR(VLOOKUP(F51,'BASE DE CLIENTES'!$A:$C,3,0),"")</f>
        <v/>
      </c>
      <c r="H51" s="2"/>
      <c r="I51" s="2"/>
      <c r="J51" s="2"/>
      <c r="K51" s="2" t="str">
        <f>IFERROR(VLOOKUP(J51,'BASE DE CLIENTES'!$A:$C,3,0),"")</f>
        <v/>
      </c>
      <c r="L51" s="2"/>
      <c r="M51" s="2"/>
      <c r="N51" s="2"/>
      <c r="O51" s="2" t="str">
        <f>IFERROR(VLOOKUP(N51,'BASE DE CLIENTES'!$A:$C,3,0),"")</f>
        <v/>
      </c>
      <c r="P51" s="2"/>
      <c r="Q51" s="2"/>
      <c r="R51" s="2"/>
      <c r="S51" s="2" t="str">
        <f>IFERROR(VLOOKUP(R51,'BASE DE CLIENTES'!$A:$C,3,0),"")</f>
        <v/>
      </c>
      <c r="T51" s="2"/>
      <c r="U51" s="2"/>
      <c r="V51" s="2"/>
      <c r="W51" s="2" t="str">
        <f>IFERROR(VLOOKUP(V51,'BASE DE CLIENTES'!$A:$C,3,0),"")</f>
        <v/>
      </c>
      <c r="X51" s="2"/>
      <c r="Y51" s="2"/>
    </row>
    <row r="52" spans="2:25" x14ac:dyDescent="0.3">
      <c r="B52" s="20"/>
      <c r="C52" s="20" t="str">
        <f>IFERROR(VLOOKUP(B52,'BASE DE CLIENTES'!$A:$C,3,0),"")</f>
        <v/>
      </c>
      <c r="D52" s="2"/>
      <c r="E52" s="2"/>
      <c r="F52" s="2"/>
      <c r="G52" s="2" t="str">
        <f>IFERROR(VLOOKUP(F52,'BASE DE CLIENTES'!$A:$C,3,0),"")</f>
        <v/>
      </c>
      <c r="H52" s="2"/>
      <c r="I52" s="2"/>
      <c r="J52" s="2"/>
      <c r="K52" s="2" t="str">
        <f>IFERROR(VLOOKUP(J52,'BASE DE CLIENTES'!$A:$C,3,0),"")</f>
        <v/>
      </c>
      <c r="L52" s="2"/>
      <c r="M52" s="2"/>
      <c r="N52" s="2"/>
      <c r="O52" s="2" t="str">
        <f>IFERROR(VLOOKUP(N52,'BASE DE CLIENTES'!$A:$C,3,0),"")</f>
        <v/>
      </c>
      <c r="P52" s="2"/>
      <c r="Q52" s="2"/>
      <c r="R52" s="2"/>
      <c r="S52" s="2" t="str">
        <f>IFERROR(VLOOKUP(R52,'BASE DE CLIENTES'!$A:$C,3,0),"")</f>
        <v/>
      </c>
      <c r="T52" s="2"/>
      <c r="U52" s="2"/>
      <c r="V52" s="2"/>
      <c r="W52" s="2" t="str">
        <f>IFERROR(VLOOKUP(V52,'BASE DE CLIENTES'!$A:$C,3,0),"")</f>
        <v/>
      </c>
      <c r="X52" s="2"/>
      <c r="Y52" s="2"/>
    </row>
    <row r="53" spans="2:25" x14ac:dyDescent="0.3">
      <c r="B53" s="20"/>
      <c r="C53" s="20" t="str">
        <f>IFERROR(VLOOKUP(B53,'BASE DE CLIENTES'!$A:$C,3,0),"")</f>
        <v/>
      </c>
      <c r="D53" s="2"/>
      <c r="E53" s="2"/>
      <c r="F53" s="2"/>
      <c r="G53" s="2" t="str">
        <f>IFERROR(VLOOKUP(F53,'BASE DE CLIENTES'!$A:$C,3,0),"")</f>
        <v/>
      </c>
      <c r="H53" s="2"/>
      <c r="I53" s="2"/>
      <c r="J53" s="2"/>
      <c r="K53" s="2" t="str">
        <f>IFERROR(VLOOKUP(J53,'BASE DE CLIENTES'!$A:$C,3,0),"")</f>
        <v/>
      </c>
      <c r="L53" s="2"/>
      <c r="M53" s="2"/>
      <c r="N53" s="2"/>
      <c r="O53" s="2" t="str">
        <f>IFERROR(VLOOKUP(N53,'BASE DE CLIENTES'!$A:$C,3,0),"")</f>
        <v/>
      </c>
      <c r="P53" s="2"/>
      <c r="Q53" s="2"/>
      <c r="R53" s="2"/>
      <c r="S53" s="2" t="str">
        <f>IFERROR(VLOOKUP(R53,'BASE DE CLIENTES'!$A:$C,3,0),"")</f>
        <v/>
      </c>
      <c r="T53" s="2"/>
      <c r="U53" s="2"/>
      <c r="V53" s="2"/>
      <c r="W53" s="2" t="str">
        <f>IFERROR(VLOOKUP(V53,'BASE DE CLIENTES'!$A:$C,3,0),"")</f>
        <v/>
      </c>
      <c r="X53" s="2"/>
      <c r="Y53" s="2"/>
    </row>
    <row r="54" spans="2:25" x14ac:dyDescent="0.3">
      <c r="B54" s="20"/>
      <c r="C54" s="20" t="str">
        <f>IFERROR(VLOOKUP(B54,'BASE DE CLIENTES'!$A:$C,3,0),"")</f>
        <v/>
      </c>
      <c r="D54" s="2"/>
      <c r="E54" s="2"/>
      <c r="F54" s="2"/>
      <c r="G54" s="2" t="str">
        <f>IFERROR(VLOOKUP(F54,'BASE DE CLIENTES'!$A:$C,3,0),"")</f>
        <v/>
      </c>
      <c r="H54" s="2"/>
      <c r="I54" s="2"/>
      <c r="J54" s="2"/>
      <c r="K54" s="2" t="str">
        <f>IFERROR(VLOOKUP(J54,'BASE DE CLIENTES'!$A:$C,3,0),"")</f>
        <v/>
      </c>
      <c r="L54" s="2"/>
      <c r="M54" s="2"/>
      <c r="N54" s="2"/>
      <c r="O54" s="2" t="str">
        <f>IFERROR(VLOOKUP(N54,'BASE DE CLIENTES'!$A:$C,3,0),"")</f>
        <v/>
      </c>
      <c r="P54" s="2"/>
      <c r="Q54" s="2"/>
      <c r="R54" s="2"/>
      <c r="S54" s="2" t="str">
        <f>IFERROR(VLOOKUP(R54,'BASE DE CLIENTES'!$A:$C,3,0),"")</f>
        <v/>
      </c>
      <c r="T54" s="2"/>
      <c r="U54" s="2"/>
      <c r="V54" s="2"/>
      <c r="W54" s="2" t="str">
        <f>IFERROR(VLOOKUP(V54,'BASE DE CLIENTES'!$A:$C,3,0),"")</f>
        <v/>
      </c>
      <c r="X54" s="2"/>
      <c r="Y54" s="2"/>
    </row>
    <row r="55" spans="2:25" x14ac:dyDescent="0.3">
      <c r="B55" s="20"/>
      <c r="C55" s="20" t="str">
        <f>IFERROR(VLOOKUP(B55,'BASE DE CLIENTES'!$A:$C,3,0),"")</f>
        <v/>
      </c>
      <c r="D55" s="2"/>
      <c r="E55" s="2"/>
      <c r="F55" s="2"/>
      <c r="G55" s="2" t="str">
        <f>IFERROR(VLOOKUP(F55,'BASE DE CLIENTES'!$A:$C,3,0),"")</f>
        <v/>
      </c>
      <c r="H55" s="2"/>
      <c r="I55" s="2"/>
      <c r="J55" s="2"/>
      <c r="K55" s="2" t="str">
        <f>IFERROR(VLOOKUP(J55,'BASE DE CLIENTES'!$A:$C,3,0),"")</f>
        <v/>
      </c>
      <c r="L55" s="2"/>
      <c r="M55" s="2"/>
      <c r="N55" s="2"/>
      <c r="O55" s="2" t="str">
        <f>IFERROR(VLOOKUP(N55,'BASE DE CLIENTES'!$A:$C,3,0),"")</f>
        <v/>
      </c>
      <c r="P55" s="2"/>
      <c r="Q55" s="2"/>
      <c r="R55" s="2"/>
      <c r="S55" s="2" t="str">
        <f>IFERROR(VLOOKUP(R55,'BASE DE CLIENTES'!$A:$C,3,0),"")</f>
        <v/>
      </c>
      <c r="T55" s="2"/>
      <c r="U55" s="2"/>
      <c r="V55" s="2"/>
      <c r="W55" s="2" t="str">
        <f>IFERROR(VLOOKUP(V55,'BASE DE CLIENTES'!$A:$C,3,0),"")</f>
        <v/>
      </c>
      <c r="X55" s="2"/>
      <c r="Y55" s="2"/>
    </row>
    <row r="56" spans="2:25" x14ac:dyDescent="0.3">
      <c r="B56" s="20"/>
      <c r="C56" s="20" t="str">
        <f>IFERROR(VLOOKUP(B56,'BASE DE CLIENTES'!$A:$C,3,0),"")</f>
        <v/>
      </c>
      <c r="D56" s="2"/>
      <c r="E56" s="2"/>
      <c r="F56" s="2"/>
      <c r="G56" s="2" t="str">
        <f>IFERROR(VLOOKUP(F56,'BASE DE CLIENTES'!$A:$C,3,0),"")</f>
        <v/>
      </c>
      <c r="H56" s="2"/>
      <c r="I56" s="2"/>
      <c r="J56" s="2"/>
      <c r="K56" s="2" t="str">
        <f>IFERROR(VLOOKUP(J56,'BASE DE CLIENTES'!$A:$C,3,0),"")</f>
        <v/>
      </c>
      <c r="L56" s="2"/>
      <c r="M56" s="2"/>
      <c r="N56" s="2"/>
      <c r="O56" s="2" t="str">
        <f>IFERROR(VLOOKUP(N56,'BASE DE CLIENTES'!$A:$C,3,0),"")</f>
        <v/>
      </c>
      <c r="P56" s="2"/>
      <c r="Q56" s="2"/>
      <c r="R56" s="2"/>
      <c r="S56" s="2" t="str">
        <f>IFERROR(VLOOKUP(R56,'BASE DE CLIENTES'!$A:$C,3,0),"")</f>
        <v/>
      </c>
      <c r="T56" s="2"/>
      <c r="U56" s="2"/>
      <c r="V56" s="2"/>
      <c r="W56" s="2" t="str">
        <f>IFERROR(VLOOKUP(V56,'BASE DE CLIENTES'!$A:$C,3,0),"")</f>
        <v/>
      </c>
      <c r="X56" s="2"/>
      <c r="Y56" s="2"/>
    </row>
    <row r="57" spans="2:25" x14ac:dyDescent="0.3">
      <c r="B57" s="20"/>
      <c r="C57" s="20" t="str">
        <f>IFERROR(VLOOKUP(B57,'BASE DE CLIENTES'!$A:$C,3,0),"")</f>
        <v/>
      </c>
      <c r="D57" s="2"/>
      <c r="E57" s="2"/>
      <c r="F57" s="2"/>
      <c r="G57" s="2" t="str">
        <f>IFERROR(VLOOKUP(F57,'BASE DE CLIENTES'!$A:$C,3,0),"")</f>
        <v/>
      </c>
      <c r="H57" s="2"/>
      <c r="I57" s="2"/>
      <c r="J57" s="2"/>
      <c r="K57" s="2" t="str">
        <f>IFERROR(VLOOKUP(J57,'BASE DE CLIENTES'!$A:$C,3,0),"")</f>
        <v/>
      </c>
      <c r="L57" s="2"/>
      <c r="M57" s="2"/>
      <c r="N57" s="2"/>
      <c r="O57" s="2" t="str">
        <f>IFERROR(VLOOKUP(N57,'BASE DE CLIENTES'!$A:$C,3,0),"")</f>
        <v/>
      </c>
      <c r="P57" s="2"/>
      <c r="Q57" s="2"/>
      <c r="R57" s="2"/>
      <c r="S57" s="2" t="str">
        <f>IFERROR(VLOOKUP(R57,'BASE DE CLIENTES'!$A:$C,3,0),"")</f>
        <v/>
      </c>
      <c r="T57" s="2"/>
      <c r="U57" s="2"/>
      <c r="V57" s="2"/>
      <c r="W57" s="2" t="str">
        <f>IFERROR(VLOOKUP(V57,'BASE DE CLIENTES'!$A:$C,3,0),"")</f>
        <v/>
      </c>
      <c r="X57" s="2"/>
      <c r="Y57" s="2"/>
    </row>
    <row r="58" spans="2:25" x14ac:dyDescent="0.3">
      <c r="B58" s="20"/>
      <c r="C58" s="20" t="str">
        <f>IFERROR(VLOOKUP(B58,'BASE DE CLIENTES'!$A:$C,3,0),"")</f>
        <v/>
      </c>
      <c r="D58" s="2"/>
      <c r="E58" s="2"/>
      <c r="F58" s="2"/>
      <c r="G58" s="2" t="str">
        <f>IFERROR(VLOOKUP(F58,'BASE DE CLIENTES'!$A:$C,3,0),"")</f>
        <v/>
      </c>
      <c r="H58" s="2"/>
      <c r="I58" s="2"/>
      <c r="J58" s="2"/>
      <c r="K58" s="2" t="str">
        <f>IFERROR(VLOOKUP(J58,'BASE DE CLIENTES'!$A:$C,3,0),"")</f>
        <v/>
      </c>
      <c r="L58" s="2"/>
      <c r="M58" s="2"/>
      <c r="N58" s="2"/>
      <c r="O58" s="2" t="str">
        <f>IFERROR(VLOOKUP(N58,'BASE DE CLIENTES'!$A:$C,3,0),"")</f>
        <v/>
      </c>
      <c r="P58" s="2"/>
      <c r="Q58" s="2"/>
      <c r="R58" s="2"/>
      <c r="S58" s="2" t="str">
        <f>IFERROR(VLOOKUP(R58,'BASE DE CLIENTES'!$A:$C,3,0),"")</f>
        <v/>
      </c>
      <c r="T58" s="2"/>
      <c r="U58" s="2"/>
      <c r="V58" s="2"/>
      <c r="W58" s="2" t="str">
        <f>IFERROR(VLOOKUP(V58,'BASE DE CLIENTES'!$A:$C,3,0),"")</f>
        <v/>
      </c>
      <c r="X58" s="2"/>
      <c r="Y58" s="2"/>
    </row>
    <row r="59" spans="2:25" x14ac:dyDescent="0.3">
      <c r="B59" s="20"/>
      <c r="C59" s="20" t="str">
        <f>IFERROR(VLOOKUP(B59,'BASE DE CLIENTES'!$A:$C,3,0),"")</f>
        <v/>
      </c>
      <c r="D59" s="2"/>
      <c r="E59" s="2"/>
      <c r="F59" s="2"/>
      <c r="G59" s="2" t="str">
        <f>IFERROR(VLOOKUP(F59,'BASE DE CLIENTES'!$A:$C,3,0),"")</f>
        <v/>
      </c>
      <c r="H59" s="2"/>
      <c r="I59" s="2"/>
      <c r="J59" s="2"/>
      <c r="K59" s="2" t="str">
        <f>IFERROR(VLOOKUP(J59,'BASE DE CLIENTES'!$A:$C,3,0),"")</f>
        <v/>
      </c>
      <c r="L59" s="2"/>
      <c r="M59" s="2"/>
      <c r="N59" s="2"/>
      <c r="O59" s="2" t="str">
        <f>IFERROR(VLOOKUP(N59,'BASE DE CLIENTES'!$A:$C,3,0),"")</f>
        <v/>
      </c>
      <c r="P59" s="2"/>
      <c r="Q59" s="2"/>
      <c r="R59" s="2"/>
      <c r="S59" s="2" t="str">
        <f>IFERROR(VLOOKUP(R59,'BASE DE CLIENTES'!$A:$C,3,0),"")</f>
        <v/>
      </c>
      <c r="T59" s="2"/>
      <c r="U59" s="2"/>
      <c r="V59" s="2"/>
      <c r="W59" s="2" t="str">
        <f>IFERROR(VLOOKUP(V59,'BASE DE CLIENTES'!$A:$C,3,0),"")</f>
        <v/>
      </c>
      <c r="X59" s="2"/>
      <c r="Y59" s="2"/>
    </row>
    <row r="60" spans="2:25" x14ac:dyDescent="0.3">
      <c r="B60" s="20"/>
      <c r="C60" s="20" t="str">
        <f>IFERROR(VLOOKUP(B60,'BASE DE CLIENTES'!$A:$C,3,0),"")</f>
        <v/>
      </c>
      <c r="D60" s="2"/>
      <c r="E60" s="2"/>
      <c r="F60" s="2"/>
      <c r="G60" s="2" t="str">
        <f>IFERROR(VLOOKUP(F60,'BASE DE CLIENTES'!$A:$C,3,0),"")</f>
        <v/>
      </c>
      <c r="H60" s="2"/>
      <c r="I60" s="2"/>
      <c r="J60" s="2"/>
      <c r="K60" s="2" t="str">
        <f>IFERROR(VLOOKUP(J60,'BASE DE CLIENTES'!$A:$C,3,0),"")</f>
        <v/>
      </c>
      <c r="L60" s="2"/>
      <c r="M60" s="2"/>
      <c r="N60" s="2"/>
      <c r="O60" s="2" t="str">
        <f>IFERROR(VLOOKUP(N60,'BASE DE CLIENTES'!$A:$C,3,0),"")</f>
        <v/>
      </c>
      <c r="P60" s="2"/>
      <c r="Q60" s="2"/>
      <c r="R60" s="2"/>
      <c r="S60" s="2" t="str">
        <f>IFERROR(VLOOKUP(R60,'BASE DE CLIENTES'!$A:$C,3,0),"")</f>
        <v/>
      </c>
      <c r="T60" s="2"/>
      <c r="U60" s="2"/>
      <c r="V60" s="2"/>
      <c r="W60" s="2" t="str">
        <f>IFERROR(VLOOKUP(V60,'BASE DE CLIENTES'!$A:$C,3,0),"")</f>
        <v/>
      </c>
      <c r="X60" s="2"/>
      <c r="Y60" s="2"/>
    </row>
    <row r="61" spans="2:25" x14ac:dyDescent="0.3">
      <c r="B61" s="20"/>
      <c r="C61" s="20" t="str">
        <f>IFERROR(VLOOKUP(B61,'BASE DE CLIENTES'!$A:$C,3,0),"")</f>
        <v/>
      </c>
      <c r="D61" s="2"/>
      <c r="E61" s="2"/>
      <c r="F61" s="2"/>
      <c r="G61" s="2" t="str">
        <f>IFERROR(VLOOKUP(F61,'BASE DE CLIENTES'!$A:$C,3,0),"")</f>
        <v/>
      </c>
      <c r="H61" s="2"/>
      <c r="I61" s="2"/>
      <c r="J61" s="2"/>
      <c r="K61" s="2" t="str">
        <f>IFERROR(VLOOKUP(J61,'BASE DE CLIENTES'!$A:$C,3,0),"")</f>
        <v/>
      </c>
      <c r="L61" s="2"/>
      <c r="M61" s="2"/>
      <c r="N61" s="2"/>
      <c r="O61" s="2" t="str">
        <f>IFERROR(VLOOKUP(N61,'BASE DE CLIENTES'!$A:$C,3,0),"")</f>
        <v/>
      </c>
      <c r="P61" s="2"/>
      <c r="Q61" s="2"/>
      <c r="R61" s="2"/>
      <c r="S61" s="2" t="str">
        <f>IFERROR(VLOOKUP(R61,'BASE DE CLIENTES'!$A:$C,3,0),"")</f>
        <v/>
      </c>
      <c r="T61" s="2"/>
      <c r="U61" s="2"/>
      <c r="V61" s="2"/>
      <c r="W61" s="2" t="str">
        <f>IFERROR(VLOOKUP(V61,'BASE DE CLIENTES'!$A:$C,3,0),"")</f>
        <v/>
      </c>
      <c r="X61" s="2"/>
      <c r="Y61" s="2"/>
    </row>
    <row r="62" spans="2:25" x14ac:dyDescent="0.3">
      <c r="B62" s="20"/>
      <c r="C62" s="20" t="str">
        <f>IFERROR(VLOOKUP(B62,'BASE DE CLIENTES'!$A:$C,3,0),"")</f>
        <v/>
      </c>
      <c r="D62" s="2"/>
      <c r="E62" s="2"/>
      <c r="F62" s="2"/>
      <c r="G62" s="2" t="str">
        <f>IFERROR(VLOOKUP(F62,'BASE DE CLIENTES'!$A:$C,3,0),"")</f>
        <v/>
      </c>
      <c r="H62" s="2"/>
      <c r="I62" s="2"/>
      <c r="J62" s="2"/>
      <c r="K62" s="2" t="str">
        <f>IFERROR(VLOOKUP(J62,'BASE DE CLIENTES'!$A:$C,3,0),"")</f>
        <v/>
      </c>
      <c r="L62" s="2"/>
      <c r="M62" s="2"/>
      <c r="N62" s="2"/>
      <c r="O62" s="2" t="str">
        <f>IFERROR(VLOOKUP(N62,'BASE DE CLIENTES'!$A:$C,3,0),"")</f>
        <v/>
      </c>
      <c r="P62" s="2"/>
      <c r="Q62" s="2"/>
      <c r="R62" s="2"/>
      <c r="S62" s="2" t="str">
        <f>IFERROR(VLOOKUP(R62,'BASE DE CLIENTES'!$A:$C,3,0),"")</f>
        <v/>
      </c>
      <c r="T62" s="2"/>
      <c r="U62" s="2"/>
      <c r="V62" s="2"/>
      <c r="W62" s="2" t="str">
        <f>IFERROR(VLOOKUP(V62,'BASE DE CLIENTES'!$A:$C,3,0),"")</f>
        <v/>
      </c>
      <c r="X62" s="2"/>
      <c r="Y62" s="2"/>
    </row>
    <row r="63" spans="2:25" x14ac:dyDescent="0.3">
      <c r="B63" s="20"/>
      <c r="C63" s="20" t="str">
        <f>IFERROR(VLOOKUP(B63,'BASE DE CLIENTES'!$A:$C,3,0),"")</f>
        <v/>
      </c>
      <c r="D63" s="2"/>
      <c r="E63" s="2"/>
      <c r="F63" s="2"/>
      <c r="G63" s="2" t="str">
        <f>IFERROR(VLOOKUP(F63,'BASE DE CLIENTES'!$A:$C,3,0),"")</f>
        <v/>
      </c>
      <c r="H63" s="2"/>
      <c r="I63" s="2"/>
      <c r="J63" s="2"/>
      <c r="K63" s="2" t="str">
        <f>IFERROR(VLOOKUP(J63,'BASE DE CLIENTES'!$A:$C,3,0),"")</f>
        <v/>
      </c>
      <c r="L63" s="2"/>
      <c r="M63" s="2"/>
      <c r="N63" s="2"/>
      <c r="O63" s="2" t="str">
        <f>IFERROR(VLOOKUP(N63,'BASE DE CLIENTES'!$A:$C,3,0),"")</f>
        <v/>
      </c>
      <c r="P63" s="2"/>
      <c r="Q63" s="2"/>
      <c r="R63" s="2"/>
      <c r="S63" s="2" t="str">
        <f>IFERROR(VLOOKUP(R63,'BASE DE CLIENTES'!$A:$C,3,0),"")</f>
        <v/>
      </c>
      <c r="T63" s="2"/>
      <c r="U63" s="2"/>
      <c r="V63" s="2"/>
      <c r="W63" s="2" t="str">
        <f>IFERROR(VLOOKUP(V63,'BASE DE CLIENTES'!$A:$C,3,0),"")</f>
        <v/>
      </c>
      <c r="X63" s="2"/>
      <c r="Y63" s="2"/>
    </row>
    <row r="64" spans="2:25" x14ac:dyDescent="0.3">
      <c r="B64" s="20"/>
      <c r="C64" s="20" t="str">
        <f>IFERROR(VLOOKUP(B64,'BASE DE CLIENTES'!$A:$C,3,0),"")</f>
        <v/>
      </c>
      <c r="D64" s="2"/>
      <c r="E64" s="2"/>
      <c r="F64" s="2"/>
      <c r="G64" s="2" t="str">
        <f>IFERROR(VLOOKUP(F64,'BASE DE CLIENTES'!$A:$C,3,0),"")</f>
        <v/>
      </c>
      <c r="H64" s="2"/>
      <c r="I64" s="2"/>
      <c r="J64" s="2"/>
      <c r="K64" s="2" t="str">
        <f>IFERROR(VLOOKUP(J64,'BASE DE CLIENTES'!$A:$C,3,0),"")</f>
        <v/>
      </c>
      <c r="L64" s="2"/>
      <c r="M64" s="2"/>
      <c r="N64" s="2"/>
      <c r="O64" s="2" t="str">
        <f>IFERROR(VLOOKUP(N64,'BASE DE CLIENTES'!$A:$C,3,0),"")</f>
        <v/>
      </c>
      <c r="P64" s="2"/>
      <c r="Q64" s="2"/>
      <c r="R64" s="2"/>
      <c r="S64" s="2" t="str">
        <f>IFERROR(VLOOKUP(R64,'BASE DE CLIENTES'!$A:$C,3,0),"")</f>
        <v/>
      </c>
      <c r="T64" s="2"/>
      <c r="U64" s="2"/>
      <c r="V64" s="2"/>
      <c r="W64" s="2" t="str">
        <f>IFERROR(VLOOKUP(V64,'BASE DE CLIENTES'!$A:$C,3,0),"")</f>
        <v/>
      </c>
      <c r="X64" s="2"/>
      <c r="Y64" s="2"/>
    </row>
    <row r="65" spans="2:25" x14ac:dyDescent="0.3">
      <c r="B65" s="20"/>
      <c r="C65" s="20" t="str">
        <f>IFERROR(VLOOKUP(B65,'BASE DE CLIENTES'!$A:$C,3,0),"")</f>
        <v/>
      </c>
      <c r="D65" s="2"/>
      <c r="E65" s="2"/>
      <c r="F65" s="2"/>
      <c r="G65" s="2" t="str">
        <f>IFERROR(VLOOKUP(F65,'BASE DE CLIENTES'!$A:$C,3,0),"")</f>
        <v/>
      </c>
      <c r="H65" s="2"/>
      <c r="I65" s="2"/>
      <c r="J65" s="2"/>
      <c r="K65" s="2" t="str">
        <f>IFERROR(VLOOKUP(J65,'BASE DE CLIENTES'!$A:$C,3,0),"")</f>
        <v/>
      </c>
      <c r="L65" s="2"/>
      <c r="M65" s="2"/>
      <c r="N65" s="2"/>
      <c r="O65" s="2" t="str">
        <f>IFERROR(VLOOKUP(N65,'BASE DE CLIENTES'!$A:$C,3,0),"")</f>
        <v/>
      </c>
      <c r="P65" s="2"/>
      <c r="Q65" s="2"/>
      <c r="R65" s="2"/>
      <c r="S65" s="2" t="str">
        <f>IFERROR(VLOOKUP(R65,'BASE DE CLIENTES'!$A:$C,3,0),"")</f>
        <v/>
      </c>
      <c r="T65" s="2"/>
      <c r="U65" s="2"/>
      <c r="V65" s="2"/>
      <c r="W65" s="2" t="str">
        <f>IFERROR(VLOOKUP(V65,'BASE DE CLIENTES'!$A:$C,3,0),"")</f>
        <v/>
      </c>
      <c r="X65" s="2"/>
      <c r="Y65" s="2"/>
    </row>
    <row r="66" spans="2:25" x14ac:dyDescent="0.3">
      <c r="B66" s="20"/>
      <c r="C66" s="20" t="str">
        <f>IFERROR(VLOOKUP(B66,'BASE DE CLIENTES'!$A:$C,3,0),"")</f>
        <v/>
      </c>
      <c r="D66" s="2"/>
      <c r="E66" s="2"/>
      <c r="F66" s="2"/>
      <c r="G66" s="2" t="str">
        <f>IFERROR(VLOOKUP(F66,'BASE DE CLIENTES'!$A:$C,3,0),"")</f>
        <v/>
      </c>
      <c r="H66" s="2"/>
      <c r="I66" s="2"/>
      <c r="J66" s="2"/>
      <c r="K66" s="2" t="str">
        <f>IFERROR(VLOOKUP(J66,'BASE DE CLIENTES'!$A:$C,3,0),"")</f>
        <v/>
      </c>
      <c r="L66" s="2"/>
      <c r="M66" s="2"/>
      <c r="N66" s="2"/>
      <c r="O66" s="2" t="str">
        <f>IFERROR(VLOOKUP(N66,'BASE DE CLIENTES'!$A:$C,3,0),"")</f>
        <v/>
      </c>
      <c r="P66" s="2"/>
      <c r="Q66" s="2"/>
      <c r="R66" s="2"/>
      <c r="S66" s="2" t="str">
        <f>IFERROR(VLOOKUP(R66,'BASE DE CLIENTES'!$A:$C,3,0),"")</f>
        <v/>
      </c>
      <c r="T66" s="2"/>
      <c r="U66" s="2"/>
      <c r="V66" s="2"/>
      <c r="W66" s="2" t="str">
        <f>IFERROR(VLOOKUP(V66,'BASE DE CLIENTES'!$A:$C,3,0),"")</f>
        <v/>
      </c>
      <c r="X66" s="2"/>
      <c r="Y66" s="2"/>
    </row>
    <row r="67" spans="2:25" x14ac:dyDescent="0.3">
      <c r="B67" s="20"/>
      <c r="C67" s="20" t="str">
        <f>IFERROR(VLOOKUP(B67,'BASE DE CLIENTES'!$A:$C,3,0),"")</f>
        <v/>
      </c>
      <c r="D67" s="2"/>
      <c r="E67" s="2"/>
      <c r="F67" s="2"/>
      <c r="G67" s="2" t="str">
        <f>IFERROR(VLOOKUP(F67,'BASE DE CLIENTES'!$A:$C,3,0),"")</f>
        <v/>
      </c>
      <c r="H67" s="2"/>
      <c r="I67" s="2"/>
      <c r="J67" s="2"/>
      <c r="K67" s="2" t="str">
        <f>IFERROR(VLOOKUP(J67,'BASE DE CLIENTES'!$A:$C,3,0),"")</f>
        <v/>
      </c>
      <c r="L67" s="2"/>
      <c r="M67" s="2"/>
      <c r="N67" s="2"/>
      <c r="O67" s="2" t="str">
        <f>IFERROR(VLOOKUP(N67,'BASE DE CLIENTES'!$A:$C,3,0),"")</f>
        <v/>
      </c>
      <c r="P67" s="2"/>
      <c r="Q67" s="2"/>
      <c r="R67" s="2"/>
      <c r="S67" s="2" t="str">
        <f>IFERROR(VLOOKUP(R67,'BASE DE CLIENTES'!$A:$C,3,0),"")</f>
        <v/>
      </c>
      <c r="T67" s="2"/>
      <c r="U67" s="2"/>
      <c r="V67" s="2"/>
      <c r="W67" s="2" t="str">
        <f>IFERROR(VLOOKUP(V67,'BASE DE CLIENTES'!$A:$C,3,0),"")</f>
        <v/>
      </c>
      <c r="X67" s="2"/>
      <c r="Y67" s="2"/>
    </row>
    <row r="68" spans="2:25" x14ac:dyDescent="0.3">
      <c r="B68" s="20"/>
      <c r="C68" s="20" t="str">
        <f>IFERROR(VLOOKUP(B68,'BASE DE CLIENTES'!$A:$C,3,0),"")</f>
        <v/>
      </c>
      <c r="D68" s="2"/>
      <c r="E68" s="2"/>
      <c r="F68" s="2"/>
      <c r="G68" s="2" t="str">
        <f>IFERROR(VLOOKUP(F68,'BASE DE CLIENTES'!$A:$C,3,0),"")</f>
        <v/>
      </c>
      <c r="H68" s="2"/>
      <c r="I68" s="2"/>
      <c r="J68" s="2"/>
      <c r="K68" s="2" t="str">
        <f>IFERROR(VLOOKUP(J68,'BASE DE CLIENTES'!$A:$C,3,0),"")</f>
        <v/>
      </c>
      <c r="L68" s="2"/>
      <c r="M68" s="2"/>
      <c r="N68" s="2"/>
      <c r="O68" s="2" t="str">
        <f>IFERROR(VLOOKUP(N68,'BASE DE CLIENTES'!$A:$C,3,0),"")</f>
        <v/>
      </c>
      <c r="P68" s="2"/>
      <c r="Q68" s="2"/>
      <c r="R68" s="2"/>
      <c r="S68" s="2" t="str">
        <f>IFERROR(VLOOKUP(R68,'BASE DE CLIENTES'!$A:$C,3,0),"")</f>
        <v/>
      </c>
      <c r="T68" s="2"/>
      <c r="U68" s="2"/>
      <c r="V68" s="2"/>
      <c r="W68" s="2" t="str">
        <f>IFERROR(VLOOKUP(V68,'BASE DE CLIENTES'!$A:$C,3,0),"")</f>
        <v/>
      </c>
      <c r="X68" s="2"/>
      <c r="Y68" s="2"/>
    </row>
    <row r="69" spans="2:25" x14ac:dyDescent="0.3">
      <c r="B69" s="20"/>
      <c r="C69" s="20" t="str">
        <f>IFERROR(VLOOKUP(B69,'BASE DE CLIENTES'!$A:$C,3,0),"")</f>
        <v/>
      </c>
      <c r="D69" s="2"/>
      <c r="E69" s="2"/>
      <c r="F69" s="2"/>
      <c r="G69" s="2" t="str">
        <f>IFERROR(VLOOKUP(F69,'BASE DE CLIENTES'!$A:$C,3,0),"")</f>
        <v/>
      </c>
      <c r="H69" s="2"/>
      <c r="I69" s="2"/>
      <c r="J69" s="2"/>
      <c r="K69" s="2" t="str">
        <f>IFERROR(VLOOKUP(J69,'BASE DE CLIENTES'!$A:$C,3,0),"")</f>
        <v/>
      </c>
      <c r="L69" s="2"/>
      <c r="M69" s="2"/>
      <c r="N69" s="2"/>
      <c r="O69" s="2" t="str">
        <f>IFERROR(VLOOKUP(N69,'BASE DE CLIENTES'!$A:$C,3,0),"")</f>
        <v/>
      </c>
      <c r="P69" s="2"/>
      <c r="Q69" s="2"/>
      <c r="R69" s="2"/>
      <c r="S69" s="2" t="str">
        <f>IFERROR(VLOOKUP(R69,'BASE DE CLIENTES'!$A:$C,3,0),"")</f>
        <v/>
      </c>
      <c r="T69" s="2"/>
      <c r="U69" s="2"/>
      <c r="V69" s="2"/>
      <c r="W69" s="2" t="str">
        <f>IFERROR(VLOOKUP(V69,'BASE DE CLIENTES'!$A:$C,3,0),"")</f>
        <v/>
      </c>
      <c r="X69" s="2"/>
      <c r="Y69" s="2"/>
    </row>
    <row r="70" spans="2:25" x14ac:dyDescent="0.3">
      <c r="B70" s="20"/>
      <c r="C70" s="20" t="str">
        <f>IFERROR(VLOOKUP(B70,'BASE DE CLIENTES'!$A:$C,3,0),"")</f>
        <v/>
      </c>
      <c r="D70" s="2"/>
      <c r="E70" s="2"/>
      <c r="F70" s="2"/>
      <c r="G70" s="2" t="str">
        <f>IFERROR(VLOOKUP(F70,'BASE DE CLIENTES'!$A:$C,3,0),"")</f>
        <v/>
      </c>
      <c r="H70" s="2"/>
      <c r="I70" s="2"/>
      <c r="J70" s="2"/>
      <c r="K70" s="2" t="str">
        <f>IFERROR(VLOOKUP(J70,'BASE DE CLIENTES'!$A:$C,3,0),"")</f>
        <v/>
      </c>
      <c r="L70" s="2"/>
      <c r="M70" s="2"/>
      <c r="N70" s="2"/>
      <c r="O70" s="2" t="str">
        <f>IFERROR(VLOOKUP(N70,'BASE DE CLIENTES'!$A:$C,3,0),"")</f>
        <v/>
      </c>
      <c r="P70" s="2"/>
      <c r="Q70" s="2"/>
      <c r="R70" s="2"/>
      <c r="S70" s="2" t="str">
        <f>IFERROR(VLOOKUP(R70,'BASE DE CLIENTES'!$A:$C,3,0),"")</f>
        <v/>
      </c>
      <c r="T70" s="2"/>
      <c r="U70" s="2"/>
      <c r="V70" s="2"/>
      <c r="W70" s="2" t="str">
        <f>IFERROR(VLOOKUP(V70,'BASE DE CLIENTES'!$A:$C,3,0),"")</f>
        <v/>
      </c>
      <c r="X70" s="2"/>
      <c r="Y70" s="2"/>
    </row>
    <row r="71" spans="2:25" x14ac:dyDescent="0.3">
      <c r="B71" s="20"/>
      <c r="C71" s="20" t="str">
        <f>IFERROR(VLOOKUP(B71,'BASE DE CLIENTES'!$A:$C,3,0),"")</f>
        <v/>
      </c>
      <c r="D71" s="2"/>
      <c r="E71" s="2"/>
      <c r="F71" s="2"/>
      <c r="G71" s="2" t="str">
        <f>IFERROR(VLOOKUP(F71,'BASE DE CLIENTES'!$A:$C,3,0),"")</f>
        <v/>
      </c>
      <c r="H71" s="2"/>
      <c r="I71" s="2"/>
      <c r="J71" s="2"/>
      <c r="K71" s="2" t="str">
        <f>IFERROR(VLOOKUP(J71,'BASE DE CLIENTES'!$A:$C,3,0),"")</f>
        <v/>
      </c>
      <c r="L71" s="2"/>
      <c r="M71" s="2"/>
      <c r="N71" s="2"/>
      <c r="O71" s="2" t="str">
        <f>IFERROR(VLOOKUP(N71,'BASE DE CLIENTES'!$A:$C,3,0),"")</f>
        <v/>
      </c>
      <c r="P71" s="2"/>
      <c r="Q71" s="2"/>
      <c r="R71" s="2"/>
      <c r="S71" s="2" t="str">
        <f>IFERROR(VLOOKUP(R71,'BASE DE CLIENTES'!$A:$C,3,0),"")</f>
        <v/>
      </c>
      <c r="T71" s="2"/>
      <c r="U71" s="2"/>
      <c r="V71" s="2"/>
      <c r="W71" s="2" t="str">
        <f>IFERROR(VLOOKUP(V71,'BASE DE CLIENTES'!$A:$C,3,0),"")</f>
        <v/>
      </c>
      <c r="X71" s="2"/>
      <c r="Y71" s="2"/>
    </row>
    <row r="72" spans="2:25" x14ac:dyDescent="0.3">
      <c r="B72" s="20"/>
      <c r="C72" s="20" t="str">
        <f>IFERROR(VLOOKUP(B72,'BASE DE CLIENTES'!$A:$C,3,0),"")</f>
        <v/>
      </c>
      <c r="D72" s="2"/>
      <c r="E72" s="2"/>
      <c r="F72" s="2"/>
      <c r="G72" s="2" t="str">
        <f>IFERROR(VLOOKUP(F72,'BASE DE CLIENTES'!$A:$C,3,0),"")</f>
        <v/>
      </c>
      <c r="H72" s="2"/>
      <c r="I72" s="2"/>
      <c r="J72" s="2"/>
      <c r="K72" s="2" t="str">
        <f>IFERROR(VLOOKUP(J72,'BASE DE CLIENTES'!$A:$C,3,0),"")</f>
        <v/>
      </c>
      <c r="L72" s="2"/>
      <c r="M72" s="2"/>
      <c r="N72" s="2"/>
      <c r="O72" s="2" t="str">
        <f>IFERROR(VLOOKUP(N72,'BASE DE CLIENTES'!$A:$C,3,0),"")</f>
        <v/>
      </c>
      <c r="P72" s="2"/>
      <c r="Q72" s="2"/>
      <c r="R72" s="2"/>
      <c r="S72" s="2" t="str">
        <f>IFERROR(VLOOKUP(R72,'BASE DE CLIENTES'!$A:$C,3,0),"")</f>
        <v/>
      </c>
      <c r="T72" s="2"/>
      <c r="U72" s="2"/>
      <c r="V72" s="2"/>
      <c r="W72" s="2" t="str">
        <f>IFERROR(VLOOKUP(V72,'BASE DE CLIENTES'!$A:$C,3,0),"")</f>
        <v/>
      </c>
      <c r="X72" s="2"/>
      <c r="Y72" s="2"/>
    </row>
    <row r="73" spans="2:25" x14ac:dyDescent="0.3">
      <c r="B73" s="20"/>
      <c r="C73" s="20" t="str">
        <f>IFERROR(VLOOKUP(B73,'BASE DE CLIENTES'!$A:$C,3,0),"")</f>
        <v/>
      </c>
      <c r="D73" s="2"/>
      <c r="E73" s="2"/>
      <c r="F73" s="2"/>
      <c r="G73" s="2" t="str">
        <f>IFERROR(VLOOKUP(F73,'BASE DE CLIENTES'!$A:$C,3,0),"")</f>
        <v/>
      </c>
      <c r="H73" s="2"/>
      <c r="I73" s="2"/>
      <c r="J73" s="2"/>
      <c r="K73" s="2" t="str">
        <f>IFERROR(VLOOKUP(J73,'BASE DE CLIENTES'!$A:$C,3,0),"")</f>
        <v/>
      </c>
      <c r="L73" s="2"/>
      <c r="M73" s="2"/>
      <c r="N73" s="2"/>
      <c r="O73" s="2" t="str">
        <f>IFERROR(VLOOKUP(N73,'BASE DE CLIENTES'!$A:$C,3,0),"")</f>
        <v/>
      </c>
      <c r="P73" s="2"/>
      <c r="Q73" s="2"/>
      <c r="R73" s="2"/>
      <c r="S73" s="2" t="str">
        <f>IFERROR(VLOOKUP(R73,'BASE DE CLIENTES'!$A:$C,3,0),"")</f>
        <v/>
      </c>
      <c r="T73" s="2"/>
      <c r="U73" s="2"/>
      <c r="V73" s="2"/>
      <c r="W73" s="2" t="str">
        <f>IFERROR(VLOOKUP(V73,'BASE DE CLIENTES'!$A:$C,3,0),"")</f>
        <v/>
      </c>
      <c r="X73" s="2"/>
      <c r="Y73" s="2"/>
    </row>
    <row r="74" spans="2:25" x14ac:dyDescent="0.3">
      <c r="B74" s="20"/>
      <c r="C74" s="20" t="str">
        <f>IFERROR(VLOOKUP(B74,'BASE DE CLIENTES'!$A:$C,3,0),"")</f>
        <v/>
      </c>
      <c r="D74" s="2"/>
      <c r="E74" s="2"/>
      <c r="F74" s="2"/>
      <c r="G74" s="2" t="str">
        <f>IFERROR(VLOOKUP(F74,'BASE DE CLIENTES'!$A:$C,3,0),"")</f>
        <v/>
      </c>
      <c r="H74" s="2"/>
      <c r="I74" s="2"/>
      <c r="J74" s="2"/>
      <c r="K74" s="2" t="str">
        <f>IFERROR(VLOOKUP(J74,'BASE DE CLIENTES'!$A:$C,3,0),"")</f>
        <v/>
      </c>
      <c r="L74" s="2"/>
      <c r="M74" s="2"/>
      <c r="N74" s="2"/>
      <c r="O74" s="2" t="str">
        <f>IFERROR(VLOOKUP(N74,'BASE DE CLIENTES'!$A:$C,3,0),"")</f>
        <v/>
      </c>
      <c r="P74" s="2"/>
      <c r="Q74" s="2"/>
      <c r="R74" s="2"/>
      <c r="S74" s="2" t="str">
        <f>IFERROR(VLOOKUP(R74,'BASE DE CLIENTES'!$A:$C,3,0),"")</f>
        <v/>
      </c>
      <c r="T74" s="2"/>
      <c r="U74" s="2"/>
      <c r="V74" s="2"/>
      <c r="W74" s="2" t="str">
        <f>IFERROR(VLOOKUP(V74,'BASE DE CLIENTES'!$A:$C,3,0),"")</f>
        <v/>
      </c>
      <c r="X74" s="2"/>
      <c r="Y74" s="2"/>
    </row>
    <row r="75" spans="2:25" x14ac:dyDescent="0.3">
      <c r="B75" s="20"/>
      <c r="C75" s="20" t="str">
        <f>IFERROR(VLOOKUP(B75,'BASE DE CLIENTES'!$A:$C,3,0),"")</f>
        <v/>
      </c>
      <c r="D75" s="2"/>
      <c r="E75" s="2"/>
      <c r="F75" s="2"/>
      <c r="G75" s="2" t="str">
        <f>IFERROR(VLOOKUP(F75,'BASE DE CLIENTES'!$A:$C,3,0),"")</f>
        <v/>
      </c>
      <c r="H75" s="2"/>
      <c r="I75" s="2"/>
      <c r="J75" s="2"/>
      <c r="K75" s="2" t="str">
        <f>IFERROR(VLOOKUP(J75,'BASE DE CLIENTES'!$A:$C,3,0),"")</f>
        <v/>
      </c>
      <c r="L75" s="2"/>
      <c r="M75" s="2"/>
      <c r="N75" s="2"/>
      <c r="O75" s="2" t="str">
        <f>IFERROR(VLOOKUP(N75,'BASE DE CLIENTES'!$A:$C,3,0),"")</f>
        <v/>
      </c>
      <c r="P75" s="2"/>
      <c r="Q75" s="2"/>
      <c r="R75" s="2"/>
      <c r="S75" s="2" t="str">
        <f>IFERROR(VLOOKUP(R75,'BASE DE CLIENTES'!$A:$C,3,0),"")</f>
        <v/>
      </c>
      <c r="T75" s="2"/>
      <c r="U75" s="2"/>
      <c r="V75" s="2"/>
      <c r="W75" s="2" t="str">
        <f>IFERROR(VLOOKUP(V75,'BASE DE CLIENTES'!$A:$C,3,0),"")</f>
        <v/>
      </c>
      <c r="X75" s="2"/>
      <c r="Y75" s="2"/>
    </row>
    <row r="76" spans="2:25" x14ac:dyDescent="0.3">
      <c r="B76" s="20"/>
      <c r="C76" s="20" t="str">
        <f>IFERROR(VLOOKUP(B76,'BASE DE CLIENTES'!$A:$C,3,0),"")</f>
        <v/>
      </c>
      <c r="D76" s="2"/>
      <c r="E76" s="2"/>
      <c r="F76" s="2"/>
      <c r="G76" s="2" t="str">
        <f>IFERROR(VLOOKUP(F76,'BASE DE CLIENTES'!$A:$C,3,0),"")</f>
        <v/>
      </c>
      <c r="H76" s="2"/>
      <c r="I76" s="2"/>
      <c r="J76" s="2"/>
      <c r="K76" s="2" t="str">
        <f>IFERROR(VLOOKUP(J76,'BASE DE CLIENTES'!$A:$C,3,0),"")</f>
        <v/>
      </c>
      <c r="L76" s="2"/>
      <c r="M76" s="2"/>
      <c r="N76" s="2"/>
      <c r="O76" s="2" t="str">
        <f>IFERROR(VLOOKUP(N76,'BASE DE CLIENTES'!$A:$C,3,0),"")</f>
        <v/>
      </c>
      <c r="P76" s="2"/>
      <c r="Q76" s="2"/>
      <c r="R76" s="2"/>
      <c r="S76" s="2" t="str">
        <f>IFERROR(VLOOKUP(R76,'BASE DE CLIENTES'!$A:$C,3,0),"")</f>
        <v/>
      </c>
      <c r="T76" s="2"/>
      <c r="U76" s="2"/>
      <c r="V76" s="2"/>
      <c r="W76" s="2" t="str">
        <f>IFERROR(VLOOKUP(V76,'BASE DE CLIENTES'!$A:$C,3,0),"")</f>
        <v/>
      </c>
      <c r="X76" s="2"/>
      <c r="Y76" s="2"/>
    </row>
    <row r="77" spans="2:25" x14ac:dyDescent="0.3">
      <c r="B77" s="20"/>
      <c r="C77" s="20" t="str">
        <f>IFERROR(VLOOKUP(B77,'BASE DE CLIENTES'!$A:$C,3,0),"")</f>
        <v/>
      </c>
      <c r="D77" s="2"/>
      <c r="E77" s="2"/>
      <c r="F77" s="2"/>
      <c r="G77" s="2" t="str">
        <f>IFERROR(VLOOKUP(F77,'BASE DE CLIENTES'!$A:$C,3,0),"")</f>
        <v/>
      </c>
      <c r="H77" s="2"/>
      <c r="I77" s="2"/>
      <c r="J77" s="2"/>
      <c r="K77" s="2" t="str">
        <f>IFERROR(VLOOKUP(J77,'BASE DE CLIENTES'!$A:$C,3,0),"")</f>
        <v/>
      </c>
      <c r="L77" s="2"/>
      <c r="M77" s="2"/>
      <c r="N77" s="2"/>
      <c r="O77" s="2" t="str">
        <f>IFERROR(VLOOKUP(N77,'BASE DE CLIENTES'!$A:$C,3,0),"")</f>
        <v/>
      </c>
      <c r="P77" s="2"/>
      <c r="Q77" s="2"/>
      <c r="R77" s="2"/>
      <c r="S77" s="2" t="str">
        <f>IFERROR(VLOOKUP(R77,'BASE DE CLIENTES'!$A:$C,3,0),"")</f>
        <v/>
      </c>
      <c r="T77" s="2"/>
      <c r="U77" s="2"/>
      <c r="V77" s="2"/>
      <c r="W77" s="2" t="str">
        <f>IFERROR(VLOOKUP(V77,'BASE DE CLIENTES'!$A:$C,3,0),"")</f>
        <v/>
      </c>
      <c r="X77" s="2"/>
      <c r="Y77" s="2"/>
    </row>
    <row r="78" spans="2:25" x14ac:dyDescent="0.3">
      <c r="B78" s="20"/>
      <c r="C78" s="20" t="str">
        <f>IFERROR(VLOOKUP(B78,'BASE DE CLIENTES'!$A:$C,3,0),"")</f>
        <v/>
      </c>
      <c r="D78" s="2"/>
      <c r="E78" s="2"/>
      <c r="F78" s="2"/>
      <c r="G78" s="2" t="str">
        <f>IFERROR(VLOOKUP(F78,'BASE DE CLIENTES'!$A:$C,3,0),"")</f>
        <v/>
      </c>
      <c r="H78" s="2"/>
      <c r="I78" s="2"/>
      <c r="J78" s="2"/>
      <c r="K78" s="2" t="str">
        <f>IFERROR(VLOOKUP(J78,'BASE DE CLIENTES'!$A:$C,3,0),"")</f>
        <v/>
      </c>
      <c r="L78" s="2"/>
      <c r="M78" s="2"/>
      <c r="N78" s="2"/>
      <c r="O78" s="2" t="str">
        <f>IFERROR(VLOOKUP(N78,'BASE DE CLIENTES'!$A:$C,3,0),"")</f>
        <v/>
      </c>
      <c r="P78" s="2"/>
      <c r="Q78" s="2"/>
      <c r="R78" s="2"/>
      <c r="S78" s="2" t="str">
        <f>IFERROR(VLOOKUP(R78,'BASE DE CLIENTES'!$A:$C,3,0),"")</f>
        <v/>
      </c>
      <c r="T78" s="2"/>
      <c r="U78" s="2"/>
      <c r="V78" s="2"/>
      <c r="W78" s="2" t="str">
        <f>IFERROR(VLOOKUP(V78,'BASE DE CLIENTES'!$A:$C,3,0),"")</f>
        <v/>
      </c>
      <c r="X78" s="2"/>
      <c r="Y78" s="2"/>
    </row>
    <row r="79" spans="2:25" x14ac:dyDescent="0.3">
      <c r="B79" s="20"/>
      <c r="C79" s="20" t="str">
        <f>IFERROR(VLOOKUP(B79,'BASE DE CLIENTES'!$A:$C,3,0),"")</f>
        <v/>
      </c>
      <c r="D79" s="2"/>
      <c r="E79" s="2"/>
      <c r="F79" s="2"/>
      <c r="G79" s="2" t="str">
        <f>IFERROR(VLOOKUP(F79,'BASE DE CLIENTES'!$A:$C,3,0),"")</f>
        <v/>
      </c>
      <c r="H79" s="2"/>
      <c r="I79" s="2"/>
      <c r="J79" s="2"/>
      <c r="K79" s="2" t="str">
        <f>IFERROR(VLOOKUP(J79,'BASE DE CLIENTES'!$A:$C,3,0),"")</f>
        <v/>
      </c>
      <c r="L79" s="2"/>
      <c r="M79" s="2"/>
      <c r="N79" s="2"/>
      <c r="O79" s="2" t="str">
        <f>IFERROR(VLOOKUP(N79,'BASE DE CLIENTES'!$A:$C,3,0),"")</f>
        <v/>
      </c>
      <c r="P79" s="2"/>
      <c r="Q79" s="2"/>
      <c r="R79" s="2"/>
      <c r="S79" s="2" t="str">
        <f>IFERROR(VLOOKUP(R79,'BASE DE CLIENTES'!$A:$C,3,0),"")</f>
        <v/>
      </c>
      <c r="T79" s="2"/>
      <c r="U79" s="2"/>
      <c r="V79" s="2"/>
      <c r="W79" s="2" t="str">
        <f>IFERROR(VLOOKUP(V79,'BASE DE CLIENTES'!$A:$C,3,0),"")</f>
        <v/>
      </c>
      <c r="X79" s="2"/>
      <c r="Y79" s="2"/>
    </row>
    <row r="80" spans="2:25" x14ac:dyDescent="0.3">
      <c r="B80" s="20"/>
      <c r="C80" s="20" t="str">
        <f>IFERROR(VLOOKUP(B80,'BASE DE CLIENTES'!$A:$C,3,0),"")</f>
        <v/>
      </c>
      <c r="D80" s="2"/>
      <c r="E80" s="2"/>
      <c r="F80" s="2"/>
      <c r="G80" s="2" t="str">
        <f>IFERROR(VLOOKUP(F80,'BASE DE CLIENTES'!$A:$C,3,0),"")</f>
        <v/>
      </c>
      <c r="H80" s="2"/>
      <c r="I80" s="2"/>
      <c r="J80" s="2"/>
      <c r="K80" s="2" t="str">
        <f>IFERROR(VLOOKUP(J80,'BASE DE CLIENTES'!$A:$C,3,0),"")</f>
        <v/>
      </c>
      <c r="L80" s="2"/>
      <c r="M80" s="2"/>
      <c r="N80" s="2"/>
      <c r="O80" s="2" t="str">
        <f>IFERROR(VLOOKUP(N80,'BASE DE CLIENTES'!$A:$C,3,0),"")</f>
        <v/>
      </c>
      <c r="P80" s="2"/>
      <c r="Q80" s="2"/>
      <c r="R80" s="2"/>
      <c r="S80" s="2" t="str">
        <f>IFERROR(VLOOKUP(R80,'BASE DE CLIENTES'!$A:$C,3,0),"")</f>
        <v/>
      </c>
      <c r="T80" s="2"/>
      <c r="U80" s="2"/>
      <c r="V80" s="2"/>
      <c r="W80" s="2" t="str">
        <f>IFERROR(VLOOKUP(V80,'BASE DE CLIENTES'!$A:$C,3,0),"")</f>
        <v/>
      </c>
      <c r="X80" s="2"/>
      <c r="Y80" s="2"/>
    </row>
    <row r="81" spans="2:25" x14ac:dyDescent="0.3">
      <c r="B81" s="20"/>
      <c r="C81" s="20" t="str">
        <f>IFERROR(VLOOKUP(B81,'BASE DE CLIENTES'!$A:$C,3,0),"")</f>
        <v/>
      </c>
      <c r="D81" s="2"/>
      <c r="E81" s="2"/>
      <c r="F81" s="2"/>
      <c r="G81" s="2" t="str">
        <f>IFERROR(VLOOKUP(F81,'BASE DE CLIENTES'!$A:$C,3,0),"")</f>
        <v/>
      </c>
      <c r="H81" s="2"/>
      <c r="I81" s="2"/>
      <c r="J81" s="2"/>
      <c r="K81" s="2" t="str">
        <f>IFERROR(VLOOKUP(J81,'BASE DE CLIENTES'!$A:$C,3,0),"")</f>
        <v/>
      </c>
      <c r="L81" s="2"/>
      <c r="M81" s="2"/>
      <c r="N81" s="2"/>
      <c r="O81" s="2" t="str">
        <f>IFERROR(VLOOKUP(N81,'BASE DE CLIENTES'!$A:$C,3,0),"")</f>
        <v/>
      </c>
      <c r="P81" s="2"/>
      <c r="Q81" s="2"/>
      <c r="R81" s="2"/>
      <c r="S81" s="2" t="str">
        <f>IFERROR(VLOOKUP(R81,'BASE DE CLIENTES'!$A:$C,3,0),"")</f>
        <v/>
      </c>
      <c r="T81" s="2"/>
      <c r="U81" s="2"/>
      <c r="V81" s="2"/>
      <c r="W81" s="2" t="str">
        <f>IFERROR(VLOOKUP(V81,'BASE DE CLIENTES'!$A:$C,3,0),"")</f>
        <v/>
      </c>
      <c r="X81" s="2"/>
      <c r="Y81" s="2"/>
    </row>
    <row r="82" spans="2:25" x14ac:dyDescent="0.3">
      <c r="B82" s="20"/>
      <c r="C82" s="20" t="str">
        <f>IFERROR(VLOOKUP(B82,'BASE DE CLIENTES'!$A:$C,3,0),"")</f>
        <v/>
      </c>
      <c r="D82" s="2"/>
      <c r="E82" s="2"/>
      <c r="F82" s="2"/>
      <c r="G82" s="2" t="str">
        <f>IFERROR(VLOOKUP(F82,'BASE DE CLIENTES'!$A:$C,3,0),"")</f>
        <v/>
      </c>
      <c r="H82" s="2"/>
      <c r="I82" s="2"/>
      <c r="J82" s="2"/>
      <c r="K82" s="2" t="str">
        <f>IFERROR(VLOOKUP(J82,'BASE DE CLIENTES'!$A:$C,3,0),"")</f>
        <v/>
      </c>
      <c r="L82" s="2"/>
      <c r="M82" s="2"/>
      <c r="N82" s="2"/>
      <c r="O82" s="2" t="str">
        <f>IFERROR(VLOOKUP(N82,'BASE DE CLIENTES'!$A:$C,3,0),"")</f>
        <v/>
      </c>
      <c r="P82" s="2"/>
      <c r="Q82" s="2"/>
      <c r="R82" s="2"/>
      <c r="S82" s="2" t="str">
        <f>IFERROR(VLOOKUP(R82,'BASE DE CLIENTES'!$A:$C,3,0),"")</f>
        <v/>
      </c>
      <c r="T82" s="2"/>
      <c r="U82" s="2"/>
      <c r="V82" s="2"/>
      <c r="W82" s="2" t="str">
        <f>IFERROR(VLOOKUP(V82,'BASE DE CLIENTES'!$A:$C,3,0),"")</f>
        <v/>
      </c>
      <c r="X82" s="2"/>
      <c r="Y82" s="2"/>
    </row>
    <row r="83" spans="2:25" x14ac:dyDescent="0.3">
      <c r="B83" s="20"/>
      <c r="C83" s="20" t="str">
        <f>IFERROR(VLOOKUP(B83,'BASE DE CLIENTES'!$A:$C,3,0),"")</f>
        <v/>
      </c>
      <c r="D83" s="2"/>
      <c r="E83" s="2"/>
      <c r="F83" s="2"/>
      <c r="G83" s="2" t="str">
        <f>IFERROR(VLOOKUP(F83,'BASE DE CLIENTES'!$A:$C,3,0),"")</f>
        <v/>
      </c>
      <c r="H83" s="2"/>
      <c r="I83" s="2"/>
      <c r="J83" s="2"/>
      <c r="K83" s="2" t="str">
        <f>IFERROR(VLOOKUP(J83,'BASE DE CLIENTES'!$A:$C,3,0),"")</f>
        <v/>
      </c>
      <c r="L83" s="2"/>
      <c r="M83" s="2"/>
      <c r="N83" s="2"/>
      <c r="O83" s="2" t="str">
        <f>IFERROR(VLOOKUP(N83,'BASE DE CLIENTES'!$A:$C,3,0),"")</f>
        <v/>
      </c>
      <c r="P83" s="2"/>
      <c r="Q83" s="2"/>
      <c r="R83" s="2"/>
      <c r="S83" s="2" t="str">
        <f>IFERROR(VLOOKUP(R83,'BASE DE CLIENTES'!$A:$C,3,0),"")</f>
        <v/>
      </c>
      <c r="T83" s="2"/>
      <c r="U83" s="2"/>
      <c r="V83" s="2"/>
      <c r="W83" s="2" t="str">
        <f>IFERROR(VLOOKUP(V83,'BASE DE CLIENTES'!$A:$C,3,0),"")</f>
        <v/>
      </c>
      <c r="X83" s="2"/>
      <c r="Y83" s="2"/>
    </row>
    <row r="84" spans="2:25" x14ac:dyDescent="0.3">
      <c r="B84" s="20"/>
      <c r="C84" s="20" t="str">
        <f>IFERROR(VLOOKUP(B84,'BASE DE CLIENTES'!$A:$C,3,0),"")</f>
        <v/>
      </c>
      <c r="D84" s="2"/>
      <c r="E84" s="2"/>
      <c r="F84" s="2"/>
      <c r="G84" s="2" t="str">
        <f>IFERROR(VLOOKUP(F84,'BASE DE CLIENTES'!$A:$C,3,0),"")</f>
        <v/>
      </c>
      <c r="H84" s="2"/>
      <c r="I84" s="2"/>
      <c r="J84" s="2"/>
      <c r="K84" s="2" t="str">
        <f>IFERROR(VLOOKUP(J84,'BASE DE CLIENTES'!$A:$C,3,0),"")</f>
        <v/>
      </c>
      <c r="L84" s="2"/>
      <c r="M84" s="2"/>
      <c r="N84" s="2"/>
      <c r="O84" s="2" t="str">
        <f>IFERROR(VLOOKUP(N84,'BASE DE CLIENTES'!$A:$C,3,0),"")</f>
        <v/>
      </c>
      <c r="P84" s="2"/>
      <c r="Q84" s="2"/>
      <c r="R84" s="2"/>
      <c r="S84" s="2" t="str">
        <f>IFERROR(VLOOKUP(R84,'BASE DE CLIENTES'!$A:$C,3,0),"")</f>
        <v/>
      </c>
      <c r="T84" s="2"/>
      <c r="U84" s="2"/>
      <c r="V84" s="2"/>
      <c r="W84" s="2" t="str">
        <f>IFERROR(VLOOKUP(V84,'BASE DE CLIENTES'!$A:$C,3,0),"")</f>
        <v/>
      </c>
      <c r="X84" s="2"/>
      <c r="Y84" s="2"/>
    </row>
    <row r="85" spans="2:25" x14ac:dyDescent="0.3">
      <c r="B85" s="20"/>
      <c r="C85" s="20" t="str">
        <f>IFERROR(VLOOKUP(B85,'BASE DE CLIENTES'!$A:$C,3,0),"")</f>
        <v/>
      </c>
      <c r="D85" s="2"/>
      <c r="E85" s="2"/>
      <c r="F85" s="2"/>
      <c r="G85" s="2" t="str">
        <f>IFERROR(VLOOKUP(F85,'BASE DE CLIENTES'!$A:$C,3,0),"")</f>
        <v/>
      </c>
      <c r="H85" s="2"/>
      <c r="I85" s="2"/>
      <c r="J85" s="2"/>
      <c r="K85" s="2" t="str">
        <f>IFERROR(VLOOKUP(J85,'BASE DE CLIENTES'!$A:$C,3,0),"")</f>
        <v/>
      </c>
      <c r="L85" s="2"/>
      <c r="M85" s="2"/>
      <c r="N85" s="2"/>
      <c r="O85" s="2" t="str">
        <f>IFERROR(VLOOKUP(N85,'BASE DE CLIENTES'!$A:$C,3,0),"")</f>
        <v/>
      </c>
      <c r="P85" s="2"/>
      <c r="Q85" s="2"/>
      <c r="R85" s="2"/>
      <c r="S85" s="2" t="str">
        <f>IFERROR(VLOOKUP(R85,'BASE DE CLIENTES'!$A:$C,3,0),"")</f>
        <v/>
      </c>
      <c r="T85" s="2"/>
      <c r="U85" s="2"/>
      <c r="V85" s="2"/>
      <c r="W85" s="2" t="str">
        <f>IFERROR(VLOOKUP(V85,'BASE DE CLIENTES'!$A:$C,3,0),"")</f>
        <v/>
      </c>
      <c r="X85" s="2"/>
      <c r="Y85" s="2"/>
    </row>
    <row r="86" spans="2:25" x14ac:dyDescent="0.3">
      <c r="B86" s="20"/>
      <c r="C86" s="20" t="str">
        <f>IFERROR(VLOOKUP(B86,'BASE DE CLIENTES'!$A:$C,3,0),"")</f>
        <v/>
      </c>
      <c r="D86" s="2"/>
      <c r="E86" s="2"/>
      <c r="F86" s="2"/>
      <c r="G86" s="2" t="str">
        <f>IFERROR(VLOOKUP(F86,'BASE DE CLIENTES'!$A:$C,3,0),"")</f>
        <v/>
      </c>
      <c r="H86" s="2"/>
      <c r="I86" s="2"/>
      <c r="J86" s="2"/>
      <c r="K86" s="2" t="str">
        <f>IFERROR(VLOOKUP(J86,'BASE DE CLIENTES'!$A:$C,3,0),"")</f>
        <v/>
      </c>
      <c r="L86" s="2"/>
      <c r="M86" s="2"/>
      <c r="N86" s="2"/>
      <c r="O86" s="2" t="str">
        <f>IFERROR(VLOOKUP(N86,'BASE DE CLIENTES'!$A:$C,3,0),"")</f>
        <v/>
      </c>
      <c r="P86" s="2"/>
      <c r="Q86" s="2"/>
      <c r="R86" s="2"/>
      <c r="S86" s="2" t="str">
        <f>IFERROR(VLOOKUP(R86,'BASE DE CLIENTES'!$A:$C,3,0),"")</f>
        <v/>
      </c>
      <c r="T86" s="2"/>
      <c r="U86" s="2"/>
      <c r="V86" s="2"/>
      <c r="W86" s="2" t="str">
        <f>IFERROR(VLOOKUP(V86,'BASE DE CLIENTES'!$A:$C,3,0),"")</f>
        <v/>
      </c>
      <c r="X86" s="2"/>
      <c r="Y86" s="2"/>
    </row>
    <row r="87" spans="2:25" x14ac:dyDescent="0.3">
      <c r="B87" s="20"/>
      <c r="C87" s="20" t="str">
        <f>IFERROR(VLOOKUP(B87,'BASE DE CLIENTES'!$A:$C,3,0),"")</f>
        <v/>
      </c>
      <c r="D87" s="2"/>
      <c r="E87" s="2"/>
      <c r="F87" s="2"/>
      <c r="G87" s="2" t="str">
        <f>IFERROR(VLOOKUP(F87,'BASE DE CLIENTES'!$A:$C,3,0),"")</f>
        <v/>
      </c>
      <c r="H87" s="2"/>
      <c r="I87" s="2"/>
      <c r="J87" s="2"/>
      <c r="K87" s="2" t="str">
        <f>IFERROR(VLOOKUP(J87,'BASE DE CLIENTES'!$A:$C,3,0),"")</f>
        <v/>
      </c>
      <c r="L87" s="2"/>
      <c r="M87" s="2"/>
      <c r="N87" s="2"/>
      <c r="O87" s="2" t="str">
        <f>IFERROR(VLOOKUP(N87,'BASE DE CLIENTES'!$A:$C,3,0),"")</f>
        <v/>
      </c>
      <c r="P87" s="2"/>
      <c r="Q87" s="2"/>
      <c r="R87" s="2"/>
      <c r="S87" s="2" t="str">
        <f>IFERROR(VLOOKUP(R87,'BASE DE CLIENTES'!$A:$C,3,0),"")</f>
        <v/>
      </c>
      <c r="T87" s="2"/>
      <c r="U87" s="2"/>
      <c r="V87" s="2"/>
      <c r="W87" s="2" t="str">
        <f>IFERROR(VLOOKUP(V87,'BASE DE CLIENTES'!$A:$C,3,0),"")</f>
        <v/>
      </c>
      <c r="X87" s="2"/>
      <c r="Y87" s="2"/>
    </row>
    <row r="88" spans="2:25" x14ac:dyDescent="0.3">
      <c r="B88" s="20"/>
      <c r="C88" s="20" t="str">
        <f>IFERROR(VLOOKUP(B88,'BASE DE CLIENTES'!$A:$C,3,0),"")</f>
        <v/>
      </c>
      <c r="D88" s="2"/>
      <c r="E88" s="2"/>
      <c r="F88" s="2"/>
      <c r="G88" s="2" t="str">
        <f>IFERROR(VLOOKUP(F88,'BASE DE CLIENTES'!$A:$C,3,0),"")</f>
        <v/>
      </c>
      <c r="H88" s="2"/>
      <c r="I88" s="2"/>
      <c r="J88" s="2"/>
      <c r="K88" s="2" t="str">
        <f>IFERROR(VLOOKUP(J88,'BASE DE CLIENTES'!$A:$C,3,0),"")</f>
        <v/>
      </c>
      <c r="L88" s="2"/>
      <c r="M88" s="2"/>
      <c r="N88" s="2"/>
      <c r="O88" s="2" t="str">
        <f>IFERROR(VLOOKUP(N88,'BASE DE CLIENTES'!$A:$C,3,0),"")</f>
        <v/>
      </c>
      <c r="P88" s="2"/>
      <c r="Q88" s="2"/>
      <c r="R88" s="2"/>
      <c r="S88" s="2" t="str">
        <f>IFERROR(VLOOKUP(R88,'BASE DE CLIENTES'!$A:$C,3,0),"")</f>
        <v/>
      </c>
      <c r="T88" s="2"/>
      <c r="U88" s="2"/>
      <c r="V88" s="2"/>
      <c r="W88" s="2" t="str">
        <f>IFERROR(VLOOKUP(V88,'BASE DE CLIENTES'!$A:$C,3,0),"")</f>
        <v/>
      </c>
      <c r="X88" s="2"/>
      <c r="Y88" s="2"/>
    </row>
    <row r="89" spans="2:25" x14ac:dyDescent="0.3">
      <c r="B89" s="20"/>
      <c r="C89" s="20" t="str">
        <f>IFERROR(VLOOKUP(B89,'BASE DE CLIENTES'!$A:$C,3,0),"")</f>
        <v/>
      </c>
      <c r="D89" s="2"/>
      <c r="E89" s="2"/>
      <c r="F89" s="2"/>
      <c r="G89" s="2" t="str">
        <f>IFERROR(VLOOKUP(F89,'BASE DE CLIENTES'!$A:$C,3,0),"")</f>
        <v/>
      </c>
      <c r="H89" s="2"/>
      <c r="I89" s="2"/>
      <c r="J89" s="2"/>
      <c r="K89" s="2" t="str">
        <f>IFERROR(VLOOKUP(J89,'BASE DE CLIENTES'!$A:$C,3,0),"")</f>
        <v/>
      </c>
      <c r="L89" s="2"/>
      <c r="M89" s="2"/>
      <c r="N89" s="2"/>
      <c r="O89" s="2" t="str">
        <f>IFERROR(VLOOKUP(N89,'BASE DE CLIENTES'!$A:$C,3,0),"")</f>
        <v/>
      </c>
      <c r="P89" s="2"/>
      <c r="Q89" s="2"/>
      <c r="R89" s="2"/>
      <c r="S89" s="2" t="str">
        <f>IFERROR(VLOOKUP(R89,'BASE DE CLIENTES'!$A:$C,3,0),"")</f>
        <v/>
      </c>
      <c r="T89" s="2"/>
      <c r="U89" s="2"/>
      <c r="V89" s="2"/>
      <c r="W89" s="2" t="str">
        <f>IFERROR(VLOOKUP(V89,'BASE DE CLIENTES'!$A:$C,3,0),"")</f>
        <v/>
      </c>
      <c r="X89" s="2"/>
      <c r="Y89" s="2"/>
    </row>
    <row r="90" spans="2:25" x14ac:dyDescent="0.3">
      <c r="B90" s="20"/>
      <c r="C90" s="20" t="str">
        <f>IFERROR(VLOOKUP(B90,'BASE DE CLIENTES'!$A:$C,3,0),"")</f>
        <v/>
      </c>
      <c r="D90" s="2"/>
      <c r="E90" s="2"/>
      <c r="F90" s="2"/>
      <c r="G90" s="2" t="str">
        <f>IFERROR(VLOOKUP(F90,'BASE DE CLIENTES'!$A:$C,3,0),"")</f>
        <v/>
      </c>
      <c r="H90" s="2"/>
      <c r="I90" s="2"/>
      <c r="J90" s="2"/>
      <c r="K90" s="2" t="str">
        <f>IFERROR(VLOOKUP(J90,'BASE DE CLIENTES'!$A:$C,3,0),"")</f>
        <v/>
      </c>
      <c r="L90" s="2"/>
      <c r="M90" s="2"/>
      <c r="N90" s="2"/>
      <c r="O90" s="2" t="str">
        <f>IFERROR(VLOOKUP(N90,'BASE DE CLIENTES'!$A:$C,3,0),"")</f>
        <v/>
      </c>
      <c r="P90" s="2"/>
      <c r="Q90" s="2"/>
      <c r="R90" s="2"/>
      <c r="S90" s="2" t="str">
        <f>IFERROR(VLOOKUP(R90,'BASE DE CLIENTES'!$A:$C,3,0),"")</f>
        <v/>
      </c>
      <c r="T90" s="2"/>
      <c r="U90" s="2"/>
      <c r="V90" s="2"/>
      <c r="W90" s="2" t="str">
        <f>IFERROR(VLOOKUP(V90,'BASE DE CLIENTES'!$A:$C,3,0),"")</f>
        <v/>
      </c>
      <c r="X90" s="2"/>
      <c r="Y90" s="2"/>
    </row>
    <row r="91" spans="2:25" x14ac:dyDescent="0.3">
      <c r="B91" s="20"/>
      <c r="C91" s="20" t="str">
        <f>IFERROR(VLOOKUP(B91,'BASE DE CLIENTES'!$A:$C,3,0),"")</f>
        <v/>
      </c>
      <c r="D91" s="2"/>
      <c r="E91" s="2"/>
      <c r="F91" s="2"/>
      <c r="G91" s="2" t="str">
        <f>IFERROR(VLOOKUP(F91,'BASE DE CLIENTES'!$A:$C,3,0),"")</f>
        <v/>
      </c>
      <c r="H91" s="2"/>
      <c r="I91" s="2"/>
      <c r="J91" s="2"/>
      <c r="K91" s="2" t="str">
        <f>IFERROR(VLOOKUP(J91,'BASE DE CLIENTES'!$A:$C,3,0),"")</f>
        <v/>
      </c>
      <c r="L91" s="2"/>
      <c r="M91" s="2"/>
      <c r="N91" s="2"/>
      <c r="O91" s="2" t="str">
        <f>IFERROR(VLOOKUP(N91,'BASE DE CLIENTES'!$A:$C,3,0),"")</f>
        <v/>
      </c>
      <c r="P91" s="2"/>
      <c r="Q91" s="2"/>
      <c r="R91" s="2"/>
      <c r="S91" s="2" t="str">
        <f>IFERROR(VLOOKUP(R91,'BASE DE CLIENTES'!$A:$C,3,0),"")</f>
        <v/>
      </c>
      <c r="T91" s="2"/>
      <c r="U91" s="2"/>
      <c r="V91" s="2"/>
      <c r="W91" s="2" t="str">
        <f>IFERROR(VLOOKUP(V91,'BASE DE CLIENTES'!$A:$C,3,0),"")</f>
        <v/>
      </c>
      <c r="X91" s="2"/>
      <c r="Y91" s="2"/>
    </row>
    <row r="92" spans="2:25" x14ac:dyDescent="0.3">
      <c r="B92" s="20"/>
      <c r="C92" s="20" t="str">
        <f>IFERROR(VLOOKUP(B92,'BASE DE CLIENTES'!$A:$C,3,0),"")</f>
        <v/>
      </c>
      <c r="D92" s="2"/>
      <c r="E92" s="2"/>
      <c r="F92" s="2"/>
      <c r="G92" s="2" t="str">
        <f>IFERROR(VLOOKUP(F92,'BASE DE CLIENTES'!$A:$C,3,0),"")</f>
        <v/>
      </c>
      <c r="H92" s="2"/>
      <c r="I92" s="2"/>
      <c r="J92" s="2"/>
      <c r="K92" s="2" t="str">
        <f>IFERROR(VLOOKUP(J92,'BASE DE CLIENTES'!$A:$C,3,0),"")</f>
        <v/>
      </c>
      <c r="L92" s="2"/>
      <c r="M92" s="2"/>
      <c r="N92" s="2"/>
      <c r="O92" s="2" t="str">
        <f>IFERROR(VLOOKUP(N92,'BASE DE CLIENTES'!$A:$C,3,0),"")</f>
        <v/>
      </c>
      <c r="P92" s="2"/>
      <c r="Q92" s="2"/>
      <c r="R92" s="2"/>
      <c r="S92" s="2" t="str">
        <f>IFERROR(VLOOKUP(R92,'BASE DE CLIENTES'!$A:$C,3,0),"")</f>
        <v/>
      </c>
      <c r="T92" s="2"/>
      <c r="U92" s="2"/>
      <c r="V92" s="2"/>
      <c r="W92" s="2" t="str">
        <f>IFERROR(VLOOKUP(V92,'BASE DE CLIENTES'!$A:$C,3,0),"")</f>
        <v/>
      </c>
      <c r="X92" s="2"/>
      <c r="Y92" s="2"/>
    </row>
    <row r="93" spans="2:25" x14ac:dyDescent="0.3">
      <c r="B93" s="20"/>
      <c r="C93" s="20" t="str">
        <f>IFERROR(VLOOKUP(B93,'BASE DE CLIENTES'!$A:$C,3,0),"")</f>
        <v/>
      </c>
      <c r="D93" s="2"/>
      <c r="E93" s="2"/>
      <c r="F93" s="2"/>
      <c r="G93" s="2" t="str">
        <f>IFERROR(VLOOKUP(F93,'BASE DE CLIENTES'!$A:$C,3,0),"")</f>
        <v/>
      </c>
      <c r="H93" s="2"/>
      <c r="I93" s="2"/>
      <c r="J93" s="2"/>
      <c r="K93" s="2" t="str">
        <f>IFERROR(VLOOKUP(J93,'BASE DE CLIENTES'!$A:$C,3,0),"")</f>
        <v/>
      </c>
      <c r="L93" s="2"/>
      <c r="M93" s="2"/>
      <c r="N93" s="2"/>
      <c r="O93" s="2" t="str">
        <f>IFERROR(VLOOKUP(N93,'BASE DE CLIENTES'!$A:$C,3,0),"")</f>
        <v/>
      </c>
      <c r="P93" s="2"/>
      <c r="Q93" s="2"/>
      <c r="R93" s="2"/>
      <c r="S93" s="2" t="str">
        <f>IFERROR(VLOOKUP(R93,'BASE DE CLIENTES'!$A:$C,3,0),"")</f>
        <v/>
      </c>
      <c r="T93" s="2"/>
      <c r="U93" s="2"/>
      <c r="V93" s="2"/>
      <c r="W93" s="2" t="str">
        <f>IFERROR(VLOOKUP(V93,'BASE DE CLIENTES'!$A:$C,3,0),"")</f>
        <v/>
      </c>
      <c r="X93" s="2"/>
      <c r="Y93" s="2"/>
    </row>
    <row r="94" spans="2:25" x14ac:dyDescent="0.3">
      <c r="B94" s="20"/>
      <c r="C94" s="20" t="str">
        <f>IFERROR(VLOOKUP(B94,'BASE DE CLIENTES'!$A:$C,3,0),"")</f>
        <v/>
      </c>
      <c r="D94" s="2"/>
      <c r="E94" s="2"/>
      <c r="F94" s="2"/>
      <c r="G94" s="2" t="str">
        <f>IFERROR(VLOOKUP(F94,'BASE DE CLIENTES'!$A:$C,3,0),"")</f>
        <v/>
      </c>
      <c r="H94" s="2"/>
      <c r="I94" s="2"/>
      <c r="J94" s="2"/>
      <c r="K94" s="2" t="str">
        <f>IFERROR(VLOOKUP(J94,'BASE DE CLIENTES'!$A:$C,3,0),"")</f>
        <v/>
      </c>
      <c r="L94" s="2"/>
      <c r="M94" s="2"/>
      <c r="N94" s="2"/>
      <c r="O94" s="2" t="str">
        <f>IFERROR(VLOOKUP(N94,'BASE DE CLIENTES'!$A:$C,3,0),"")</f>
        <v/>
      </c>
      <c r="P94" s="2"/>
      <c r="Q94" s="2"/>
      <c r="R94" s="2"/>
      <c r="S94" s="2" t="str">
        <f>IFERROR(VLOOKUP(R94,'BASE DE CLIENTES'!$A:$C,3,0),"")</f>
        <v/>
      </c>
      <c r="T94" s="2"/>
      <c r="U94" s="2"/>
      <c r="V94" s="2"/>
      <c r="W94" s="2" t="str">
        <f>IFERROR(VLOOKUP(V94,'BASE DE CLIENTES'!$A:$C,3,0),"")</f>
        <v/>
      </c>
      <c r="X94" s="2"/>
      <c r="Y94" s="2"/>
    </row>
    <row r="95" spans="2:25" x14ac:dyDescent="0.3">
      <c r="B95" s="20"/>
      <c r="C95" s="20" t="str">
        <f>IFERROR(VLOOKUP(B95,'BASE DE CLIENTES'!$A:$C,3,0),"")</f>
        <v/>
      </c>
      <c r="D95" s="2"/>
      <c r="E95" s="2"/>
      <c r="F95" s="2"/>
      <c r="G95" s="2" t="str">
        <f>IFERROR(VLOOKUP(F95,'BASE DE CLIENTES'!$A:$C,3,0),"")</f>
        <v/>
      </c>
      <c r="H95" s="2"/>
      <c r="I95" s="2"/>
      <c r="J95" s="2"/>
      <c r="K95" s="2" t="str">
        <f>IFERROR(VLOOKUP(J95,'BASE DE CLIENTES'!$A:$C,3,0),"")</f>
        <v/>
      </c>
      <c r="L95" s="2"/>
      <c r="M95" s="2"/>
      <c r="N95" s="2"/>
      <c r="O95" s="2" t="str">
        <f>IFERROR(VLOOKUP(N95,'BASE DE CLIENTES'!$A:$C,3,0),"")</f>
        <v/>
      </c>
      <c r="P95" s="2"/>
      <c r="Q95" s="2"/>
      <c r="R95" s="2"/>
      <c r="S95" s="2" t="str">
        <f>IFERROR(VLOOKUP(R95,'BASE DE CLIENTES'!$A:$C,3,0),"")</f>
        <v/>
      </c>
      <c r="T95" s="2"/>
      <c r="U95" s="2"/>
      <c r="V95" s="2"/>
      <c r="W95" s="2" t="str">
        <f>IFERROR(VLOOKUP(V95,'BASE DE CLIENTES'!$A:$C,3,0),"")</f>
        <v/>
      </c>
      <c r="X95" s="2"/>
      <c r="Y95" s="2"/>
    </row>
    <row r="96" spans="2:25" x14ac:dyDescent="0.3">
      <c r="B96" s="20"/>
      <c r="C96" s="20" t="str">
        <f>IFERROR(VLOOKUP(B96,'BASE DE CLIENTES'!$A:$C,3,0),"")</f>
        <v/>
      </c>
      <c r="D96" s="2"/>
      <c r="E96" s="2"/>
      <c r="F96" s="2"/>
      <c r="G96" s="2" t="str">
        <f>IFERROR(VLOOKUP(F96,'BASE DE CLIENTES'!$A:$C,3,0),"")</f>
        <v/>
      </c>
      <c r="H96" s="2"/>
      <c r="I96" s="2"/>
      <c r="J96" s="2"/>
      <c r="K96" s="2" t="str">
        <f>IFERROR(VLOOKUP(J96,'BASE DE CLIENTES'!$A:$C,3,0),"")</f>
        <v/>
      </c>
      <c r="L96" s="2"/>
      <c r="M96" s="2"/>
      <c r="N96" s="2"/>
      <c r="O96" s="2" t="str">
        <f>IFERROR(VLOOKUP(N96,'BASE DE CLIENTES'!$A:$C,3,0),"")</f>
        <v/>
      </c>
      <c r="P96" s="2"/>
      <c r="Q96" s="2"/>
      <c r="R96" s="2"/>
      <c r="S96" s="2" t="str">
        <f>IFERROR(VLOOKUP(R96,'BASE DE CLIENTES'!$A:$C,3,0),"")</f>
        <v/>
      </c>
      <c r="T96" s="2"/>
      <c r="U96" s="2"/>
      <c r="V96" s="2"/>
      <c r="W96" s="2" t="str">
        <f>IFERROR(VLOOKUP(V96,'BASE DE CLIENTES'!$A:$C,3,0),"")</f>
        <v/>
      </c>
      <c r="X96" s="2"/>
      <c r="Y96" s="2"/>
    </row>
    <row r="97" spans="2:25" x14ac:dyDescent="0.3">
      <c r="B97" s="20"/>
      <c r="C97" s="20" t="str">
        <f>IFERROR(VLOOKUP(B97,'BASE DE CLIENTES'!$A:$C,3,0),"")</f>
        <v/>
      </c>
      <c r="D97" s="2"/>
      <c r="E97" s="2"/>
      <c r="F97" s="2"/>
      <c r="G97" s="2" t="str">
        <f>IFERROR(VLOOKUP(F97,'BASE DE CLIENTES'!$A:$C,3,0),"")</f>
        <v/>
      </c>
      <c r="H97" s="2"/>
      <c r="I97" s="2"/>
      <c r="J97" s="2"/>
      <c r="K97" s="2" t="str">
        <f>IFERROR(VLOOKUP(J97,'BASE DE CLIENTES'!$A:$C,3,0),"")</f>
        <v/>
      </c>
      <c r="L97" s="2"/>
      <c r="M97" s="2"/>
      <c r="N97" s="2"/>
      <c r="O97" s="2" t="str">
        <f>IFERROR(VLOOKUP(N97,'BASE DE CLIENTES'!$A:$C,3,0),"")</f>
        <v/>
      </c>
      <c r="P97" s="2"/>
      <c r="Q97" s="2"/>
      <c r="R97" s="2"/>
      <c r="S97" s="2" t="str">
        <f>IFERROR(VLOOKUP(R97,'BASE DE CLIENTES'!$A:$C,3,0),"")</f>
        <v/>
      </c>
      <c r="T97" s="2"/>
      <c r="U97" s="2"/>
      <c r="V97" s="2"/>
      <c r="W97" s="2" t="str">
        <f>IFERROR(VLOOKUP(V97,'BASE DE CLIENTES'!$A:$C,3,0),"")</f>
        <v/>
      </c>
      <c r="X97" s="2"/>
      <c r="Y97" s="2"/>
    </row>
    <row r="98" spans="2:25" x14ac:dyDescent="0.3">
      <c r="B98" s="20"/>
      <c r="C98" s="20" t="str">
        <f>IFERROR(VLOOKUP(B98,'BASE DE CLIENTES'!$A:$C,3,0),"")</f>
        <v/>
      </c>
      <c r="D98" s="2"/>
      <c r="E98" s="2"/>
      <c r="F98" s="2"/>
      <c r="G98" s="2" t="str">
        <f>IFERROR(VLOOKUP(F98,'BASE DE CLIENTES'!$A:$C,3,0),"")</f>
        <v/>
      </c>
      <c r="H98" s="2"/>
      <c r="I98" s="2"/>
      <c r="J98" s="2"/>
      <c r="K98" s="2" t="str">
        <f>IFERROR(VLOOKUP(J98,'BASE DE CLIENTES'!$A:$C,3,0),"")</f>
        <v/>
      </c>
      <c r="L98" s="2"/>
      <c r="M98" s="2"/>
      <c r="N98" s="2"/>
      <c r="O98" s="2" t="str">
        <f>IFERROR(VLOOKUP(N98,'BASE DE CLIENTES'!$A:$C,3,0),"")</f>
        <v/>
      </c>
      <c r="P98" s="2"/>
      <c r="Q98" s="2"/>
      <c r="R98" s="2"/>
      <c r="S98" s="2" t="str">
        <f>IFERROR(VLOOKUP(R98,'BASE DE CLIENTES'!$A:$C,3,0),"")</f>
        <v/>
      </c>
      <c r="T98" s="2"/>
      <c r="U98" s="2"/>
      <c r="V98" s="2"/>
      <c r="W98" s="2" t="str">
        <f>IFERROR(VLOOKUP(V98,'BASE DE CLIENTES'!$A:$C,3,0),"")</f>
        <v/>
      </c>
      <c r="X98" s="2"/>
      <c r="Y98" s="2"/>
    </row>
    <row r="99" spans="2:25" x14ac:dyDescent="0.3">
      <c r="B99" s="20"/>
      <c r="C99" s="20" t="str">
        <f>IFERROR(VLOOKUP(B99,'BASE DE CLIENTES'!$A:$C,3,0),"")</f>
        <v/>
      </c>
      <c r="D99" s="2"/>
      <c r="E99" s="2"/>
      <c r="F99" s="2"/>
      <c r="G99" s="2" t="str">
        <f>IFERROR(VLOOKUP(F99,'BASE DE CLIENTES'!$A:$C,3,0),"")</f>
        <v/>
      </c>
      <c r="H99" s="2"/>
      <c r="I99" s="2"/>
      <c r="J99" s="2"/>
      <c r="K99" s="2" t="str">
        <f>IFERROR(VLOOKUP(J99,'BASE DE CLIENTES'!$A:$C,3,0),"")</f>
        <v/>
      </c>
      <c r="L99" s="2"/>
      <c r="M99" s="2"/>
      <c r="N99" s="2"/>
      <c r="O99" s="2" t="str">
        <f>IFERROR(VLOOKUP(N99,'BASE DE CLIENTES'!$A:$C,3,0),"")</f>
        <v/>
      </c>
      <c r="P99" s="2"/>
      <c r="Q99" s="2"/>
      <c r="R99" s="2"/>
      <c r="S99" s="2" t="str">
        <f>IFERROR(VLOOKUP(R99,'BASE DE CLIENTES'!$A:$C,3,0),"")</f>
        <v/>
      </c>
      <c r="T99" s="2"/>
      <c r="U99" s="2"/>
      <c r="V99" s="2"/>
      <c r="W99" s="2" t="str">
        <f>IFERROR(VLOOKUP(V99,'BASE DE CLIENTES'!$A:$C,3,0),"")</f>
        <v/>
      </c>
      <c r="X99" s="2"/>
      <c r="Y99" s="2"/>
    </row>
    <row r="100" spans="2:25" x14ac:dyDescent="0.3">
      <c r="B100" s="20"/>
      <c r="C100" s="20" t="str">
        <f>IFERROR(VLOOKUP(B100,'BASE DE CLIENTES'!$A:$C,3,0),"")</f>
        <v/>
      </c>
      <c r="D100" s="2"/>
      <c r="E100" s="2"/>
      <c r="F100" s="2"/>
      <c r="G100" s="2" t="str">
        <f>IFERROR(VLOOKUP(F100,'BASE DE CLIENTES'!$A:$C,3,0),"")</f>
        <v/>
      </c>
      <c r="H100" s="2"/>
      <c r="I100" s="2"/>
      <c r="J100" s="2"/>
      <c r="K100" s="2" t="str">
        <f>IFERROR(VLOOKUP(J100,'BASE DE CLIENTES'!$A:$C,3,0),"")</f>
        <v/>
      </c>
      <c r="L100" s="2"/>
      <c r="M100" s="2"/>
      <c r="N100" s="2"/>
      <c r="O100" s="2" t="str">
        <f>IFERROR(VLOOKUP(N100,'BASE DE CLIENTES'!$A:$C,3,0),"")</f>
        <v/>
      </c>
      <c r="P100" s="2"/>
      <c r="Q100" s="2"/>
      <c r="R100" s="2"/>
      <c r="S100" s="2" t="str">
        <f>IFERROR(VLOOKUP(R100,'BASE DE CLIENTES'!$A:$C,3,0),"")</f>
        <v/>
      </c>
      <c r="T100" s="2"/>
      <c r="U100" s="2"/>
      <c r="V100" s="2"/>
      <c r="W100" s="2" t="str">
        <f>IFERROR(VLOOKUP(V100,'BASE DE CLIENTES'!$A:$C,3,0),"")</f>
        <v/>
      </c>
      <c r="X100" s="2"/>
      <c r="Y100" s="2"/>
    </row>
  </sheetData>
  <mergeCells count="6">
    <mergeCell ref="N2:Q2"/>
    <mergeCell ref="R2:U2"/>
    <mergeCell ref="V2:Y2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FAROL</vt:lpstr>
      <vt:lpstr>BASE DE CLIENTES</vt:lpstr>
      <vt:lpstr>JOSENILTON SOUZA</vt:lpstr>
      <vt:lpstr>EVA LUNAS</vt:lpstr>
      <vt:lpstr>CLEIVISON PEREIRA</vt:lpstr>
      <vt:lpstr>DANILO MENDONÇA</vt:lpstr>
      <vt:lpstr>CLAUDINEI FERREIRA</vt:lpstr>
      <vt:lpstr>GABRIEL SANTOS NEVES</vt:lpstr>
      <vt:lpstr>HIRLAN ALVES</vt:lpstr>
      <vt:lpstr>JOÃO VITOR FERREIRA</vt:lpstr>
      <vt:lpstr>PAULO RICARDO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Ramos</dc:creator>
  <cp:lastModifiedBy>Otavio Ramos</cp:lastModifiedBy>
  <dcterms:created xsi:type="dcterms:W3CDTF">2015-06-05T18:19:34Z</dcterms:created>
  <dcterms:modified xsi:type="dcterms:W3CDTF">2026-10-08T17:30:13Z</dcterms:modified>
</cp:coreProperties>
</file>